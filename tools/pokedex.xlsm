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J:\jikl-coding\projects\2026\PokeTools\tools\"/>
    </mc:Choice>
  </mc:AlternateContent>
  <xr:revisionPtr revIDLastSave="0" documentId="13_ncr:1_{9DA45EF5-733B-43A3-92F5-693D860F967D}" xr6:coauthVersionLast="47" xr6:coauthVersionMax="47" xr10:uidLastSave="{00000000-0000-0000-0000-000000000000}"/>
  <bookViews>
    <workbookView xWindow="-28920" yWindow="-120" windowWidth="29040" windowHeight="15720" xr2:uid="{DA0CFAF5-8E26-4384-B499-22C996A060F5}"/>
  </bookViews>
  <sheets>
    <sheet name="Pokédex" sheetId="1" r:id="rId1"/>
    <sheet name="TypeChart" sheetId="3" r:id="rId2"/>
    <sheet name="Lists" sheetId="4" r:id="rId3"/>
  </sheets>
  <functionGroups builtInGroupCount="19"/>
  <externalReferences>
    <externalReference r:id="rId4"/>
  </externalReferences>
  <definedNames>
    <definedName name="_xleta.AND" hidden="1" xlm="1">#NAME?</definedName>
    <definedName name="_xleta.IMAGE" hidden="1" xlm="1">#NAME?</definedName>
    <definedName name="_xleta.MOD" hidden="1" xlm="1">#NAME?</definedName>
    <definedName name="_xleta.N" hidden="1" xlm="1">#NAME?</definedName>
    <definedName name="_xleta.NOT" hidden="1" xlm="1">#NAME?</definedName>
    <definedName name="_xleta.OR" hidden="1" xlm="1">#NAME?</definedName>
    <definedName name="_xleta.PROPER" hidden="1" xlm="1">#NAME?</definedName>
    <definedName name="_xleta.ROUND" hidden="1" xlm="1">#NAME?</definedName>
    <definedName name="_xlpm.atkType" hidden="1" xlm="1">#NAME?</definedName>
    <definedName name="_xlpm.col" hidden="1" xlm="1">#NAME?</definedName>
    <definedName name="_xlpm.feet" hidden="1" xlm="1">#NAME?</definedName>
    <definedName name="_xlpm.ft" hidden="1" xlm="1">#NAME?</definedName>
    <definedName name="_xlpm.hasAtk" hidden="1" xlm="1">#NAME?</definedName>
    <definedName name="_xlpm.hasMove" hidden="1" xlm="1">#NAME?</definedName>
    <definedName name="_xlpm.header" hidden="1" xlm="1">#NAME?</definedName>
    <definedName name="_xlpm.chart" hidden="1" xlm="1">#NAME?</definedName>
    <definedName name="_xlpm.inch" hidden="1" xlm="1">#NAME?</definedName>
    <definedName name="_xlpm.inches" hidden="1" xlm="1">#NAME?</definedName>
    <definedName name="_xlpm.kg" hidden="1" xlm="1">#NAME?</definedName>
    <definedName name="_xlpm.m" hidden="1" xlm="1">#NAME?</definedName>
    <definedName name="_xlpm.meters" hidden="1" xlm="1">#NAME?</definedName>
    <definedName name="_xlpm.moveType" hidden="1" xlm="1">#NAME?</definedName>
    <definedName name="_xlpm.palce" hidden="1" xlm="1">#NAME?</definedName>
    <definedName name="_xlpm.stopy" hidden="1" xlm="1">#NAME?</definedName>
    <definedName name="_xlpm.type1" hidden="1" xlm="1">#NAME?</definedName>
    <definedName name="_xlpm.type2" hidden="1" xlm="1">#NAME?</definedName>
    <definedName name="_xlpm.zbytek" hidden="1" xlm="1">#NAME?</definedName>
    <definedName name="ABILITY_1">Pokédex!$O$14</definedName>
    <definedName name="ABILITY_2">Pokédex!$O$16</definedName>
    <definedName name="HEIGHT">Pokédex!$E$26</definedName>
    <definedName name="HIDDEN_ABILITY">Pokédex!$O$18</definedName>
    <definedName name="MOVE">TypeChart!$AB$23</definedName>
    <definedName name="MOVE_TYPE">TypeChart!$AD$12</definedName>
    <definedName name="MOVES">Pokédex!$V$11</definedName>
    <definedName name="PKMN">TypeChart!$AB$20</definedName>
    <definedName name="PKMN_DEX">Pokédex!$F$8</definedName>
    <definedName name="PKMN_TYPE_1">TypeChart!$AD$8</definedName>
    <definedName name="PKMN_TYPE_2">TypeChart!$AD$10</definedName>
    <definedName name="SPRITE_TYPE">Pokédex!$F$11</definedName>
    <definedName name="TYPE_1_DEX">Pokédex!$N$7</definedName>
    <definedName name="TYPE_1_DEX_IMG">Pokédex!$N$8</definedName>
    <definedName name="TYPE_2_DEX">Pokédex!$P$7</definedName>
    <definedName name="TYPE_2_DEX_IMG">Pokédex!$P$8</definedName>
    <definedName name="UNITS">Pokédex!$V$9</definedName>
    <definedName name="WEIGHT">Pokédex!$H$26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0" i="1" l="1"/>
  <c r="P29" i="1"/>
  <c r="P28" i="1"/>
  <c r="P27" i="1"/>
  <c r="P26" i="1"/>
  <c r="P25" i="1"/>
  <c r="P24" i="1"/>
  <c r="O18" i="1"/>
  <c r="O16" i="1"/>
  <c r="O14" i="1"/>
  <c r="P7" i="1"/>
  <c r="P8" i="1" s="1"/>
  <c r="N7" i="1"/>
  <c r="N8" i="1" s="1"/>
  <c r="AD24" i="1" l="1"/>
  <c r="AD23" i="1"/>
  <c r="AD22" i="1"/>
  <c r="AD21" i="1"/>
  <c r="AD20" i="1"/>
  <c r="AD12" i="1"/>
  <c r="AD19" i="1"/>
  <c r="AD30" i="1"/>
  <c r="AD18" i="1"/>
  <c r="AD29" i="1"/>
  <c r="AD17" i="1"/>
  <c r="AD28" i="1"/>
  <c r="AD16" i="1"/>
  <c r="AD27" i="1"/>
  <c r="AD15" i="1"/>
  <c r="AD26" i="1"/>
  <c r="AD14" i="1"/>
  <c r="AD25" i="1"/>
  <c r="AD13" i="1"/>
  <c r="E29" i="1"/>
  <c r="E8" i="1"/>
  <c r="H26" i="1"/>
  <c r="E26" i="1"/>
  <c r="I8" i="1"/>
  <c r="E12" i="1"/>
  <c r="AB16" i="3" l="1"/>
  <c r="C3" i="4" l="1"/>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C1001" i="4"/>
  <c r="C1002" i="4"/>
  <c r="C1003" i="4"/>
  <c r="C1004" i="4"/>
  <c r="C1005" i="4"/>
  <c r="C1006" i="4"/>
  <c r="C1007" i="4"/>
  <c r="C1008" i="4"/>
  <c r="C1009" i="4"/>
  <c r="C1010" i="4"/>
  <c r="C1011" i="4"/>
  <c r="C1012" i="4"/>
  <c r="C1013" i="4"/>
  <c r="C1014" i="4"/>
  <c r="C1015" i="4"/>
  <c r="C1016" i="4"/>
  <c r="C1017" i="4"/>
  <c r="C1018" i="4"/>
  <c r="C1019" i="4"/>
  <c r="C1020" i="4"/>
  <c r="C1021" i="4"/>
  <c r="C1022" i="4"/>
  <c r="C1023" i="4"/>
  <c r="C1024" i="4"/>
  <c r="C1025" i="4"/>
  <c r="C1026" i="4"/>
  <c r="C1027" i="4"/>
  <c r="C1028" i="4"/>
  <c r="C1029" i="4"/>
  <c r="C1030" i="4"/>
  <c r="C1031" i="4"/>
  <c r="C1032" i="4"/>
  <c r="C1033" i="4"/>
  <c r="C1034" i="4"/>
  <c r="C1035" i="4"/>
  <c r="C1036" i="4"/>
  <c r="C1037" i="4"/>
  <c r="C1038" i="4"/>
  <c r="C1039" i="4"/>
  <c r="C1040" i="4"/>
  <c r="C1041" i="4"/>
  <c r="C1042" i="4"/>
  <c r="C1043" i="4"/>
  <c r="C1044" i="4"/>
  <c r="C1045" i="4"/>
  <c r="C1046" i="4"/>
  <c r="C1047" i="4"/>
  <c r="C1048" i="4"/>
  <c r="C1049" i="4"/>
  <c r="C1050" i="4"/>
  <c r="C1051" i="4"/>
  <c r="C1052" i="4"/>
  <c r="C1053" i="4"/>
  <c r="C1054" i="4"/>
  <c r="C1055" i="4"/>
  <c r="C1056" i="4"/>
  <c r="C1057" i="4"/>
  <c r="C1058" i="4"/>
  <c r="C1059" i="4"/>
  <c r="C1060" i="4"/>
  <c r="C1061" i="4"/>
  <c r="C1062" i="4"/>
  <c r="C1063" i="4"/>
  <c r="C1064" i="4"/>
  <c r="C1065" i="4"/>
  <c r="C1066" i="4"/>
  <c r="C1067" i="4"/>
  <c r="C1068" i="4"/>
  <c r="C1069" i="4"/>
  <c r="C1070" i="4"/>
  <c r="C1071" i="4"/>
  <c r="C1072" i="4"/>
  <c r="C1073" i="4"/>
  <c r="C1074" i="4"/>
  <c r="C1075" i="4"/>
  <c r="C1076" i="4"/>
  <c r="C1077" i="4"/>
  <c r="C1078" i="4"/>
  <c r="C1079" i="4"/>
  <c r="C1080" i="4"/>
  <c r="C1081" i="4"/>
  <c r="C1082" i="4"/>
  <c r="C1083" i="4"/>
  <c r="C1084" i="4"/>
  <c r="C1085" i="4"/>
  <c r="C1086" i="4"/>
  <c r="C1087" i="4"/>
  <c r="C1088" i="4"/>
  <c r="C1089" i="4"/>
  <c r="C1090" i="4"/>
  <c r="C1091" i="4"/>
  <c r="C1092" i="4"/>
  <c r="C1093" i="4"/>
  <c r="C1094" i="4"/>
  <c r="C1095" i="4"/>
  <c r="C1096" i="4"/>
  <c r="C1097" i="4"/>
  <c r="C1098" i="4"/>
  <c r="C1099" i="4"/>
  <c r="C1100" i="4"/>
  <c r="C1101" i="4"/>
  <c r="C1102" i="4"/>
  <c r="C1103" i="4"/>
  <c r="C1104" i="4"/>
  <c r="C1105" i="4"/>
  <c r="C1106" i="4"/>
  <c r="C1107" i="4"/>
  <c r="C1108" i="4"/>
  <c r="C1109" i="4"/>
  <c r="C1110" i="4"/>
  <c r="C1111" i="4"/>
  <c r="C1112" i="4"/>
  <c r="C1113" i="4"/>
  <c r="C1114" i="4"/>
  <c r="C1115" i="4"/>
  <c r="C1116" i="4"/>
  <c r="C1117" i="4"/>
  <c r="C1118" i="4"/>
  <c r="C1119" i="4"/>
  <c r="C1120" i="4"/>
  <c r="C1121" i="4"/>
  <c r="C1122" i="4"/>
  <c r="C1123" i="4"/>
  <c r="C1124" i="4"/>
  <c r="C1125" i="4"/>
  <c r="C1126" i="4"/>
  <c r="C1127" i="4"/>
  <c r="C1128" i="4"/>
  <c r="C1129" i="4"/>
  <c r="C1130" i="4"/>
  <c r="C1131" i="4"/>
  <c r="C1132" i="4"/>
  <c r="C1133" i="4"/>
  <c r="C1134" i="4"/>
  <c r="C1135" i="4"/>
  <c r="C1136" i="4"/>
  <c r="C1137" i="4"/>
  <c r="C1138" i="4"/>
  <c r="C1139" i="4"/>
  <c r="C1140" i="4"/>
  <c r="C1141" i="4"/>
  <c r="C1142" i="4"/>
  <c r="C1143" i="4"/>
  <c r="C1144" i="4"/>
  <c r="C1145" i="4"/>
  <c r="C1146" i="4"/>
  <c r="C1147" i="4"/>
  <c r="C1148" i="4"/>
  <c r="C1149" i="4"/>
  <c r="C1150" i="4"/>
  <c r="C1151" i="4"/>
  <c r="C1152" i="4"/>
  <c r="C1153" i="4"/>
  <c r="C1154" i="4"/>
  <c r="C1155" i="4"/>
  <c r="C1156" i="4"/>
  <c r="C1157" i="4"/>
  <c r="C1158" i="4"/>
  <c r="C1159" i="4"/>
  <c r="C1160" i="4"/>
  <c r="C1161" i="4"/>
  <c r="C1162" i="4"/>
  <c r="C1163" i="4"/>
  <c r="C1164" i="4"/>
  <c r="C1165" i="4"/>
  <c r="C1166" i="4"/>
  <c r="C1167" i="4"/>
  <c r="C1168" i="4"/>
  <c r="C1169" i="4"/>
  <c r="C1170" i="4"/>
  <c r="C1171" i="4"/>
  <c r="C1172" i="4"/>
  <c r="C1173" i="4"/>
  <c r="C1174" i="4"/>
  <c r="C1175" i="4"/>
  <c r="C1176" i="4"/>
  <c r="C1177" i="4"/>
  <c r="C1178" i="4"/>
  <c r="C1179" i="4"/>
  <c r="C1180" i="4"/>
  <c r="C1181" i="4"/>
  <c r="C1182" i="4"/>
  <c r="C1183" i="4"/>
  <c r="C1184" i="4"/>
  <c r="C1185" i="4"/>
  <c r="C1186" i="4"/>
  <c r="C1187" i="4"/>
  <c r="C1188" i="4"/>
  <c r="C1189" i="4"/>
  <c r="C1190" i="4"/>
  <c r="C1191" i="4"/>
  <c r="C1192" i="4"/>
  <c r="C1193" i="4"/>
  <c r="C1194" i="4"/>
  <c r="C1195" i="4"/>
  <c r="C1196" i="4"/>
  <c r="C1197" i="4"/>
  <c r="C1198" i="4"/>
  <c r="C1199" i="4"/>
  <c r="C1200" i="4"/>
  <c r="C1201" i="4"/>
  <c r="C1202" i="4"/>
  <c r="C1203" i="4"/>
  <c r="C1204" i="4"/>
  <c r="C1205" i="4"/>
  <c r="C1206" i="4"/>
  <c r="C1207" i="4"/>
  <c r="C1208" i="4"/>
  <c r="C1209" i="4"/>
  <c r="C1210" i="4"/>
  <c r="C1211" i="4"/>
  <c r="C1212" i="4"/>
  <c r="C1213" i="4"/>
  <c r="C1214" i="4"/>
  <c r="C1215" i="4"/>
  <c r="C1216" i="4"/>
  <c r="C1217" i="4"/>
  <c r="C1218" i="4"/>
  <c r="C1219" i="4"/>
  <c r="C1220" i="4"/>
  <c r="C1221" i="4"/>
  <c r="C1222" i="4"/>
  <c r="C1223" i="4"/>
  <c r="C1224" i="4"/>
  <c r="C1225" i="4"/>
  <c r="C1226" i="4"/>
  <c r="C1227" i="4"/>
  <c r="C1228" i="4"/>
  <c r="C1229" i="4"/>
  <c r="C1230" i="4"/>
  <c r="C1231" i="4"/>
  <c r="C1232" i="4"/>
  <c r="C1233" i="4"/>
  <c r="C1234" i="4"/>
  <c r="C1235" i="4"/>
  <c r="C1236" i="4"/>
  <c r="C1237" i="4"/>
  <c r="C1238" i="4"/>
  <c r="C1239" i="4"/>
  <c r="C1240" i="4"/>
  <c r="C1241" i="4"/>
  <c r="C1242" i="4"/>
  <c r="C1243" i="4"/>
  <c r="C1244" i="4"/>
  <c r="C1245" i="4"/>
  <c r="C1246" i="4"/>
  <c r="C1247" i="4"/>
  <c r="C1248" i="4"/>
  <c r="C1249" i="4"/>
  <c r="C1250" i="4"/>
  <c r="C1251" i="4"/>
  <c r="C1252" i="4"/>
  <c r="C1253" i="4"/>
  <c r="C1254" i="4"/>
  <c r="C1255" i="4"/>
  <c r="C1256" i="4"/>
  <c r="C1257" i="4"/>
  <c r="C1258" i="4"/>
  <c r="C1259" i="4"/>
  <c r="C1260" i="4"/>
  <c r="C1261" i="4"/>
  <c r="C1262" i="4"/>
  <c r="C1263" i="4"/>
  <c r="C1264" i="4"/>
  <c r="C1265" i="4"/>
  <c r="C1266" i="4"/>
  <c r="C1267" i="4"/>
  <c r="C1268" i="4"/>
  <c r="C1269" i="4"/>
  <c r="C1270" i="4"/>
  <c r="C1271" i="4"/>
  <c r="C1272" i="4"/>
  <c r="C1273" i="4"/>
  <c r="C1274" i="4"/>
  <c r="C1275" i="4"/>
  <c r="C1276" i="4"/>
  <c r="C1277" i="4"/>
  <c r="C1278" i="4"/>
  <c r="C1279" i="4"/>
  <c r="C1280" i="4"/>
  <c r="C1281" i="4"/>
  <c r="C1282" i="4"/>
  <c r="C1283" i="4"/>
  <c r="C1284" i="4"/>
  <c r="C1285" i="4"/>
  <c r="C1286" i="4"/>
  <c r="C1287" i="4"/>
  <c r="C1288" i="4"/>
  <c r="C1289" i="4"/>
  <c r="C1290" i="4"/>
  <c r="C1291" i="4"/>
  <c r="C1292" i="4"/>
  <c r="C1293" i="4"/>
  <c r="C1294" i="4"/>
  <c r="C1295" i="4"/>
  <c r="C1296" i="4"/>
  <c r="C1297" i="4"/>
  <c r="C1298" i="4"/>
  <c r="C1299" i="4"/>
  <c r="C1300" i="4"/>
  <c r="C1301" i="4"/>
  <c r="C1302" i="4"/>
  <c r="C1303" i="4"/>
  <c r="C1304" i="4"/>
  <c r="C1305" i="4"/>
  <c r="C1306" i="4"/>
  <c r="C1307" i="4"/>
  <c r="C1308" i="4"/>
  <c r="C1309" i="4"/>
  <c r="C1310" i="4"/>
  <c r="C1311" i="4"/>
  <c r="C1312" i="4"/>
  <c r="C1313" i="4"/>
  <c r="C1314" i="4"/>
  <c r="C1315" i="4"/>
  <c r="C1316" i="4"/>
  <c r="C1317" i="4"/>
  <c r="C1318" i="4"/>
  <c r="C1319" i="4"/>
  <c r="C1320" i="4"/>
  <c r="C1321" i="4"/>
  <c r="C1322" i="4"/>
  <c r="C1323" i="4"/>
  <c r="C1324" i="4"/>
  <c r="C1325" i="4"/>
  <c r="C1326" i="4"/>
  <c r="C1327" i="4"/>
  <c r="C1328" i="4"/>
  <c r="C1329" i="4"/>
  <c r="C1330" i="4"/>
  <c r="C1331" i="4"/>
  <c r="C1332" i="4"/>
  <c r="C1333" i="4"/>
  <c r="C1334" i="4"/>
  <c r="C1335" i="4"/>
  <c r="C1336" i="4"/>
  <c r="C1337" i="4"/>
  <c r="C1338" i="4"/>
  <c r="C1339" i="4"/>
  <c r="C1340" i="4"/>
  <c r="C1341" i="4"/>
  <c r="C1342" i="4"/>
  <c r="C1343" i="4"/>
  <c r="C1344" i="4"/>
  <c r="C1345" i="4"/>
  <c r="C1346" i="4"/>
  <c r="C1347" i="4"/>
  <c r="C1348" i="4"/>
  <c r="C1349" i="4"/>
  <c r="C1350" i="4"/>
  <c r="C1351" i="4"/>
  <c r="C1352" i="4"/>
  <c r="C1353" i="4"/>
  <c r="C1354" i="4"/>
  <c r="C1355" i="4"/>
  <c r="C1356" i="4"/>
  <c r="C1357" i="4"/>
  <c r="C1358" i="4"/>
  <c r="C1359" i="4"/>
  <c r="C1360" i="4"/>
  <c r="C1361" i="4"/>
  <c r="C1362" i="4"/>
  <c r="C1363" i="4"/>
  <c r="C1364" i="4"/>
  <c r="C1365" i="4"/>
  <c r="C1366" i="4"/>
  <c r="C1367" i="4"/>
  <c r="C1368" i="4"/>
  <c r="C1369" i="4"/>
  <c r="C1370" i="4"/>
  <c r="C1371" i="4"/>
  <c r="C1372" i="4"/>
  <c r="C1373" i="4"/>
  <c r="C1374" i="4"/>
  <c r="C1375" i="4"/>
  <c r="C1376" i="4"/>
  <c r="C1377" i="4"/>
  <c r="C1378" i="4"/>
  <c r="C1379" i="4"/>
  <c r="C1380" i="4"/>
  <c r="C1381" i="4"/>
  <c r="C1382" i="4"/>
  <c r="C1383" i="4"/>
  <c r="C1384" i="4"/>
  <c r="C1385" i="4"/>
  <c r="C1386" i="4"/>
  <c r="C1387" i="4"/>
  <c r="C1388" i="4"/>
  <c r="C1389" i="4"/>
  <c r="C1390" i="4"/>
  <c r="C1391" i="4"/>
  <c r="C1392" i="4"/>
  <c r="C1393" i="4"/>
  <c r="C1394" i="4"/>
  <c r="C1395" i="4"/>
  <c r="C1396" i="4"/>
  <c r="C1397" i="4"/>
  <c r="C1398" i="4"/>
  <c r="C1399" i="4"/>
  <c r="C1400" i="4"/>
  <c r="C1401" i="4"/>
  <c r="C1402" i="4"/>
  <c r="C1403" i="4"/>
  <c r="C1404" i="4"/>
  <c r="C1405" i="4"/>
  <c r="C1406" i="4"/>
  <c r="C1407" i="4"/>
  <c r="C1408" i="4"/>
  <c r="C1409" i="4"/>
  <c r="C1410" i="4"/>
  <c r="C1411" i="4"/>
  <c r="C1412" i="4"/>
  <c r="C1413" i="4"/>
  <c r="C1414" i="4"/>
  <c r="C1415" i="4"/>
  <c r="C1416" i="4"/>
  <c r="C1417" i="4"/>
  <c r="C1418" i="4"/>
  <c r="C1419" i="4"/>
  <c r="C1420" i="4"/>
  <c r="C1421" i="4"/>
  <c r="C1422" i="4"/>
  <c r="C1423" i="4"/>
  <c r="C1424" i="4"/>
  <c r="C1425" i="4"/>
  <c r="C1426" i="4"/>
  <c r="C1427" i="4"/>
  <c r="C1428" i="4"/>
  <c r="C1429" i="4"/>
  <c r="C1430" i="4"/>
  <c r="C1431" i="4"/>
  <c r="C1432" i="4"/>
  <c r="C1433" i="4"/>
  <c r="C1434" i="4"/>
  <c r="C1435" i="4"/>
  <c r="C1436" i="4"/>
  <c r="C1437" i="4"/>
  <c r="C1438" i="4"/>
  <c r="C1439" i="4"/>
  <c r="C1440" i="4"/>
  <c r="C1441" i="4"/>
  <c r="C1442" i="4"/>
  <c r="C1443" i="4"/>
  <c r="C1444" i="4"/>
  <c r="C1445" i="4"/>
  <c r="C1446" i="4"/>
  <c r="C1447" i="4"/>
  <c r="C1448" i="4"/>
  <c r="C1449" i="4"/>
  <c r="C1450" i="4"/>
  <c r="C1451" i="4"/>
  <c r="C1452" i="4"/>
  <c r="C1453" i="4"/>
  <c r="C1454" i="4"/>
  <c r="C1455" i="4"/>
  <c r="C1456" i="4"/>
  <c r="C1457" i="4"/>
  <c r="C1458" i="4"/>
  <c r="C1459" i="4"/>
  <c r="C1460" i="4"/>
  <c r="C1461" i="4"/>
  <c r="C1462" i="4"/>
  <c r="C1463" i="4"/>
  <c r="C1464" i="4"/>
  <c r="C1465" i="4"/>
  <c r="C1466" i="4"/>
  <c r="C1467" i="4"/>
  <c r="C1468" i="4"/>
  <c r="C1469" i="4"/>
  <c r="C1470" i="4"/>
  <c r="C1471" i="4"/>
  <c r="C1472" i="4"/>
  <c r="C1473" i="4"/>
  <c r="C1474" i="4"/>
  <c r="C1475" i="4"/>
  <c r="C1476" i="4"/>
  <c r="C1477" i="4"/>
  <c r="C1478" i="4"/>
  <c r="C1479" i="4"/>
  <c r="C1480" i="4"/>
  <c r="C1481" i="4"/>
  <c r="C1482" i="4"/>
  <c r="C1483" i="4"/>
  <c r="C1484" i="4"/>
  <c r="C1485" i="4"/>
  <c r="C1486" i="4"/>
  <c r="C1487" i="4"/>
  <c r="C1488" i="4"/>
  <c r="C1489" i="4"/>
  <c r="C1490" i="4"/>
  <c r="C1491" i="4"/>
  <c r="C1492" i="4"/>
  <c r="C1493" i="4"/>
  <c r="C1494" i="4"/>
  <c r="C1495" i="4"/>
  <c r="C1496" i="4"/>
  <c r="C1497" i="4"/>
  <c r="C1498" i="4"/>
  <c r="C1499" i="4"/>
  <c r="C1500" i="4"/>
  <c r="C1501" i="4"/>
  <c r="C1502" i="4"/>
  <c r="C1503" i="4"/>
  <c r="C1504" i="4"/>
  <c r="C1505" i="4"/>
  <c r="C1506" i="4"/>
  <c r="C1507" i="4"/>
  <c r="C1508" i="4"/>
  <c r="C1509" i="4"/>
  <c r="C1510" i="4"/>
  <c r="C1511" i="4"/>
  <c r="C1512" i="4"/>
  <c r="C1513" i="4"/>
  <c r="C1514" i="4"/>
  <c r="C1515" i="4"/>
  <c r="C1516" i="4"/>
  <c r="C1517" i="4"/>
  <c r="C1518" i="4"/>
  <c r="C1519" i="4"/>
  <c r="C1520" i="4"/>
  <c r="C1521" i="4"/>
  <c r="C1522" i="4"/>
  <c r="C1523" i="4"/>
  <c r="C1524" i="4"/>
  <c r="C1525" i="4"/>
  <c r="C1526" i="4"/>
  <c r="C1527" i="4"/>
  <c r="C1528" i="4"/>
  <c r="C1529" i="4"/>
  <c r="C1530" i="4"/>
  <c r="C1531" i="4"/>
  <c r="C1532" i="4"/>
  <c r="C1533" i="4"/>
  <c r="C1534" i="4"/>
  <c r="C1535" i="4"/>
  <c r="C1536" i="4"/>
  <c r="C1537" i="4"/>
  <c r="C1538" i="4"/>
  <c r="C1539" i="4"/>
  <c r="C1540" i="4"/>
  <c r="C1541" i="4"/>
  <c r="C1542" i="4"/>
  <c r="C1543" i="4"/>
  <c r="C1544" i="4"/>
  <c r="C1545" i="4"/>
  <c r="C1546" i="4"/>
  <c r="C1547" i="4"/>
  <c r="C1548" i="4"/>
  <c r="C1549" i="4"/>
  <c r="C1550" i="4"/>
  <c r="C1551" i="4"/>
  <c r="C1552" i="4"/>
  <c r="C1553" i="4"/>
  <c r="C1554" i="4"/>
  <c r="C1555" i="4"/>
  <c r="C1556" i="4"/>
  <c r="C1557" i="4"/>
  <c r="C1558" i="4"/>
  <c r="C1559" i="4"/>
  <c r="C1560" i="4"/>
  <c r="C1561" i="4"/>
  <c r="C1562" i="4"/>
  <c r="C1563" i="4"/>
  <c r="C1564" i="4"/>
  <c r="C1565" i="4"/>
  <c r="C1566" i="4"/>
  <c r="C1567" i="4"/>
  <c r="C1568" i="4"/>
  <c r="C1569" i="4"/>
  <c r="C1570" i="4"/>
  <c r="C1571" i="4"/>
  <c r="C1572" i="4"/>
  <c r="C1573" i="4"/>
  <c r="C1574" i="4"/>
  <c r="C1575" i="4"/>
  <c r="C1576" i="4"/>
  <c r="C1577" i="4"/>
  <c r="C1578" i="4"/>
  <c r="C1579" i="4"/>
  <c r="C1580" i="4"/>
  <c r="C1581" i="4"/>
  <c r="C1582" i="4"/>
  <c r="C1583" i="4"/>
  <c r="C1584" i="4"/>
  <c r="C1585" i="4"/>
  <c r="C1586" i="4"/>
  <c r="C1587" i="4"/>
  <c r="C1588" i="4"/>
  <c r="C1589" i="4"/>
  <c r="C1590" i="4"/>
  <c r="C1591" i="4"/>
  <c r="C1592" i="4"/>
  <c r="C1593" i="4"/>
  <c r="C1594" i="4"/>
  <c r="C1595" i="4"/>
  <c r="C1596" i="4"/>
  <c r="C1597" i="4"/>
  <c r="C1598" i="4"/>
  <c r="C1599" i="4"/>
  <c r="C1600" i="4"/>
  <c r="C1601" i="4"/>
  <c r="C1602" i="4"/>
  <c r="C1603" i="4"/>
  <c r="C1604" i="4"/>
  <c r="C1605" i="4"/>
  <c r="C1606" i="4"/>
  <c r="C1607" i="4"/>
  <c r="C1608" i="4"/>
  <c r="C1609" i="4"/>
  <c r="C1610" i="4"/>
  <c r="C1611" i="4"/>
  <c r="C1612" i="4"/>
  <c r="C1613" i="4"/>
  <c r="C1614" i="4"/>
  <c r="C1615" i="4"/>
  <c r="C1616" i="4"/>
  <c r="C1617" i="4"/>
  <c r="C1618" i="4"/>
  <c r="C1619" i="4"/>
  <c r="C1620" i="4"/>
  <c r="C1621" i="4"/>
  <c r="C1622" i="4"/>
  <c r="C1623" i="4"/>
  <c r="C1624" i="4"/>
  <c r="C1625" i="4"/>
  <c r="C1626" i="4"/>
  <c r="C1627" i="4"/>
  <c r="C1628" i="4"/>
  <c r="C1629" i="4"/>
  <c r="C1630" i="4"/>
  <c r="C1631" i="4"/>
  <c r="C1632" i="4"/>
  <c r="C1633" i="4"/>
  <c r="C1634" i="4"/>
  <c r="C1635" i="4"/>
  <c r="C1636" i="4"/>
  <c r="C1637" i="4"/>
  <c r="C1638" i="4"/>
  <c r="C1639" i="4"/>
  <c r="C1640" i="4"/>
  <c r="C1641" i="4"/>
  <c r="C1642" i="4"/>
  <c r="C1643" i="4"/>
  <c r="C1644" i="4"/>
  <c r="C1645" i="4"/>
  <c r="C1646" i="4"/>
  <c r="C1647" i="4"/>
  <c r="C1648" i="4"/>
  <c r="C1649" i="4"/>
  <c r="C1650" i="4"/>
  <c r="C1651" i="4"/>
  <c r="C1652" i="4"/>
  <c r="C1653" i="4"/>
  <c r="C1654" i="4"/>
  <c r="C1655" i="4"/>
  <c r="C1656" i="4"/>
  <c r="C1657" i="4"/>
  <c r="C1658" i="4"/>
  <c r="C1659" i="4"/>
  <c r="C1660" i="4"/>
  <c r="C1661" i="4"/>
  <c r="C1662" i="4"/>
  <c r="C1663" i="4"/>
  <c r="C1664" i="4"/>
  <c r="C1665" i="4"/>
  <c r="C1666" i="4"/>
  <c r="C1667" i="4"/>
  <c r="C1668" i="4"/>
  <c r="C1669" i="4"/>
  <c r="C1670" i="4"/>
  <c r="C1671" i="4"/>
  <c r="C1672" i="4"/>
  <c r="C1673" i="4"/>
  <c r="C1674" i="4"/>
  <c r="C1675" i="4"/>
  <c r="C1676" i="4"/>
  <c r="C1677" i="4"/>
  <c r="C1678" i="4"/>
  <c r="C1679" i="4"/>
  <c r="C1680" i="4"/>
  <c r="C1681" i="4"/>
  <c r="C1682" i="4"/>
  <c r="C1683" i="4"/>
  <c r="C1684" i="4"/>
  <c r="C1685" i="4"/>
  <c r="C1686" i="4"/>
  <c r="C1687" i="4"/>
  <c r="C1688" i="4"/>
  <c r="C1689" i="4"/>
  <c r="C1690" i="4"/>
  <c r="C1691" i="4"/>
  <c r="C1692" i="4"/>
  <c r="C1693" i="4"/>
  <c r="C1694" i="4"/>
  <c r="C1695" i="4"/>
  <c r="C1696" i="4"/>
  <c r="C1697" i="4"/>
  <c r="C1698" i="4"/>
  <c r="C1699" i="4"/>
  <c r="C1700" i="4"/>
  <c r="C1701" i="4"/>
  <c r="C1702" i="4"/>
  <c r="C1703" i="4"/>
  <c r="C1704" i="4"/>
  <c r="C1705" i="4"/>
  <c r="C1706" i="4"/>
  <c r="C1707" i="4"/>
  <c r="C1708" i="4"/>
  <c r="C1709" i="4"/>
  <c r="C1710" i="4"/>
  <c r="C1711" i="4"/>
  <c r="C1712" i="4"/>
  <c r="C1713" i="4"/>
  <c r="C1714" i="4"/>
  <c r="C1715" i="4"/>
  <c r="C1716" i="4"/>
  <c r="C1717" i="4"/>
  <c r="C1718" i="4"/>
  <c r="C1719" i="4"/>
  <c r="C1720" i="4"/>
  <c r="C1721" i="4"/>
  <c r="C1722" i="4"/>
  <c r="C1723" i="4"/>
  <c r="C1724" i="4"/>
  <c r="C1725" i="4"/>
  <c r="C1726" i="4"/>
  <c r="C1727" i="4"/>
  <c r="C1728" i="4"/>
  <c r="C1729" i="4"/>
  <c r="C1730" i="4"/>
  <c r="C1731" i="4"/>
  <c r="C1732" i="4"/>
  <c r="C1733" i="4"/>
  <c r="C1734" i="4"/>
  <c r="C1735" i="4"/>
  <c r="C1736" i="4"/>
  <c r="C1737" i="4"/>
  <c r="C1738" i="4"/>
  <c r="C1739" i="4"/>
  <c r="C1740" i="4"/>
  <c r="C1741" i="4"/>
  <c r="C1742" i="4"/>
  <c r="C1743" i="4"/>
  <c r="C1744" i="4"/>
  <c r="C1745" i="4"/>
  <c r="C1746" i="4"/>
  <c r="C1747" i="4"/>
  <c r="C1748" i="4"/>
  <c r="C1749" i="4"/>
  <c r="C1750" i="4"/>
  <c r="C1751" i="4"/>
  <c r="C1752" i="4"/>
  <c r="C1753" i="4"/>
  <c r="C1754" i="4"/>
  <c r="C1755" i="4"/>
  <c r="C1756" i="4"/>
  <c r="C1757" i="4"/>
  <c r="C1758" i="4"/>
  <c r="C1759" i="4"/>
  <c r="C1760" i="4"/>
  <c r="C1761" i="4"/>
  <c r="C1762" i="4"/>
  <c r="C1763" i="4"/>
  <c r="C1764" i="4"/>
  <c r="C1765" i="4"/>
  <c r="C1766" i="4"/>
  <c r="C1767" i="4"/>
  <c r="C1768" i="4"/>
  <c r="C1769" i="4"/>
  <c r="C1770" i="4"/>
  <c r="C1771" i="4"/>
  <c r="C1772" i="4"/>
  <c r="C1773" i="4"/>
  <c r="C1774" i="4"/>
  <c r="C1775" i="4"/>
  <c r="C1776" i="4"/>
  <c r="C1777" i="4"/>
  <c r="C1778" i="4"/>
  <c r="C1779" i="4"/>
  <c r="C1780" i="4"/>
  <c r="C1781" i="4"/>
  <c r="C1782" i="4"/>
  <c r="C1783" i="4"/>
  <c r="C1784" i="4"/>
  <c r="C1785" i="4"/>
  <c r="C1786" i="4"/>
  <c r="C1787" i="4"/>
  <c r="C1788" i="4"/>
  <c r="C1789" i="4"/>
  <c r="C1790" i="4"/>
  <c r="C1791" i="4"/>
  <c r="C1792" i="4"/>
  <c r="C1793" i="4"/>
  <c r="C1794" i="4"/>
  <c r="C1795" i="4"/>
  <c r="C1796" i="4"/>
  <c r="C1797" i="4"/>
  <c r="C1798" i="4"/>
  <c r="C1799" i="4"/>
  <c r="C1800" i="4"/>
  <c r="C1801" i="4"/>
  <c r="C1802" i="4"/>
  <c r="C1803" i="4"/>
  <c r="C1804" i="4"/>
  <c r="C1805" i="4"/>
  <c r="C1806" i="4"/>
  <c r="C1807" i="4"/>
  <c r="C1808" i="4"/>
  <c r="C1809" i="4"/>
  <c r="C1810" i="4"/>
  <c r="C1811" i="4"/>
  <c r="C1812" i="4"/>
  <c r="C1813" i="4"/>
  <c r="C1814" i="4"/>
  <c r="C1815" i="4"/>
  <c r="C1816" i="4"/>
  <c r="C1817" i="4"/>
  <c r="C1818" i="4"/>
  <c r="C1819" i="4"/>
  <c r="C1820" i="4"/>
  <c r="C1821" i="4"/>
  <c r="C1822" i="4"/>
  <c r="C1823" i="4"/>
  <c r="C1824" i="4"/>
  <c r="C1825" i="4"/>
  <c r="C1826" i="4"/>
  <c r="C1827" i="4"/>
  <c r="C1828" i="4"/>
  <c r="C1829" i="4"/>
  <c r="C1830" i="4"/>
  <c r="C1831" i="4"/>
  <c r="C1832" i="4"/>
  <c r="C1833" i="4"/>
  <c r="C1834" i="4"/>
  <c r="C1835" i="4"/>
  <c r="C1836" i="4"/>
  <c r="C1837" i="4"/>
  <c r="C1838" i="4"/>
  <c r="C1839" i="4"/>
  <c r="C1840" i="4"/>
  <c r="C1841" i="4"/>
  <c r="C1842" i="4"/>
  <c r="C1843" i="4"/>
  <c r="C1844" i="4"/>
  <c r="C1845" i="4"/>
  <c r="C1846" i="4"/>
  <c r="C1847" i="4"/>
  <c r="C1848" i="4"/>
  <c r="C1849" i="4"/>
  <c r="C1850" i="4"/>
  <c r="C1851" i="4"/>
  <c r="C1852" i="4"/>
  <c r="C1853" i="4"/>
  <c r="C1854" i="4"/>
  <c r="C1855" i="4"/>
  <c r="C1856" i="4"/>
  <c r="C1857" i="4"/>
  <c r="C1858" i="4"/>
  <c r="C1859" i="4"/>
  <c r="C1860" i="4"/>
  <c r="C1861" i="4"/>
  <c r="C1862" i="4"/>
  <c r="C1863" i="4"/>
  <c r="C1864" i="4"/>
  <c r="C1865" i="4"/>
  <c r="C1866" i="4"/>
  <c r="C1867" i="4"/>
  <c r="C1868" i="4"/>
  <c r="C1869" i="4"/>
  <c r="C1870" i="4"/>
  <c r="C1871" i="4"/>
  <c r="C1872" i="4"/>
  <c r="C1873" i="4"/>
  <c r="C1874" i="4"/>
  <c r="C1875" i="4"/>
  <c r="C1876" i="4"/>
  <c r="C1877" i="4"/>
  <c r="C1878" i="4"/>
  <c r="C1879" i="4"/>
  <c r="C1880" i="4"/>
  <c r="C1881" i="4"/>
  <c r="C1882" i="4"/>
  <c r="C1883" i="4"/>
  <c r="C1884" i="4"/>
  <c r="C1885" i="4"/>
  <c r="C1886" i="4"/>
  <c r="C1887" i="4"/>
  <c r="C1888" i="4"/>
  <c r="C1889" i="4"/>
  <c r="C1890" i="4"/>
  <c r="C1891" i="4"/>
  <c r="C1892" i="4"/>
  <c r="C1893" i="4"/>
  <c r="C1894" i="4"/>
  <c r="C1895" i="4"/>
  <c r="C1896" i="4"/>
  <c r="C1897" i="4"/>
  <c r="C1898" i="4"/>
  <c r="C1899" i="4"/>
  <c r="C1900" i="4"/>
  <c r="C1901" i="4"/>
  <c r="C1902" i="4"/>
  <c r="C1903" i="4"/>
  <c r="C1904" i="4"/>
  <c r="C1905" i="4"/>
  <c r="C1906" i="4"/>
  <c r="C1907" i="4"/>
  <c r="C1908" i="4"/>
  <c r="C1909" i="4"/>
  <c r="C1910" i="4"/>
  <c r="C1911" i="4"/>
  <c r="C1912" i="4"/>
  <c r="C1913" i="4"/>
  <c r="C1914" i="4"/>
  <c r="C1915" i="4"/>
  <c r="C1916" i="4"/>
  <c r="C1917" i="4"/>
  <c r="C1918" i="4"/>
  <c r="C1919" i="4"/>
  <c r="C1920" i="4"/>
  <c r="C1921" i="4"/>
  <c r="C1922" i="4"/>
  <c r="C1923" i="4"/>
  <c r="C1924" i="4"/>
  <c r="C1925" i="4"/>
  <c r="C1926" i="4"/>
  <c r="C1927" i="4"/>
  <c r="C1928" i="4"/>
  <c r="C1929" i="4"/>
  <c r="C1930" i="4"/>
  <c r="C1931" i="4"/>
  <c r="C1932" i="4"/>
  <c r="C1933" i="4"/>
  <c r="C1934" i="4"/>
  <c r="C1935" i="4"/>
  <c r="C1936" i="4"/>
  <c r="C1937" i="4"/>
  <c r="C1938" i="4"/>
  <c r="C1939" i="4"/>
  <c r="C1940" i="4"/>
  <c r="C1941" i="4"/>
  <c r="C1942" i="4"/>
  <c r="C1943" i="4"/>
  <c r="C1944" i="4"/>
  <c r="C1945" i="4"/>
  <c r="C1946" i="4"/>
  <c r="C1947" i="4"/>
  <c r="C1948" i="4"/>
  <c r="C1949" i="4"/>
  <c r="C1950" i="4"/>
  <c r="C1951" i="4"/>
  <c r="C1952" i="4"/>
  <c r="C1953" i="4"/>
  <c r="C1954" i="4"/>
  <c r="C1955" i="4"/>
  <c r="C1956" i="4"/>
  <c r="C1957" i="4"/>
  <c r="C1958" i="4"/>
  <c r="C1959" i="4"/>
  <c r="C1960" i="4"/>
  <c r="C1961" i="4"/>
  <c r="C1962" i="4"/>
  <c r="C1963" i="4"/>
  <c r="C1964" i="4"/>
  <c r="C1965" i="4"/>
  <c r="C1966" i="4"/>
  <c r="C1967" i="4"/>
  <c r="C1968" i="4"/>
  <c r="C1969" i="4"/>
  <c r="C1970" i="4"/>
  <c r="C1971" i="4"/>
  <c r="C1972" i="4"/>
  <c r="C1973" i="4"/>
  <c r="C1974" i="4"/>
  <c r="C1975" i="4"/>
  <c r="C1976" i="4"/>
  <c r="C1977" i="4"/>
  <c r="C1978" i="4"/>
  <c r="C1979" i="4"/>
  <c r="C1980" i="4"/>
  <c r="C1981" i="4"/>
  <c r="C1982" i="4"/>
  <c r="C1983" i="4"/>
  <c r="C1984" i="4"/>
  <c r="C1985" i="4"/>
  <c r="C1986" i="4"/>
  <c r="C1987" i="4"/>
  <c r="C1988" i="4"/>
  <c r="C1989" i="4"/>
  <c r="C1990" i="4"/>
  <c r="C1991" i="4"/>
  <c r="C1992" i="4"/>
  <c r="C1993" i="4"/>
  <c r="C1994" i="4"/>
  <c r="C1995" i="4"/>
  <c r="C1996" i="4"/>
  <c r="C1997" i="4"/>
  <c r="C1998" i="4"/>
  <c r="C1999" i="4"/>
  <c r="C2000" i="4"/>
  <c r="C2" i="4"/>
  <c r="A21" i="4"/>
  <c r="A22" i="4"/>
  <c r="A23" i="4"/>
  <c r="A24" i="4"/>
  <c r="A25" i="4"/>
  <c r="A26" i="4"/>
  <c r="A27" i="4"/>
  <c r="A28" i="4"/>
  <c r="A29" i="4"/>
  <c r="A30" i="4"/>
  <c r="B1352" i="4"/>
  <c r="B1353" i="4"/>
  <c r="B1354" i="4"/>
  <c r="B1355" i="4"/>
  <c r="B1356" i="4"/>
  <c r="B1357" i="4"/>
  <c r="B1358" i="4"/>
  <c r="B1359" i="4"/>
  <c r="B1360" i="4"/>
  <c r="B1361" i="4"/>
  <c r="B1362" i="4"/>
  <c r="B1363" i="4"/>
  <c r="B1364" i="4"/>
  <c r="B1365" i="4"/>
  <c r="B1366" i="4"/>
  <c r="B1367" i="4"/>
  <c r="B1368" i="4"/>
  <c r="B1369" i="4"/>
  <c r="B1370" i="4"/>
  <c r="B1371" i="4"/>
  <c r="B1372" i="4"/>
  <c r="B1373" i="4"/>
  <c r="B1374" i="4"/>
  <c r="B1375" i="4"/>
  <c r="B1376" i="4"/>
  <c r="B1377" i="4"/>
  <c r="B1378" i="4"/>
  <c r="B1379" i="4"/>
  <c r="B1380" i="4"/>
  <c r="B1381" i="4"/>
  <c r="B1382" i="4"/>
  <c r="B1383" i="4"/>
  <c r="B1384" i="4"/>
  <c r="B1385" i="4"/>
  <c r="B1386" i="4"/>
  <c r="B1387" i="4"/>
  <c r="B1388" i="4"/>
  <c r="B1389" i="4"/>
  <c r="B1390" i="4"/>
  <c r="B1391" i="4"/>
  <c r="B1392" i="4"/>
  <c r="B1393" i="4"/>
  <c r="B1394" i="4"/>
  <c r="B1395" i="4"/>
  <c r="B1396" i="4"/>
  <c r="B1397" i="4"/>
  <c r="B1398" i="4"/>
  <c r="B1399" i="4"/>
  <c r="B1400" i="4"/>
  <c r="B1401" i="4"/>
  <c r="B1402" i="4"/>
  <c r="B1403" i="4"/>
  <c r="B1404" i="4"/>
  <c r="B1405" i="4"/>
  <c r="B1406" i="4"/>
  <c r="B1407" i="4"/>
  <c r="B1408" i="4"/>
  <c r="B1409" i="4"/>
  <c r="B1410" i="4"/>
  <c r="B1411" i="4"/>
  <c r="B1412" i="4"/>
  <c r="B1413" i="4"/>
  <c r="B1414" i="4"/>
  <c r="B1415" i="4"/>
  <c r="B1416" i="4"/>
  <c r="B1417" i="4"/>
  <c r="B1418" i="4"/>
  <c r="B1419" i="4"/>
  <c r="B1420" i="4"/>
  <c r="B1421" i="4"/>
  <c r="B1422" i="4"/>
  <c r="B1423" i="4"/>
  <c r="B1424" i="4"/>
  <c r="B1425" i="4"/>
  <c r="B1426" i="4"/>
  <c r="B1427" i="4"/>
  <c r="B1428" i="4"/>
  <c r="B1429" i="4"/>
  <c r="B1430" i="4"/>
  <c r="B1431" i="4"/>
  <c r="B1432" i="4"/>
  <c r="B1433" i="4"/>
  <c r="B1434" i="4"/>
  <c r="B1435" i="4"/>
  <c r="B1436" i="4"/>
  <c r="B1437" i="4"/>
  <c r="B1438" i="4"/>
  <c r="B1439" i="4"/>
  <c r="B1440" i="4"/>
  <c r="B1441" i="4"/>
  <c r="B1442" i="4"/>
  <c r="B1443" i="4"/>
  <c r="B1444" i="4"/>
  <c r="B1445" i="4"/>
  <c r="B1446" i="4"/>
  <c r="B1447" i="4"/>
  <c r="B1448" i="4"/>
  <c r="B1449" i="4"/>
  <c r="B1450" i="4"/>
  <c r="B1451" i="4"/>
  <c r="B1452" i="4"/>
  <c r="B1453" i="4"/>
  <c r="B1454" i="4"/>
  <c r="B1455" i="4"/>
  <c r="B1456" i="4"/>
  <c r="B1457" i="4"/>
  <c r="B1458" i="4"/>
  <c r="B1459" i="4"/>
  <c r="B1460" i="4"/>
  <c r="B1461" i="4"/>
  <c r="B1462" i="4"/>
  <c r="B1463" i="4"/>
  <c r="B1464" i="4"/>
  <c r="B1465" i="4"/>
  <c r="B1466" i="4"/>
  <c r="B1467" i="4"/>
  <c r="B1468" i="4"/>
  <c r="B1469" i="4"/>
  <c r="B1470" i="4"/>
  <c r="B1471" i="4"/>
  <c r="B1472" i="4"/>
  <c r="B1473" i="4"/>
  <c r="B1474" i="4"/>
  <c r="B1475" i="4"/>
  <c r="B1476" i="4"/>
  <c r="B1477" i="4"/>
  <c r="B1478" i="4"/>
  <c r="B1479" i="4"/>
  <c r="B1480" i="4"/>
  <c r="B1481" i="4"/>
  <c r="B1482" i="4"/>
  <c r="B1483" i="4"/>
  <c r="B1484" i="4"/>
  <c r="B1485" i="4"/>
  <c r="B1486" i="4"/>
  <c r="B1487" i="4"/>
  <c r="B1488" i="4"/>
  <c r="B1489" i="4"/>
  <c r="B1490" i="4"/>
  <c r="B1491" i="4"/>
  <c r="B1492" i="4"/>
  <c r="B1493" i="4"/>
  <c r="B1494" i="4"/>
  <c r="B1495" i="4"/>
  <c r="B1496" i="4"/>
  <c r="B1497" i="4"/>
  <c r="B1498" i="4"/>
  <c r="B1499" i="4"/>
  <c r="B1500" i="4"/>
  <c r="B1501" i="4"/>
  <c r="B1502" i="4"/>
  <c r="B1503" i="4"/>
  <c r="B1504" i="4"/>
  <c r="B1505" i="4"/>
  <c r="B1506" i="4"/>
  <c r="B1507" i="4"/>
  <c r="B1508" i="4"/>
  <c r="B1509" i="4"/>
  <c r="B1510" i="4"/>
  <c r="B1511" i="4"/>
  <c r="B1512" i="4"/>
  <c r="B1513" i="4"/>
  <c r="B1514" i="4"/>
  <c r="B1515" i="4"/>
  <c r="B1516" i="4"/>
  <c r="B1517" i="4"/>
  <c r="B1518" i="4"/>
  <c r="B1519" i="4"/>
  <c r="B1520" i="4"/>
  <c r="B1521" i="4"/>
  <c r="B1522" i="4"/>
  <c r="B1523" i="4"/>
  <c r="B1524" i="4"/>
  <c r="B1525" i="4"/>
  <c r="B1526" i="4"/>
  <c r="B1527" i="4"/>
  <c r="B1528" i="4"/>
  <c r="B1529" i="4"/>
  <c r="B1530" i="4"/>
  <c r="B1531" i="4"/>
  <c r="B1532" i="4"/>
  <c r="B1533" i="4"/>
  <c r="B1534" i="4"/>
  <c r="B1535" i="4"/>
  <c r="B1536" i="4"/>
  <c r="B1537" i="4"/>
  <c r="B1538" i="4"/>
  <c r="B1539" i="4"/>
  <c r="B1540" i="4"/>
  <c r="B1541" i="4"/>
  <c r="B1542" i="4"/>
  <c r="B1543" i="4"/>
  <c r="B1544" i="4"/>
  <c r="B1545" i="4"/>
  <c r="B1546" i="4"/>
  <c r="B1547" i="4"/>
  <c r="B1548" i="4"/>
  <c r="B1549" i="4"/>
  <c r="B1550" i="4"/>
  <c r="B1551" i="4"/>
  <c r="B1552" i="4"/>
  <c r="B1553" i="4"/>
  <c r="B1554" i="4"/>
  <c r="B1555" i="4"/>
  <c r="B1556" i="4"/>
  <c r="B1557" i="4"/>
  <c r="B1558" i="4"/>
  <c r="B1559" i="4"/>
  <c r="B1560" i="4"/>
  <c r="B1561" i="4"/>
  <c r="B1562" i="4"/>
  <c r="B1563" i="4"/>
  <c r="B1564" i="4"/>
  <c r="B1565" i="4"/>
  <c r="B1566" i="4"/>
  <c r="B1567" i="4"/>
  <c r="B1568" i="4"/>
  <c r="B1569" i="4"/>
  <c r="B1570" i="4"/>
  <c r="B1571" i="4"/>
  <c r="B1572" i="4"/>
  <c r="B1573" i="4"/>
  <c r="B1574" i="4"/>
  <c r="B1575" i="4"/>
  <c r="B1576" i="4"/>
  <c r="B1577" i="4"/>
  <c r="B1578" i="4"/>
  <c r="B1579" i="4"/>
  <c r="B1580" i="4"/>
  <c r="B1581" i="4"/>
  <c r="B1582" i="4"/>
  <c r="B1583" i="4"/>
  <c r="B1584" i="4"/>
  <c r="B1585" i="4"/>
  <c r="B1586" i="4"/>
  <c r="B1587" i="4"/>
  <c r="B1588" i="4"/>
  <c r="B1589" i="4"/>
  <c r="B1590" i="4"/>
  <c r="B1591" i="4"/>
  <c r="B1592" i="4"/>
  <c r="B1593" i="4"/>
  <c r="B1594" i="4"/>
  <c r="B1595" i="4"/>
  <c r="B1596" i="4"/>
  <c r="B1597" i="4"/>
  <c r="B1598" i="4"/>
  <c r="B1599" i="4"/>
  <c r="B1600" i="4"/>
  <c r="B1601" i="4"/>
  <c r="B1602" i="4"/>
  <c r="B1603" i="4"/>
  <c r="B1604" i="4"/>
  <c r="B1605" i="4"/>
  <c r="B1606" i="4"/>
  <c r="B1607" i="4"/>
  <c r="B1608" i="4"/>
  <c r="B1609" i="4"/>
  <c r="B1610" i="4"/>
  <c r="B1611" i="4"/>
  <c r="B1612" i="4"/>
  <c r="B1613" i="4"/>
  <c r="B1614" i="4"/>
  <c r="B1615" i="4"/>
  <c r="B1616" i="4"/>
  <c r="B1617" i="4"/>
  <c r="B1618" i="4"/>
  <c r="B1619" i="4"/>
  <c r="B1620" i="4"/>
  <c r="B1621" i="4"/>
  <c r="B1622" i="4"/>
  <c r="B1623" i="4"/>
  <c r="B1624" i="4"/>
  <c r="B1625" i="4"/>
  <c r="B1626" i="4"/>
  <c r="B1627" i="4"/>
  <c r="B1628" i="4"/>
  <c r="B1629" i="4"/>
  <c r="B1630" i="4"/>
  <c r="B1631" i="4"/>
  <c r="B1632" i="4"/>
  <c r="B1633" i="4"/>
  <c r="B1634" i="4"/>
  <c r="B1635" i="4"/>
  <c r="B1636" i="4"/>
  <c r="B1637" i="4"/>
  <c r="B1638" i="4"/>
  <c r="B1639" i="4"/>
  <c r="B1640" i="4"/>
  <c r="B1641" i="4"/>
  <c r="B1642" i="4"/>
  <c r="B1643" i="4"/>
  <c r="B1644" i="4"/>
  <c r="B1645" i="4"/>
  <c r="B1646" i="4"/>
  <c r="B1647" i="4"/>
  <c r="B1648" i="4"/>
  <c r="B1649" i="4"/>
  <c r="B1650" i="4"/>
  <c r="B1651" i="4"/>
  <c r="B1652" i="4"/>
  <c r="B1653" i="4"/>
  <c r="B1654" i="4"/>
  <c r="B1655" i="4"/>
  <c r="B1656" i="4"/>
  <c r="B1657" i="4"/>
  <c r="B1658" i="4"/>
  <c r="B1659" i="4"/>
  <c r="B1660" i="4"/>
  <c r="B1661" i="4"/>
  <c r="B1662" i="4"/>
  <c r="B1663" i="4"/>
  <c r="B1664" i="4"/>
  <c r="B1665" i="4"/>
  <c r="B1666" i="4"/>
  <c r="B1667" i="4"/>
  <c r="B1668" i="4"/>
  <c r="B1669" i="4"/>
  <c r="B1670" i="4"/>
  <c r="B1671" i="4"/>
  <c r="B1672" i="4"/>
  <c r="B1673" i="4"/>
  <c r="B1674" i="4"/>
  <c r="B1675" i="4"/>
  <c r="B1676" i="4"/>
  <c r="B1677" i="4"/>
  <c r="B1678" i="4"/>
  <c r="B1679" i="4"/>
  <c r="B1680" i="4"/>
  <c r="B1681" i="4"/>
  <c r="B1682" i="4"/>
  <c r="B1683" i="4"/>
  <c r="B1684" i="4"/>
  <c r="B1685" i="4"/>
  <c r="B1686" i="4"/>
  <c r="B1687" i="4"/>
  <c r="B1688" i="4"/>
  <c r="B1689" i="4"/>
  <c r="B1690" i="4"/>
  <c r="B1691" i="4"/>
  <c r="B1692" i="4"/>
  <c r="B1693" i="4"/>
  <c r="B1694" i="4"/>
  <c r="B1695" i="4"/>
  <c r="B1696" i="4"/>
  <c r="B1697" i="4"/>
  <c r="B1698" i="4"/>
  <c r="B1699" i="4"/>
  <c r="B1700" i="4"/>
  <c r="B1701" i="4"/>
  <c r="B1702" i="4"/>
  <c r="B1703" i="4"/>
  <c r="B1704" i="4"/>
  <c r="B1705" i="4"/>
  <c r="B1706" i="4"/>
  <c r="B1707" i="4"/>
  <c r="B1708" i="4"/>
  <c r="B1709" i="4"/>
  <c r="B1710" i="4"/>
  <c r="B1711" i="4"/>
  <c r="B1712" i="4"/>
  <c r="B1713" i="4"/>
  <c r="B1714" i="4"/>
  <c r="B1715" i="4"/>
  <c r="B1716" i="4"/>
  <c r="B1717" i="4"/>
  <c r="B1718" i="4"/>
  <c r="B1719" i="4"/>
  <c r="B1720" i="4"/>
  <c r="B1721" i="4"/>
  <c r="B1722" i="4"/>
  <c r="B1723" i="4"/>
  <c r="B1724" i="4"/>
  <c r="B1725" i="4"/>
  <c r="B1726" i="4"/>
  <c r="B1727" i="4"/>
  <c r="B1728" i="4"/>
  <c r="B1729" i="4"/>
  <c r="B1730" i="4"/>
  <c r="B1731" i="4"/>
  <c r="B1732" i="4"/>
  <c r="B1733" i="4"/>
  <c r="B1734" i="4"/>
  <c r="B1735" i="4"/>
  <c r="B1736" i="4"/>
  <c r="B1737" i="4"/>
  <c r="B1738" i="4"/>
  <c r="B1739" i="4"/>
  <c r="B1740" i="4"/>
  <c r="B1741" i="4"/>
  <c r="B1742" i="4"/>
  <c r="B1743" i="4"/>
  <c r="B1744" i="4"/>
  <c r="B1745" i="4"/>
  <c r="B1746" i="4"/>
  <c r="B1747" i="4"/>
  <c r="B1748" i="4"/>
  <c r="B1749" i="4"/>
  <c r="B1750" i="4"/>
  <c r="B1751" i="4"/>
  <c r="B1752" i="4"/>
  <c r="B1753" i="4"/>
  <c r="B1754" i="4"/>
  <c r="B1755" i="4"/>
  <c r="B1756" i="4"/>
  <c r="B1757" i="4"/>
  <c r="B1758" i="4"/>
  <c r="B1759" i="4"/>
  <c r="B1760" i="4"/>
  <c r="B1761" i="4"/>
  <c r="B1762" i="4"/>
  <c r="B1763" i="4"/>
  <c r="B1764" i="4"/>
  <c r="B1765" i="4"/>
  <c r="B1766" i="4"/>
  <c r="B1767" i="4"/>
  <c r="B1768" i="4"/>
  <c r="B1769" i="4"/>
  <c r="B1770" i="4"/>
  <c r="B1771" i="4"/>
  <c r="B1772" i="4"/>
  <c r="B1773" i="4"/>
  <c r="B1774" i="4"/>
  <c r="B1775" i="4"/>
  <c r="B1776" i="4"/>
  <c r="B1777" i="4"/>
  <c r="B1778" i="4"/>
  <c r="B1779" i="4"/>
  <c r="B1780" i="4"/>
  <c r="B1781" i="4"/>
  <c r="B1782" i="4"/>
  <c r="B1783" i="4"/>
  <c r="B1784" i="4"/>
  <c r="B1785" i="4"/>
  <c r="B1786" i="4"/>
  <c r="B1787" i="4"/>
  <c r="B1788" i="4"/>
  <c r="B1789" i="4"/>
  <c r="B1790" i="4"/>
  <c r="B1791" i="4"/>
  <c r="B1792" i="4"/>
  <c r="B1793" i="4"/>
  <c r="B1794" i="4"/>
  <c r="B1795" i="4"/>
  <c r="B1796" i="4"/>
  <c r="B1797" i="4"/>
  <c r="B1798" i="4"/>
  <c r="B1799" i="4"/>
  <c r="B1800" i="4"/>
  <c r="B1801" i="4"/>
  <c r="B1802" i="4"/>
  <c r="B1803" i="4"/>
  <c r="B1804" i="4"/>
  <c r="B1805" i="4"/>
  <c r="B1806" i="4"/>
  <c r="B1807" i="4"/>
  <c r="B1808" i="4"/>
  <c r="B1809" i="4"/>
  <c r="B1810" i="4"/>
  <c r="B1811" i="4"/>
  <c r="B1812" i="4"/>
  <c r="B1813" i="4"/>
  <c r="B1814" i="4"/>
  <c r="B1815" i="4"/>
  <c r="B1816" i="4"/>
  <c r="B1817" i="4"/>
  <c r="B1818" i="4"/>
  <c r="B1819" i="4"/>
  <c r="B1820" i="4"/>
  <c r="B1821" i="4"/>
  <c r="B1822" i="4"/>
  <c r="B1823" i="4"/>
  <c r="B1824" i="4"/>
  <c r="B1825" i="4"/>
  <c r="B1826" i="4"/>
  <c r="B1827" i="4"/>
  <c r="B1828" i="4"/>
  <c r="B1829" i="4"/>
  <c r="B1830" i="4"/>
  <c r="B1831" i="4"/>
  <c r="B1832" i="4"/>
  <c r="B1833" i="4"/>
  <c r="B1834" i="4"/>
  <c r="B1835" i="4"/>
  <c r="B1836" i="4"/>
  <c r="B1837" i="4"/>
  <c r="B1838" i="4"/>
  <c r="B1839" i="4"/>
  <c r="B1840" i="4"/>
  <c r="B1841" i="4"/>
  <c r="B1842" i="4"/>
  <c r="B1843" i="4"/>
  <c r="B1844" i="4"/>
  <c r="B1845" i="4"/>
  <c r="B1846" i="4"/>
  <c r="B1847" i="4"/>
  <c r="B1848" i="4"/>
  <c r="B1849" i="4"/>
  <c r="B1850" i="4"/>
  <c r="B1851" i="4"/>
  <c r="B1852" i="4"/>
  <c r="B1853" i="4"/>
  <c r="B1854" i="4"/>
  <c r="B1855" i="4"/>
  <c r="B1856" i="4"/>
  <c r="B1857" i="4"/>
  <c r="B1858" i="4"/>
  <c r="B1859" i="4"/>
  <c r="B1860" i="4"/>
  <c r="B1861" i="4"/>
  <c r="B1862" i="4"/>
  <c r="B1863" i="4"/>
  <c r="B1864" i="4"/>
  <c r="B1865" i="4"/>
  <c r="B1866" i="4"/>
  <c r="B1867" i="4"/>
  <c r="B1868" i="4"/>
  <c r="B1869" i="4"/>
  <c r="B1870" i="4"/>
  <c r="B1871" i="4"/>
  <c r="B1872" i="4"/>
  <c r="B1873" i="4"/>
  <c r="B1874" i="4"/>
  <c r="B1875" i="4"/>
  <c r="B1876" i="4"/>
  <c r="B1877" i="4"/>
  <c r="B1878" i="4"/>
  <c r="B1879" i="4"/>
  <c r="B1880" i="4"/>
  <c r="B1881" i="4"/>
  <c r="B1882" i="4"/>
  <c r="B1883" i="4"/>
  <c r="B1884" i="4"/>
  <c r="B1885" i="4"/>
  <c r="B1886" i="4"/>
  <c r="B1887" i="4"/>
  <c r="B1888" i="4"/>
  <c r="B1889" i="4"/>
  <c r="B1890" i="4"/>
  <c r="B1891" i="4"/>
  <c r="B1892" i="4"/>
  <c r="B1893" i="4"/>
  <c r="B1894" i="4"/>
  <c r="B1895" i="4"/>
  <c r="B1896" i="4"/>
  <c r="B1897" i="4"/>
  <c r="B1898" i="4"/>
  <c r="B1899" i="4"/>
  <c r="B1900" i="4"/>
  <c r="B1901" i="4"/>
  <c r="B1902" i="4"/>
  <c r="B1903" i="4"/>
  <c r="B1904" i="4"/>
  <c r="B1905" i="4"/>
  <c r="B1906" i="4"/>
  <c r="B1907" i="4"/>
  <c r="B1908" i="4"/>
  <c r="B1909" i="4"/>
  <c r="B1910" i="4"/>
  <c r="B1911" i="4"/>
  <c r="B1912" i="4"/>
  <c r="B1913" i="4"/>
  <c r="B1914" i="4"/>
  <c r="B1915" i="4"/>
  <c r="B1916" i="4"/>
  <c r="B1917" i="4"/>
  <c r="B1918" i="4"/>
  <c r="B1919" i="4"/>
  <c r="B1920" i="4"/>
  <c r="B1921" i="4"/>
  <c r="B1922" i="4"/>
  <c r="B1923" i="4"/>
  <c r="B1924" i="4"/>
  <c r="B1925" i="4"/>
  <c r="B1926" i="4"/>
  <c r="B1927" i="4"/>
  <c r="B1928" i="4"/>
  <c r="B1929" i="4"/>
  <c r="B1930" i="4"/>
  <c r="B1931" i="4"/>
  <c r="B1932" i="4"/>
  <c r="B1933" i="4"/>
  <c r="B1934" i="4"/>
  <c r="B1935" i="4"/>
  <c r="B1936" i="4"/>
  <c r="B1937" i="4"/>
  <c r="B1938" i="4"/>
  <c r="B1939" i="4"/>
  <c r="B1940" i="4"/>
  <c r="B1941" i="4"/>
  <c r="B1942" i="4"/>
  <c r="B1943" i="4"/>
  <c r="B1944" i="4"/>
  <c r="B1945" i="4"/>
  <c r="B1946" i="4"/>
  <c r="B1947" i="4"/>
  <c r="B1948" i="4"/>
  <c r="B1949" i="4"/>
  <c r="B1950" i="4"/>
  <c r="B1951" i="4"/>
  <c r="B1952" i="4"/>
  <c r="B1953" i="4"/>
  <c r="B1954" i="4"/>
  <c r="B1955" i="4"/>
  <c r="B1956" i="4"/>
  <c r="B1957" i="4"/>
  <c r="B1958" i="4"/>
  <c r="B1959" i="4"/>
  <c r="B1960" i="4"/>
  <c r="B1961" i="4"/>
  <c r="B1962" i="4"/>
  <c r="B1963" i="4"/>
  <c r="B1964" i="4"/>
  <c r="B1965" i="4"/>
  <c r="B1966" i="4"/>
  <c r="B1967" i="4"/>
  <c r="B1968" i="4"/>
  <c r="B1969" i="4"/>
  <c r="B1970" i="4"/>
  <c r="B1971" i="4"/>
  <c r="B1972" i="4"/>
  <c r="B1973" i="4"/>
  <c r="B1974" i="4"/>
  <c r="B1975" i="4"/>
  <c r="B1976" i="4"/>
  <c r="B1977" i="4"/>
  <c r="B1978" i="4"/>
  <c r="B1979" i="4"/>
  <c r="B1980" i="4"/>
  <c r="B1981" i="4"/>
  <c r="B1982" i="4"/>
  <c r="B1983" i="4"/>
  <c r="B1984" i="4"/>
  <c r="B1985" i="4"/>
  <c r="B1986" i="4"/>
  <c r="B1987" i="4"/>
  <c r="B1988" i="4"/>
  <c r="B1989" i="4"/>
  <c r="B1990" i="4"/>
  <c r="B1991" i="4"/>
  <c r="B1992" i="4"/>
  <c r="B1993" i="4"/>
  <c r="B1994" i="4"/>
  <c r="B1995" i="4"/>
  <c r="B1996" i="4"/>
  <c r="B1997" i="4"/>
  <c r="B1998" i="4"/>
  <c r="B1999" i="4"/>
  <c r="B2000" i="4"/>
  <c r="B1350" i="4"/>
  <c r="B1351"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615" i="4"/>
  <c r="B616" i="4"/>
  <c r="B617" i="4"/>
  <c r="B618" i="4"/>
  <c r="B619" i="4"/>
  <c r="B620" i="4"/>
  <c r="B621" i="4"/>
  <c r="B622" i="4"/>
  <c r="B623" i="4"/>
  <c r="B624" i="4"/>
  <c r="B625" i="4"/>
  <c r="B626" i="4"/>
  <c r="B627" i="4"/>
  <c r="B628" i="4"/>
  <c r="B629" i="4"/>
  <c r="B630" i="4"/>
  <c r="B631" i="4"/>
  <c r="B632" i="4"/>
  <c r="B633" i="4"/>
  <c r="B634" i="4"/>
  <c r="B635" i="4"/>
  <c r="B636" i="4"/>
  <c r="B637" i="4"/>
  <c r="B638" i="4"/>
  <c r="B639" i="4"/>
  <c r="B640" i="4"/>
  <c r="B641" i="4"/>
  <c r="B642" i="4"/>
  <c r="B643" i="4"/>
  <c r="B644" i="4"/>
  <c r="B645" i="4"/>
  <c r="B646" i="4"/>
  <c r="B647" i="4"/>
  <c r="B648" i="4"/>
  <c r="B649" i="4"/>
  <c r="B650" i="4"/>
  <c r="B651" i="4"/>
  <c r="B652" i="4"/>
  <c r="B653" i="4"/>
  <c r="B654" i="4"/>
  <c r="B655" i="4"/>
  <c r="B656" i="4"/>
  <c r="B657" i="4"/>
  <c r="B658" i="4"/>
  <c r="B659" i="4"/>
  <c r="B660" i="4"/>
  <c r="B661" i="4"/>
  <c r="B662" i="4"/>
  <c r="B663" i="4"/>
  <c r="B664" i="4"/>
  <c r="B665" i="4"/>
  <c r="B666" i="4"/>
  <c r="B667" i="4"/>
  <c r="B668" i="4"/>
  <c r="B669" i="4"/>
  <c r="B670" i="4"/>
  <c r="B671" i="4"/>
  <c r="B672" i="4"/>
  <c r="B673" i="4"/>
  <c r="B674" i="4"/>
  <c r="B675" i="4"/>
  <c r="B676" i="4"/>
  <c r="B677" i="4"/>
  <c r="B678" i="4"/>
  <c r="B679" i="4"/>
  <c r="B680" i="4"/>
  <c r="B681" i="4"/>
  <c r="B682" i="4"/>
  <c r="B683" i="4"/>
  <c r="B684" i="4"/>
  <c r="B685" i="4"/>
  <c r="B686" i="4"/>
  <c r="B687" i="4"/>
  <c r="B688" i="4"/>
  <c r="B689" i="4"/>
  <c r="B690" i="4"/>
  <c r="B691" i="4"/>
  <c r="B692" i="4"/>
  <c r="B693" i="4"/>
  <c r="B694" i="4"/>
  <c r="B695" i="4"/>
  <c r="B696" i="4"/>
  <c r="B697" i="4"/>
  <c r="B698" i="4"/>
  <c r="B699" i="4"/>
  <c r="B700" i="4"/>
  <c r="B701" i="4"/>
  <c r="B702" i="4"/>
  <c r="B703" i="4"/>
  <c r="B704" i="4"/>
  <c r="B705" i="4"/>
  <c r="B706" i="4"/>
  <c r="B707" i="4"/>
  <c r="B708" i="4"/>
  <c r="B709" i="4"/>
  <c r="B710" i="4"/>
  <c r="B711" i="4"/>
  <c r="B712" i="4"/>
  <c r="B713" i="4"/>
  <c r="B714" i="4"/>
  <c r="B715" i="4"/>
  <c r="B716" i="4"/>
  <c r="B717" i="4"/>
  <c r="B718" i="4"/>
  <c r="B719" i="4"/>
  <c r="B720" i="4"/>
  <c r="B721" i="4"/>
  <c r="B722" i="4"/>
  <c r="B723" i="4"/>
  <c r="B724" i="4"/>
  <c r="B725" i="4"/>
  <c r="B726" i="4"/>
  <c r="B727" i="4"/>
  <c r="B728" i="4"/>
  <c r="B729" i="4"/>
  <c r="B730" i="4"/>
  <c r="B731" i="4"/>
  <c r="B732" i="4"/>
  <c r="B733" i="4"/>
  <c r="B734" i="4"/>
  <c r="B735" i="4"/>
  <c r="B736" i="4"/>
  <c r="B737" i="4"/>
  <c r="B738" i="4"/>
  <c r="B739" i="4"/>
  <c r="B740" i="4"/>
  <c r="B741" i="4"/>
  <c r="B742" i="4"/>
  <c r="B743" i="4"/>
  <c r="B744" i="4"/>
  <c r="B745" i="4"/>
  <c r="B746" i="4"/>
  <c r="B747" i="4"/>
  <c r="B748" i="4"/>
  <c r="B749" i="4"/>
  <c r="B750" i="4"/>
  <c r="B751" i="4"/>
  <c r="B752" i="4"/>
  <c r="B753" i="4"/>
  <c r="B754" i="4"/>
  <c r="B755" i="4"/>
  <c r="B756" i="4"/>
  <c r="B757" i="4"/>
  <c r="B758" i="4"/>
  <c r="B759" i="4"/>
  <c r="B760" i="4"/>
  <c r="B761" i="4"/>
  <c r="B762" i="4"/>
  <c r="B763" i="4"/>
  <c r="B764" i="4"/>
  <c r="B765" i="4"/>
  <c r="B766" i="4"/>
  <c r="B767" i="4"/>
  <c r="B768" i="4"/>
  <c r="B769" i="4"/>
  <c r="B770" i="4"/>
  <c r="B771" i="4"/>
  <c r="B772" i="4"/>
  <c r="B773" i="4"/>
  <c r="B774" i="4"/>
  <c r="B775" i="4"/>
  <c r="B776" i="4"/>
  <c r="B777" i="4"/>
  <c r="B778" i="4"/>
  <c r="B779" i="4"/>
  <c r="B780" i="4"/>
  <c r="B781" i="4"/>
  <c r="B782" i="4"/>
  <c r="B783" i="4"/>
  <c r="B784" i="4"/>
  <c r="B785" i="4"/>
  <c r="B786" i="4"/>
  <c r="B787" i="4"/>
  <c r="B788" i="4"/>
  <c r="B789" i="4"/>
  <c r="B790" i="4"/>
  <c r="B791" i="4"/>
  <c r="B792" i="4"/>
  <c r="B793" i="4"/>
  <c r="B794" i="4"/>
  <c r="B795" i="4"/>
  <c r="B796" i="4"/>
  <c r="B797" i="4"/>
  <c r="B798" i="4"/>
  <c r="B799" i="4"/>
  <c r="B800" i="4"/>
  <c r="B801" i="4"/>
  <c r="B802" i="4"/>
  <c r="B803" i="4"/>
  <c r="B804" i="4"/>
  <c r="B805" i="4"/>
  <c r="B806" i="4"/>
  <c r="B807" i="4"/>
  <c r="B808" i="4"/>
  <c r="B809" i="4"/>
  <c r="B810" i="4"/>
  <c r="B811" i="4"/>
  <c r="B812" i="4"/>
  <c r="B813" i="4"/>
  <c r="B814" i="4"/>
  <c r="B815" i="4"/>
  <c r="B816" i="4"/>
  <c r="B817" i="4"/>
  <c r="B818" i="4"/>
  <c r="B819" i="4"/>
  <c r="B820" i="4"/>
  <c r="B821" i="4"/>
  <c r="B822" i="4"/>
  <c r="B823" i="4"/>
  <c r="B824" i="4"/>
  <c r="B825" i="4"/>
  <c r="B826" i="4"/>
  <c r="B827" i="4"/>
  <c r="B828" i="4"/>
  <c r="B829" i="4"/>
  <c r="B830" i="4"/>
  <c r="B831" i="4"/>
  <c r="B832" i="4"/>
  <c r="B833" i="4"/>
  <c r="B834" i="4"/>
  <c r="B835" i="4"/>
  <c r="B836" i="4"/>
  <c r="B837" i="4"/>
  <c r="B838" i="4"/>
  <c r="B839" i="4"/>
  <c r="B840" i="4"/>
  <c r="B841" i="4"/>
  <c r="B842" i="4"/>
  <c r="B843" i="4"/>
  <c r="B844" i="4"/>
  <c r="B845" i="4"/>
  <c r="B846" i="4"/>
  <c r="B847" i="4"/>
  <c r="B848" i="4"/>
  <c r="B849" i="4"/>
  <c r="B850" i="4"/>
  <c r="B851" i="4"/>
  <c r="B852" i="4"/>
  <c r="B853" i="4"/>
  <c r="B854" i="4"/>
  <c r="B855" i="4"/>
  <c r="B856" i="4"/>
  <c r="B857" i="4"/>
  <c r="B858" i="4"/>
  <c r="B859" i="4"/>
  <c r="B860" i="4"/>
  <c r="B861" i="4"/>
  <c r="B862" i="4"/>
  <c r="B863" i="4"/>
  <c r="B864" i="4"/>
  <c r="B865" i="4"/>
  <c r="B866" i="4"/>
  <c r="B867" i="4"/>
  <c r="B868" i="4"/>
  <c r="B869" i="4"/>
  <c r="B870" i="4"/>
  <c r="B871" i="4"/>
  <c r="B872" i="4"/>
  <c r="B873" i="4"/>
  <c r="B874" i="4"/>
  <c r="B875" i="4"/>
  <c r="B876" i="4"/>
  <c r="B877" i="4"/>
  <c r="B878" i="4"/>
  <c r="B879" i="4"/>
  <c r="B880" i="4"/>
  <c r="B881" i="4"/>
  <c r="B882" i="4"/>
  <c r="B883" i="4"/>
  <c r="B884" i="4"/>
  <c r="B885" i="4"/>
  <c r="B886" i="4"/>
  <c r="B887" i="4"/>
  <c r="B888" i="4"/>
  <c r="B889" i="4"/>
  <c r="B890" i="4"/>
  <c r="B891" i="4"/>
  <c r="B892" i="4"/>
  <c r="B893" i="4"/>
  <c r="B894" i="4"/>
  <c r="B895" i="4"/>
  <c r="B896" i="4"/>
  <c r="B897" i="4"/>
  <c r="B898" i="4"/>
  <c r="B899" i="4"/>
  <c r="B900" i="4"/>
  <c r="B901" i="4"/>
  <c r="B902" i="4"/>
  <c r="B903" i="4"/>
  <c r="B904" i="4"/>
  <c r="B905" i="4"/>
  <c r="B906" i="4"/>
  <c r="B907" i="4"/>
  <c r="B908" i="4"/>
  <c r="B909" i="4"/>
  <c r="B910" i="4"/>
  <c r="B911" i="4"/>
  <c r="B912" i="4"/>
  <c r="B913" i="4"/>
  <c r="B914" i="4"/>
  <c r="B915" i="4"/>
  <c r="B916" i="4"/>
  <c r="B917" i="4"/>
  <c r="B918" i="4"/>
  <c r="B919" i="4"/>
  <c r="B920" i="4"/>
  <c r="B921" i="4"/>
  <c r="B922" i="4"/>
  <c r="B923" i="4"/>
  <c r="B924" i="4"/>
  <c r="B925" i="4"/>
  <c r="B926" i="4"/>
  <c r="B927" i="4"/>
  <c r="B928" i="4"/>
  <c r="B929" i="4"/>
  <c r="B930" i="4"/>
  <c r="B931" i="4"/>
  <c r="B932" i="4"/>
  <c r="B933" i="4"/>
  <c r="B934" i="4"/>
  <c r="B935" i="4"/>
  <c r="B936" i="4"/>
  <c r="B937" i="4"/>
  <c r="B938" i="4"/>
  <c r="B939" i="4"/>
  <c r="B940" i="4"/>
  <c r="B941" i="4"/>
  <c r="B942" i="4"/>
  <c r="B943" i="4"/>
  <c r="B944" i="4"/>
  <c r="B945" i="4"/>
  <c r="B946" i="4"/>
  <c r="B947" i="4"/>
  <c r="B948" i="4"/>
  <c r="B949" i="4"/>
  <c r="B950" i="4"/>
  <c r="B951" i="4"/>
  <c r="B952" i="4"/>
  <c r="B953" i="4"/>
  <c r="B954" i="4"/>
  <c r="B955" i="4"/>
  <c r="B956" i="4"/>
  <c r="B957" i="4"/>
  <c r="B958" i="4"/>
  <c r="B959" i="4"/>
  <c r="B960" i="4"/>
  <c r="B961" i="4"/>
  <c r="B962" i="4"/>
  <c r="B963" i="4"/>
  <c r="B964" i="4"/>
  <c r="B965" i="4"/>
  <c r="B966" i="4"/>
  <c r="B967" i="4"/>
  <c r="B968" i="4"/>
  <c r="B969" i="4"/>
  <c r="B970" i="4"/>
  <c r="B971" i="4"/>
  <c r="B972" i="4"/>
  <c r="B973" i="4"/>
  <c r="B974" i="4"/>
  <c r="B975" i="4"/>
  <c r="B976" i="4"/>
  <c r="B977" i="4"/>
  <c r="B978" i="4"/>
  <c r="B979" i="4"/>
  <c r="B980" i="4"/>
  <c r="B981" i="4"/>
  <c r="B982" i="4"/>
  <c r="B983" i="4"/>
  <c r="B984" i="4"/>
  <c r="B985" i="4"/>
  <c r="B986" i="4"/>
  <c r="B987" i="4"/>
  <c r="B988" i="4"/>
  <c r="B989" i="4"/>
  <c r="B990" i="4"/>
  <c r="B991" i="4"/>
  <c r="B992" i="4"/>
  <c r="B993" i="4"/>
  <c r="B994" i="4"/>
  <c r="B995" i="4"/>
  <c r="B996" i="4"/>
  <c r="B997" i="4"/>
  <c r="B998" i="4"/>
  <c r="B999" i="4"/>
  <c r="B1000" i="4"/>
  <c r="B1001" i="4"/>
  <c r="B1002" i="4"/>
  <c r="B1003" i="4"/>
  <c r="B1004" i="4"/>
  <c r="B1005" i="4"/>
  <c r="B1006" i="4"/>
  <c r="B1007" i="4"/>
  <c r="B1008" i="4"/>
  <c r="B1009" i="4"/>
  <c r="B1010" i="4"/>
  <c r="B1011" i="4"/>
  <c r="B1012" i="4"/>
  <c r="B1013" i="4"/>
  <c r="B1014" i="4"/>
  <c r="B1015" i="4"/>
  <c r="B1016" i="4"/>
  <c r="B1017" i="4"/>
  <c r="B1018" i="4"/>
  <c r="B1019" i="4"/>
  <c r="B1020" i="4"/>
  <c r="B1021" i="4"/>
  <c r="B1022" i="4"/>
  <c r="B1023" i="4"/>
  <c r="B1024" i="4"/>
  <c r="B1025" i="4"/>
  <c r="B1026" i="4"/>
  <c r="B1027" i="4"/>
  <c r="B1028" i="4"/>
  <c r="B1029" i="4"/>
  <c r="B1030" i="4"/>
  <c r="B1031" i="4"/>
  <c r="B1032" i="4"/>
  <c r="B1033" i="4"/>
  <c r="B1034" i="4"/>
  <c r="B1035" i="4"/>
  <c r="B1036" i="4"/>
  <c r="B1037" i="4"/>
  <c r="B1038" i="4"/>
  <c r="B1039" i="4"/>
  <c r="B1040" i="4"/>
  <c r="B1041" i="4"/>
  <c r="B1042" i="4"/>
  <c r="B1043" i="4"/>
  <c r="B1044" i="4"/>
  <c r="B1045" i="4"/>
  <c r="B1046" i="4"/>
  <c r="B1047" i="4"/>
  <c r="B1048" i="4"/>
  <c r="B1049" i="4"/>
  <c r="B1050" i="4"/>
  <c r="B1051" i="4"/>
  <c r="B1052" i="4"/>
  <c r="B1053" i="4"/>
  <c r="B1054" i="4"/>
  <c r="B1055" i="4"/>
  <c r="B1056" i="4"/>
  <c r="B1057" i="4"/>
  <c r="B1058" i="4"/>
  <c r="B1059" i="4"/>
  <c r="B1060" i="4"/>
  <c r="B1061" i="4"/>
  <c r="B1062" i="4"/>
  <c r="B1063" i="4"/>
  <c r="B1064" i="4"/>
  <c r="B1065" i="4"/>
  <c r="B1066" i="4"/>
  <c r="B1067" i="4"/>
  <c r="B1068" i="4"/>
  <c r="B1069" i="4"/>
  <c r="B1070" i="4"/>
  <c r="B1071" i="4"/>
  <c r="B1072" i="4"/>
  <c r="B1073" i="4"/>
  <c r="B1074" i="4"/>
  <c r="B1075" i="4"/>
  <c r="B1076" i="4"/>
  <c r="B1077" i="4"/>
  <c r="B1078" i="4"/>
  <c r="B1079" i="4"/>
  <c r="B1080" i="4"/>
  <c r="B1081" i="4"/>
  <c r="B1082" i="4"/>
  <c r="B1083" i="4"/>
  <c r="B1084" i="4"/>
  <c r="B1085" i="4"/>
  <c r="B1086" i="4"/>
  <c r="B1087" i="4"/>
  <c r="B1088" i="4"/>
  <c r="B1089" i="4"/>
  <c r="B1090" i="4"/>
  <c r="B1091" i="4"/>
  <c r="B1092" i="4"/>
  <c r="B1093" i="4"/>
  <c r="B1094" i="4"/>
  <c r="B1095" i="4"/>
  <c r="B1096" i="4"/>
  <c r="B1097" i="4"/>
  <c r="B1098" i="4"/>
  <c r="B1099" i="4"/>
  <c r="B1100" i="4"/>
  <c r="B1101" i="4"/>
  <c r="B1102" i="4"/>
  <c r="B1103" i="4"/>
  <c r="B1104" i="4"/>
  <c r="B1105" i="4"/>
  <c r="B1106" i="4"/>
  <c r="B1107" i="4"/>
  <c r="B1108" i="4"/>
  <c r="B1109" i="4"/>
  <c r="B1110" i="4"/>
  <c r="B1111" i="4"/>
  <c r="B1112" i="4"/>
  <c r="B1113" i="4"/>
  <c r="B1114" i="4"/>
  <c r="B1115" i="4"/>
  <c r="B1116" i="4"/>
  <c r="B1117" i="4"/>
  <c r="B1118" i="4"/>
  <c r="B1119" i="4"/>
  <c r="B1120" i="4"/>
  <c r="B1121" i="4"/>
  <c r="B1122" i="4"/>
  <c r="B1123" i="4"/>
  <c r="B1124" i="4"/>
  <c r="B1125" i="4"/>
  <c r="B1126" i="4"/>
  <c r="B1127" i="4"/>
  <c r="B1128" i="4"/>
  <c r="B1129" i="4"/>
  <c r="B1130" i="4"/>
  <c r="B1131" i="4"/>
  <c r="B1132" i="4"/>
  <c r="B1133" i="4"/>
  <c r="B1134" i="4"/>
  <c r="B1135" i="4"/>
  <c r="B1136" i="4"/>
  <c r="B1137" i="4"/>
  <c r="B1138" i="4"/>
  <c r="B1139" i="4"/>
  <c r="B1140" i="4"/>
  <c r="B1141" i="4"/>
  <c r="B1142" i="4"/>
  <c r="B1143" i="4"/>
  <c r="B1144" i="4"/>
  <c r="B1145" i="4"/>
  <c r="B1146" i="4"/>
  <c r="B1147" i="4"/>
  <c r="B1148" i="4"/>
  <c r="B1149" i="4"/>
  <c r="B1150" i="4"/>
  <c r="B1151" i="4"/>
  <c r="B1152" i="4"/>
  <c r="B1153" i="4"/>
  <c r="B1154" i="4"/>
  <c r="B1155" i="4"/>
  <c r="B1156" i="4"/>
  <c r="B1157" i="4"/>
  <c r="B1158" i="4"/>
  <c r="B1159" i="4"/>
  <c r="B1160" i="4"/>
  <c r="B1161" i="4"/>
  <c r="B1162" i="4"/>
  <c r="B1163" i="4"/>
  <c r="B1164" i="4"/>
  <c r="B1165" i="4"/>
  <c r="B1166" i="4"/>
  <c r="B1167" i="4"/>
  <c r="B1168" i="4"/>
  <c r="B1169" i="4"/>
  <c r="B1170" i="4"/>
  <c r="B1171" i="4"/>
  <c r="B1172" i="4"/>
  <c r="B1173" i="4"/>
  <c r="B1174" i="4"/>
  <c r="B1175" i="4"/>
  <c r="B1176" i="4"/>
  <c r="B1177" i="4"/>
  <c r="B1178" i="4"/>
  <c r="B1179" i="4"/>
  <c r="B1180" i="4"/>
  <c r="B1181" i="4"/>
  <c r="B1182" i="4"/>
  <c r="B1183" i="4"/>
  <c r="B1184" i="4"/>
  <c r="B1185" i="4"/>
  <c r="B1186" i="4"/>
  <c r="B1187" i="4"/>
  <c r="B1188" i="4"/>
  <c r="B1189" i="4"/>
  <c r="B1190" i="4"/>
  <c r="B1191" i="4"/>
  <c r="B1192" i="4"/>
  <c r="B1193" i="4"/>
  <c r="B1194" i="4"/>
  <c r="B1195" i="4"/>
  <c r="B1196" i="4"/>
  <c r="B1197" i="4"/>
  <c r="B1198" i="4"/>
  <c r="B1199" i="4"/>
  <c r="B1200" i="4"/>
  <c r="B1201" i="4"/>
  <c r="B1202" i="4"/>
  <c r="B1203" i="4"/>
  <c r="B1204" i="4"/>
  <c r="B1205" i="4"/>
  <c r="B1206" i="4"/>
  <c r="B1207" i="4"/>
  <c r="B1208" i="4"/>
  <c r="B1209" i="4"/>
  <c r="B1210" i="4"/>
  <c r="B1211" i="4"/>
  <c r="B1212" i="4"/>
  <c r="B1213" i="4"/>
  <c r="B1214" i="4"/>
  <c r="B1215" i="4"/>
  <c r="B1216" i="4"/>
  <c r="B1217" i="4"/>
  <c r="B1218" i="4"/>
  <c r="B1219" i="4"/>
  <c r="B1220" i="4"/>
  <c r="B1221" i="4"/>
  <c r="B1222" i="4"/>
  <c r="B1223" i="4"/>
  <c r="B1224" i="4"/>
  <c r="B1225" i="4"/>
  <c r="B1226" i="4"/>
  <c r="B1227" i="4"/>
  <c r="B1228" i="4"/>
  <c r="B1229" i="4"/>
  <c r="B1230" i="4"/>
  <c r="B1231" i="4"/>
  <c r="B1232" i="4"/>
  <c r="B1233" i="4"/>
  <c r="B1234" i="4"/>
  <c r="B1235" i="4"/>
  <c r="B1236" i="4"/>
  <c r="B1237" i="4"/>
  <c r="B1238" i="4"/>
  <c r="B1239" i="4"/>
  <c r="B1240" i="4"/>
  <c r="B1241" i="4"/>
  <c r="B1242" i="4"/>
  <c r="B1243" i="4"/>
  <c r="B1244" i="4"/>
  <c r="B1245" i="4"/>
  <c r="B1246" i="4"/>
  <c r="B1247" i="4"/>
  <c r="B1248" i="4"/>
  <c r="B1249" i="4"/>
  <c r="B1250" i="4"/>
  <c r="B1251" i="4"/>
  <c r="B1252" i="4"/>
  <c r="B1253" i="4"/>
  <c r="B1254" i="4"/>
  <c r="B1255" i="4"/>
  <c r="B1256" i="4"/>
  <c r="B1257" i="4"/>
  <c r="B1258" i="4"/>
  <c r="B1259" i="4"/>
  <c r="B1260" i="4"/>
  <c r="B1261" i="4"/>
  <c r="B1262" i="4"/>
  <c r="B1263" i="4"/>
  <c r="B1264" i="4"/>
  <c r="B1265" i="4"/>
  <c r="B1266" i="4"/>
  <c r="B1267" i="4"/>
  <c r="B1268" i="4"/>
  <c r="B1269" i="4"/>
  <c r="B1270" i="4"/>
  <c r="B1271" i="4"/>
  <c r="B1272" i="4"/>
  <c r="B1273" i="4"/>
  <c r="B1274" i="4"/>
  <c r="B1275" i="4"/>
  <c r="B1276" i="4"/>
  <c r="B1277" i="4"/>
  <c r="B1278" i="4"/>
  <c r="B1279" i="4"/>
  <c r="B1280" i="4"/>
  <c r="B1281" i="4"/>
  <c r="B1282" i="4"/>
  <c r="B1283" i="4"/>
  <c r="B1284" i="4"/>
  <c r="B1285" i="4"/>
  <c r="B1286" i="4"/>
  <c r="B1287" i="4"/>
  <c r="B1288" i="4"/>
  <c r="B1289" i="4"/>
  <c r="B1290" i="4"/>
  <c r="B1291" i="4"/>
  <c r="B1292" i="4"/>
  <c r="B1293" i="4"/>
  <c r="B1294" i="4"/>
  <c r="B1295" i="4"/>
  <c r="B1296" i="4"/>
  <c r="B1297" i="4"/>
  <c r="B1298" i="4"/>
  <c r="B1299" i="4"/>
  <c r="B1300" i="4"/>
  <c r="B1301" i="4"/>
  <c r="B1302" i="4"/>
  <c r="B1303" i="4"/>
  <c r="B1304" i="4"/>
  <c r="B1305" i="4"/>
  <c r="B1306" i="4"/>
  <c r="B1307" i="4"/>
  <c r="B1308" i="4"/>
  <c r="B1309" i="4"/>
  <c r="B1310" i="4"/>
  <c r="B1311" i="4"/>
  <c r="B1312" i="4"/>
  <c r="B1313" i="4"/>
  <c r="B1314" i="4"/>
  <c r="B1315" i="4"/>
  <c r="B1316" i="4"/>
  <c r="B1317" i="4"/>
  <c r="B1318" i="4"/>
  <c r="B1319" i="4"/>
  <c r="B1320" i="4"/>
  <c r="B1321" i="4"/>
  <c r="B1322" i="4"/>
  <c r="B1323" i="4"/>
  <c r="B1324" i="4"/>
  <c r="B1325" i="4"/>
  <c r="B1326" i="4"/>
  <c r="B1327" i="4"/>
  <c r="B1328" i="4"/>
  <c r="B1329" i="4"/>
  <c r="B1330" i="4"/>
  <c r="B1331" i="4"/>
  <c r="B1332" i="4"/>
  <c r="B1333" i="4"/>
  <c r="B1334" i="4"/>
  <c r="B1335" i="4"/>
  <c r="B1336" i="4"/>
  <c r="B1337" i="4"/>
  <c r="B1338" i="4"/>
  <c r="B1339" i="4"/>
  <c r="B1340" i="4"/>
  <c r="B1341" i="4"/>
  <c r="B1342" i="4"/>
  <c r="B1343" i="4"/>
  <c r="B1344" i="4"/>
  <c r="B1345" i="4"/>
  <c r="B1346" i="4"/>
  <c r="B1347" i="4"/>
  <c r="B1348" i="4"/>
  <c r="B1349" i="4"/>
  <c r="B3" i="4"/>
  <c r="B4" i="4"/>
  <c r="B5" i="4"/>
  <c r="B6" i="4"/>
  <c r="B7" i="4"/>
  <c r="B8" i="4"/>
  <c r="B9" i="4"/>
  <c r="B10" i="4"/>
  <c r="B11" i="4"/>
  <c r="B12" i="4"/>
  <c r="B13" i="4"/>
  <c r="B14" i="4"/>
  <c r="B15" i="4"/>
  <c r="B16" i="4"/>
  <c r="B17" i="4"/>
  <c r="B18" i="4"/>
  <c r="B19" i="4"/>
  <c r="B20" i="4"/>
  <c r="B2" i="4"/>
  <c r="A3" i="4"/>
  <c r="A4" i="4"/>
  <c r="A5" i="4"/>
  <c r="A6" i="4"/>
  <c r="A7" i="4"/>
  <c r="A8" i="4"/>
  <c r="A9" i="4"/>
  <c r="A10" i="4"/>
  <c r="A11" i="4"/>
  <c r="A12" i="4"/>
  <c r="A13" i="4"/>
  <c r="A14" i="4"/>
  <c r="A15" i="4"/>
  <c r="A16" i="4"/>
  <c r="A17" i="4"/>
  <c r="A18" i="4"/>
  <c r="A19" i="4"/>
  <c r="A20" i="4"/>
  <c r="A2" i="4"/>
  <c r="X26" i="3"/>
  <c r="W26" i="3"/>
  <c r="V26" i="3"/>
  <c r="U26" i="3"/>
  <c r="T26" i="3"/>
  <c r="S26" i="3"/>
  <c r="R26" i="3"/>
  <c r="Q26" i="3"/>
  <c r="P26" i="3"/>
  <c r="O26" i="3"/>
  <c r="N26" i="3"/>
  <c r="M26" i="3"/>
  <c r="L26" i="3"/>
  <c r="K26" i="3"/>
  <c r="J26" i="3"/>
  <c r="I26" i="3"/>
  <c r="H26" i="3"/>
  <c r="G26" i="3"/>
  <c r="F26" i="3"/>
  <c r="C26" i="3"/>
  <c r="AC30" i="1" s="1"/>
  <c r="X25" i="3"/>
  <c r="W25" i="3"/>
  <c r="V25" i="3"/>
  <c r="U25" i="3"/>
  <c r="T25" i="3"/>
  <c r="S25" i="3"/>
  <c r="R25" i="3"/>
  <c r="Q25" i="3"/>
  <c r="P25" i="3"/>
  <c r="O25" i="3"/>
  <c r="N25" i="3"/>
  <c r="M25" i="3"/>
  <c r="L25" i="3"/>
  <c r="K25" i="3"/>
  <c r="J25" i="3"/>
  <c r="I25" i="3"/>
  <c r="H25" i="3"/>
  <c r="G25" i="3"/>
  <c r="F25" i="3"/>
  <c r="C25" i="3"/>
  <c r="AC29" i="1" s="1"/>
  <c r="X24" i="3"/>
  <c r="W24" i="3"/>
  <c r="V24" i="3"/>
  <c r="U24" i="3"/>
  <c r="T24" i="3"/>
  <c r="S24" i="3"/>
  <c r="R24" i="3"/>
  <c r="Q24" i="3"/>
  <c r="P24" i="3"/>
  <c r="O24" i="3"/>
  <c r="N24" i="3"/>
  <c r="M24" i="3"/>
  <c r="L24" i="3"/>
  <c r="K24" i="3"/>
  <c r="J24" i="3"/>
  <c r="I24" i="3"/>
  <c r="H24" i="3"/>
  <c r="G24" i="3"/>
  <c r="F24" i="3"/>
  <c r="C24" i="3"/>
  <c r="AC28" i="1" s="1"/>
  <c r="X23" i="3"/>
  <c r="W23" i="3"/>
  <c r="V23" i="3"/>
  <c r="U23" i="3"/>
  <c r="T23" i="3"/>
  <c r="S23" i="3"/>
  <c r="R23" i="3"/>
  <c r="Q23" i="3"/>
  <c r="P23" i="3"/>
  <c r="O23" i="3"/>
  <c r="N23" i="3"/>
  <c r="M23" i="3"/>
  <c r="L23" i="3"/>
  <c r="K23" i="3"/>
  <c r="J23" i="3"/>
  <c r="I23" i="3"/>
  <c r="H23" i="3"/>
  <c r="G23" i="3"/>
  <c r="F23" i="3"/>
  <c r="C23" i="3"/>
  <c r="AC27" i="1" s="1"/>
  <c r="X22" i="3"/>
  <c r="W22" i="3"/>
  <c r="V22" i="3"/>
  <c r="U22" i="3"/>
  <c r="T22" i="3"/>
  <c r="S22" i="3"/>
  <c r="R22" i="3"/>
  <c r="Q22" i="3"/>
  <c r="P22" i="3"/>
  <c r="O22" i="3"/>
  <c r="N22" i="3"/>
  <c r="M22" i="3"/>
  <c r="L22" i="3"/>
  <c r="K22" i="3"/>
  <c r="J22" i="3"/>
  <c r="I22" i="3"/>
  <c r="H22" i="3"/>
  <c r="G22" i="3"/>
  <c r="F22" i="3"/>
  <c r="C22" i="3"/>
  <c r="AC26" i="1" s="1"/>
  <c r="X21" i="3"/>
  <c r="W21" i="3"/>
  <c r="V21" i="3"/>
  <c r="U21" i="3"/>
  <c r="T21" i="3"/>
  <c r="S21" i="3"/>
  <c r="R21" i="3"/>
  <c r="Q21" i="3"/>
  <c r="P21" i="3"/>
  <c r="O21" i="3"/>
  <c r="N21" i="3"/>
  <c r="M21" i="3"/>
  <c r="L21" i="3"/>
  <c r="K21" i="3"/>
  <c r="J21" i="3"/>
  <c r="I21" i="3"/>
  <c r="H21" i="3"/>
  <c r="G21" i="3"/>
  <c r="F21" i="3"/>
  <c r="C21" i="3"/>
  <c r="AC25" i="1" s="1"/>
  <c r="X20" i="3"/>
  <c r="W20" i="3"/>
  <c r="V20" i="3"/>
  <c r="U20" i="3"/>
  <c r="T20" i="3"/>
  <c r="S20" i="3"/>
  <c r="R20" i="3"/>
  <c r="Q20" i="3"/>
  <c r="P20" i="3"/>
  <c r="O20" i="3"/>
  <c r="N20" i="3"/>
  <c r="M20" i="3"/>
  <c r="L20" i="3"/>
  <c r="K20" i="3"/>
  <c r="J20" i="3"/>
  <c r="I20" i="3"/>
  <c r="H20" i="3"/>
  <c r="G20" i="3"/>
  <c r="F20" i="3"/>
  <c r="C20" i="3"/>
  <c r="AC24" i="1" s="1"/>
  <c r="X19" i="3"/>
  <c r="W19" i="3"/>
  <c r="V19" i="3"/>
  <c r="U19" i="3"/>
  <c r="T19" i="3"/>
  <c r="S19" i="3"/>
  <c r="R19" i="3"/>
  <c r="Q19" i="3"/>
  <c r="P19" i="3"/>
  <c r="O19" i="3"/>
  <c r="N19" i="3"/>
  <c r="M19" i="3"/>
  <c r="L19" i="3"/>
  <c r="K19" i="3"/>
  <c r="J19" i="3"/>
  <c r="I19" i="3"/>
  <c r="H19" i="3"/>
  <c r="G19" i="3"/>
  <c r="F19" i="3"/>
  <c r="C19" i="3"/>
  <c r="AC23" i="1" s="1"/>
  <c r="X18" i="3"/>
  <c r="W18" i="3"/>
  <c r="V18" i="3"/>
  <c r="U18" i="3"/>
  <c r="T18" i="3"/>
  <c r="S18" i="3"/>
  <c r="R18" i="3"/>
  <c r="Q18" i="3"/>
  <c r="P18" i="3"/>
  <c r="O18" i="3"/>
  <c r="N18" i="3"/>
  <c r="M18" i="3"/>
  <c r="L18" i="3"/>
  <c r="K18" i="3"/>
  <c r="J18" i="3"/>
  <c r="I18" i="3"/>
  <c r="H18" i="3"/>
  <c r="G18" i="3"/>
  <c r="F18" i="3"/>
  <c r="C18" i="3"/>
  <c r="AC22" i="1" s="1"/>
  <c r="X17" i="3"/>
  <c r="W17" i="3"/>
  <c r="V17" i="3"/>
  <c r="U17" i="3"/>
  <c r="T17" i="3"/>
  <c r="S17" i="3"/>
  <c r="R17" i="3"/>
  <c r="Q17" i="3"/>
  <c r="P17" i="3"/>
  <c r="O17" i="3"/>
  <c r="N17" i="3"/>
  <c r="M17" i="3"/>
  <c r="L17" i="3"/>
  <c r="K17" i="3"/>
  <c r="J17" i="3"/>
  <c r="I17" i="3"/>
  <c r="H17" i="3"/>
  <c r="G17" i="3"/>
  <c r="F17" i="3"/>
  <c r="C17" i="3"/>
  <c r="AC21" i="1" s="1"/>
  <c r="X16" i="3"/>
  <c r="W16" i="3"/>
  <c r="V16" i="3"/>
  <c r="U16" i="3"/>
  <c r="T16" i="3"/>
  <c r="S16" i="3"/>
  <c r="R16" i="3"/>
  <c r="Q16" i="3"/>
  <c r="P16" i="3"/>
  <c r="O16" i="3"/>
  <c r="N16" i="3"/>
  <c r="M16" i="3"/>
  <c r="L16" i="3"/>
  <c r="K16" i="3"/>
  <c r="J16" i="3"/>
  <c r="I16" i="3"/>
  <c r="H16" i="3"/>
  <c r="G16" i="3"/>
  <c r="F16" i="3"/>
  <c r="C16" i="3"/>
  <c r="AC20" i="1" s="1"/>
  <c r="X15" i="3"/>
  <c r="W15" i="3"/>
  <c r="V15" i="3"/>
  <c r="U15" i="3"/>
  <c r="T15" i="3"/>
  <c r="S15" i="3"/>
  <c r="R15" i="3"/>
  <c r="Q15" i="3"/>
  <c r="P15" i="3"/>
  <c r="O15" i="3"/>
  <c r="N15" i="3"/>
  <c r="M15" i="3"/>
  <c r="L15" i="3"/>
  <c r="K15" i="3"/>
  <c r="J15" i="3"/>
  <c r="I15" i="3"/>
  <c r="H15" i="3"/>
  <c r="G15" i="3"/>
  <c r="F15" i="3"/>
  <c r="C15" i="3"/>
  <c r="AC19" i="1" s="1"/>
  <c r="X14" i="3"/>
  <c r="W14" i="3"/>
  <c r="V14" i="3"/>
  <c r="U14" i="3"/>
  <c r="T14" i="3"/>
  <c r="S14" i="3"/>
  <c r="R14" i="3"/>
  <c r="Q14" i="3"/>
  <c r="P14" i="3"/>
  <c r="O14" i="3"/>
  <c r="N14" i="3"/>
  <c r="M14" i="3"/>
  <c r="L14" i="3"/>
  <c r="K14" i="3"/>
  <c r="J14" i="3"/>
  <c r="I14" i="3"/>
  <c r="H14" i="3"/>
  <c r="G14" i="3"/>
  <c r="F14" i="3"/>
  <c r="C14" i="3"/>
  <c r="AC18" i="1" s="1"/>
  <c r="X13" i="3"/>
  <c r="W13" i="3"/>
  <c r="V13" i="3"/>
  <c r="U13" i="3"/>
  <c r="T13" i="3"/>
  <c r="S13" i="3"/>
  <c r="R13" i="3"/>
  <c r="Q13" i="3"/>
  <c r="P13" i="3"/>
  <c r="O13" i="3"/>
  <c r="N13" i="3"/>
  <c r="M13" i="3"/>
  <c r="L13" i="3"/>
  <c r="K13" i="3"/>
  <c r="J13" i="3"/>
  <c r="I13" i="3"/>
  <c r="H13" i="3"/>
  <c r="G13" i="3"/>
  <c r="F13" i="3"/>
  <c r="C13" i="3"/>
  <c r="AC17" i="1" s="1"/>
  <c r="X12" i="3"/>
  <c r="W12" i="3"/>
  <c r="V12" i="3"/>
  <c r="U12" i="3"/>
  <c r="T12" i="3"/>
  <c r="S12" i="3"/>
  <c r="R12" i="3"/>
  <c r="Q12" i="3"/>
  <c r="P12" i="3"/>
  <c r="O12" i="3"/>
  <c r="N12" i="3"/>
  <c r="M12" i="3"/>
  <c r="L12" i="3"/>
  <c r="K12" i="3"/>
  <c r="J12" i="3"/>
  <c r="I12" i="3"/>
  <c r="H12" i="3"/>
  <c r="G12" i="3"/>
  <c r="F12" i="3"/>
  <c r="C12" i="3"/>
  <c r="AC16" i="1" s="1"/>
  <c r="X11" i="3"/>
  <c r="W11" i="3"/>
  <c r="V11" i="3"/>
  <c r="U11" i="3"/>
  <c r="T11" i="3"/>
  <c r="S11" i="3"/>
  <c r="R11" i="3"/>
  <c r="Q11" i="3"/>
  <c r="P11" i="3"/>
  <c r="O11" i="3"/>
  <c r="N11" i="3"/>
  <c r="M11" i="3"/>
  <c r="L11" i="3"/>
  <c r="K11" i="3"/>
  <c r="J11" i="3"/>
  <c r="I11" i="3"/>
  <c r="H11" i="3"/>
  <c r="G11" i="3"/>
  <c r="F11" i="3"/>
  <c r="C11" i="3"/>
  <c r="AC15" i="1" s="1"/>
  <c r="X10" i="3"/>
  <c r="W10" i="3"/>
  <c r="V10" i="3"/>
  <c r="U10" i="3"/>
  <c r="T10" i="3"/>
  <c r="S10" i="3"/>
  <c r="R10" i="3"/>
  <c r="Q10" i="3"/>
  <c r="P10" i="3"/>
  <c r="O10" i="3"/>
  <c r="N10" i="3"/>
  <c r="M10" i="3"/>
  <c r="L10" i="3"/>
  <c r="K10" i="3"/>
  <c r="J10" i="3"/>
  <c r="I10" i="3"/>
  <c r="H10" i="3"/>
  <c r="G10" i="3"/>
  <c r="F10" i="3"/>
  <c r="C10" i="3"/>
  <c r="AC14" i="1" s="1"/>
  <c r="X9" i="3"/>
  <c r="W9" i="3"/>
  <c r="V9" i="3"/>
  <c r="U9" i="3"/>
  <c r="T9" i="3"/>
  <c r="S9" i="3"/>
  <c r="R9" i="3"/>
  <c r="Q9" i="3"/>
  <c r="P9" i="3"/>
  <c r="O9" i="3"/>
  <c r="N9" i="3"/>
  <c r="M9" i="3"/>
  <c r="L9" i="3"/>
  <c r="K9" i="3"/>
  <c r="J9" i="3"/>
  <c r="I9" i="3"/>
  <c r="H9" i="3"/>
  <c r="G9" i="3"/>
  <c r="F9" i="3"/>
  <c r="C9" i="3"/>
  <c r="AC13" i="1" s="1"/>
  <c r="X8" i="3"/>
  <c r="W8" i="3"/>
  <c r="V8" i="3"/>
  <c r="U8" i="3"/>
  <c r="T8" i="3"/>
  <c r="S8" i="3"/>
  <c r="R8" i="3"/>
  <c r="Q8" i="3"/>
  <c r="P8" i="3"/>
  <c r="O8" i="3"/>
  <c r="N8" i="3"/>
  <c r="M8" i="3"/>
  <c r="L8" i="3"/>
  <c r="K8" i="3"/>
  <c r="J8" i="3"/>
  <c r="I8" i="3"/>
  <c r="H8" i="3"/>
  <c r="G8" i="3"/>
  <c r="F8" i="3"/>
  <c r="C8" i="3"/>
  <c r="AC12" i="1" s="1"/>
  <c r="X5" i="3"/>
  <c r="W5" i="3"/>
  <c r="V5" i="3"/>
  <c r="U5" i="3"/>
  <c r="T5" i="3"/>
  <c r="S5" i="3"/>
  <c r="R5" i="3"/>
  <c r="Q5" i="3"/>
  <c r="P5" i="3"/>
  <c r="O5" i="3"/>
  <c r="N5" i="3"/>
  <c r="M5" i="3"/>
  <c r="L5" i="3"/>
  <c r="K5" i="3"/>
  <c r="J5" i="3"/>
  <c r="I5" i="3"/>
  <c r="H5" i="3"/>
  <c r="G5" i="3"/>
  <c r="F5" i="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58">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futureMetadata>
  <valueMetadata count="58">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valueMetadata>
</metadata>
</file>

<file path=xl/sharedStrings.xml><?xml version="1.0" encoding="utf-8"?>
<sst xmlns="http://schemas.openxmlformats.org/spreadsheetml/2006/main" count="58" uniqueCount="51">
  <si>
    <t>Defender</t>
  </si>
  <si>
    <t>Attacker</t>
  </si>
  <si>
    <t>POKÉMON TYPE I</t>
  </si>
  <si>
    <t>POKÉMON TYPE II</t>
  </si>
  <si>
    <t>Pokémons</t>
  </si>
  <si>
    <t>Types</t>
  </si>
  <si>
    <t>Moves</t>
  </si>
  <si>
    <t>Move (fills attack type)</t>
  </si>
  <si>
    <t>Pokémon (fills pokémon types)</t>
  </si>
  <si>
    <t>MOVE TYPE</t>
  </si>
  <si>
    <t>Poison</t>
  </si>
  <si>
    <t>TypeChart</t>
  </si>
  <si>
    <t>Simple Calculator</t>
  </si>
  <si>
    <t>*Assigns types of chosen pokemon and move to Simple Calculator (if no empty)</t>
  </si>
  <si>
    <t>Pokédex</t>
  </si>
  <si>
    <t>Dex ID</t>
  </si>
  <si>
    <t>Pokémon name</t>
  </si>
  <si>
    <t>Normal</t>
  </si>
  <si>
    <t>Shiny</t>
  </si>
  <si>
    <t>Standard</t>
  </si>
  <si>
    <t>Gengar Gmax</t>
  </si>
  <si>
    <t>Terrain Pulse</t>
  </si>
  <si>
    <t>Ghost</t>
  </si>
  <si>
    <r>
      <t xml:space="preserve">* Stellar-Stellar </t>
    </r>
    <r>
      <rPr>
        <i/>
        <sz val="12"/>
        <color rgb="FFC89400"/>
        <rFont val="Aptos Narrow"/>
        <family val="2"/>
        <scheme val="minor"/>
      </rPr>
      <t>interaction means that Stellar move deals</t>
    </r>
    <r>
      <rPr>
        <b/>
        <i/>
        <sz val="12"/>
        <color rgb="FFC89400"/>
        <rFont val="Aptos Narrow"/>
        <family val="2"/>
        <scheme val="minor"/>
      </rPr>
      <t xml:space="preserve"> </t>
    </r>
    <r>
      <rPr>
        <i/>
        <sz val="12"/>
        <color rgb="FFC89400"/>
        <rFont val="Aptos Narrow"/>
        <family val="2"/>
        <scheme val="minor"/>
      </rPr>
      <t>double dmg to</t>
    </r>
    <r>
      <rPr>
        <b/>
        <i/>
        <sz val="12"/>
        <color rgb="FFC89400"/>
        <rFont val="Aptos Narrow"/>
        <family val="2"/>
        <scheme val="minor"/>
      </rPr>
      <t xml:space="preserve"> Terastallized </t>
    </r>
    <r>
      <rPr>
        <i/>
        <sz val="12"/>
        <color rgb="FFC89400"/>
        <rFont val="Aptos Narrow"/>
        <family val="2"/>
        <scheme val="minor"/>
      </rPr>
      <t>pokémon</t>
    </r>
    <r>
      <rPr>
        <b/>
        <i/>
        <sz val="12"/>
        <color rgb="FFC89400"/>
        <rFont val="Aptos Narrow"/>
        <family val="2"/>
        <scheme val="minor"/>
      </rPr>
      <t>!</t>
    </r>
  </si>
  <si>
    <t>Sprite:</t>
  </si>
  <si>
    <t>Units</t>
  </si>
  <si>
    <t>Form</t>
  </si>
  <si>
    <t>Ability I</t>
  </si>
  <si>
    <t>Ability II</t>
  </si>
  <si>
    <t>Hidden</t>
  </si>
  <si>
    <t>Abilities</t>
  </si>
  <si>
    <t>Base stats</t>
  </si>
  <si>
    <t>HP</t>
  </si>
  <si>
    <t>ATTACK</t>
  </si>
  <si>
    <t>DEFENSE</t>
  </si>
  <si>
    <t>SP. ATTACK</t>
  </si>
  <si>
    <t>SP. DEFENSE</t>
  </si>
  <si>
    <t>SPEED</t>
  </si>
  <si>
    <t>TOTAL</t>
  </si>
  <si>
    <t>Settings</t>
  </si>
  <si>
    <t>scarlet-violet</t>
  </si>
  <si>
    <t>sword-shield</t>
  </si>
  <si>
    <t>metric</t>
  </si>
  <si>
    <t>imperial</t>
  </si>
  <si>
    <t>DAMAGE</t>
  </si>
  <si>
    <t>DamageChart</t>
  </si>
  <si>
    <t>*does not account abilities</t>
  </si>
  <si>
    <t>Meganium</t>
  </si>
  <si>
    <t>all</t>
  </si>
  <si>
    <t>Games</t>
  </si>
  <si>
    <t>Image_styles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</si>
</sst>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quot;&quot;;@"/>
    <numFmt numFmtId="165" formatCode="0;\-0;&quot;#&quot;;@"/>
  </numFmts>
  <fonts count="23" x14ac:knownFonts="1">
    <font>
      <sz val="11"/>
      <color theme="1"/>
      <name val="Aptos Narrow"/>
      <family val="2"/>
      <charset val="238"/>
      <scheme val="minor"/>
    </font>
    <font>
      <b/>
      <sz val="11"/>
      <color theme="1"/>
      <name val="Aptos Narrow"/>
      <family val="2"/>
      <scheme val="minor"/>
    </font>
    <font>
      <b/>
      <i/>
      <sz val="11"/>
      <color theme="1"/>
      <name val="Aptos Narrow"/>
      <family val="2"/>
      <scheme val="minor"/>
    </font>
    <font>
      <b/>
      <i/>
      <sz val="12"/>
      <color rgb="FFC89400"/>
      <name val="Aptos Narrow"/>
      <family val="2"/>
      <scheme val="minor"/>
    </font>
    <font>
      <i/>
      <sz val="12"/>
      <color rgb="FFC89400"/>
      <name val="Aptos Narrow"/>
      <family val="2"/>
      <scheme val="minor"/>
    </font>
    <font>
      <b/>
      <i/>
      <sz val="14"/>
      <color theme="1"/>
      <name val="Aptos Narrow"/>
      <family val="2"/>
      <scheme val="minor"/>
    </font>
    <font>
      <b/>
      <u/>
      <sz val="11"/>
      <color theme="1"/>
      <name val="Aptos Narrow"/>
      <family val="2"/>
      <scheme val="minor"/>
    </font>
    <font>
      <b/>
      <sz val="11"/>
      <color theme="0"/>
      <name val="Aptos Narrow"/>
      <family val="2"/>
      <scheme val="minor"/>
    </font>
    <font>
      <b/>
      <u/>
      <sz val="18"/>
      <color rgb="FF0070C0"/>
      <name val="Aptos Narrow"/>
      <family val="2"/>
      <scheme val="minor"/>
    </font>
    <font>
      <sz val="11"/>
      <color theme="1"/>
      <name val="Aptos Narrow"/>
      <family val="2"/>
      <scheme val="minor"/>
    </font>
    <font>
      <i/>
      <sz val="11"/>
      <color rgb="FFC89400"/>
      <name val="Aptos Narrow"/>
      <family val="2"/>
      <scheme val="minor"/>
    </font>
    <font>
      <b/>
      <sz val="11"/>
      <color rgb="FF0070C0"/>
      <name val="Aptos Narrow"/>
      <family val="2"/>
      <scheme val="minor"/>
    </font>
    <font>
      <b/>
      <sz val="12"/>
      <color theme="1"/>
      <name val="Aptos Narrow"/>
      <family val="2"/>
      <scheme val="minor"/>
    </font>
    <font>
      <b/>
      <sz val="12"/>
      <color theme="0"/>
      <name val="Aptos Narrow"/>
      <family val="2"/>
      <scheme val="minor"/>
    </font>
    <font>
      <b/>
      <sz val="14"/>
      <color theme="0"/>
      <name val="Aptos Narrow"/>
      <family val="2"/>
      <scheme val="minor"/>
    </font>
    <font>
      <b/>
      <sz val="18"/>
      <color theme="0"/>
      <name val="Aptos Narrow"/>
      <family val="2"/>
      <scheme val="minor"/>
    </font>
    <font>
      <b/>
      <i/>
      <sz val="18"/>
      <color theme="0"/>
      <name val="Aptos Narrow"/>
      <family val="2"/>
      <scheme val="minor"/>
    </font>
    <font>
      <i/>
      <sz val="10"/>
      <color theme="1"/>
      <name val="Aptos Narrow"/>
      <family val="2"/>
      <scheme val="minor"/>
    </font>
    <font>
      <b/>
      <u/>
      <sz val="18"/>
      <color theme="0"/>
      <name val="Aptos Narrow"/>
      <family val="2"/>
      <scheme val="minor"/>
    </font>
    <font>
      <b/>
      <u/>
      <sz val="11"/>
      <color theme="0"/>
      <name val="Aptos Narrow"/>
      <family val="2"/>
      <scheme val="minor"/>
    </font>
    <font>
      <b/>
      <i/>
      <sz val="11"/>
      <color theme="0"/>
      <name val="Aptos Narrow"/>
      <family val="2"/>
      <scheme val="minor"/>
    </font>
    <font>
      <i/>
      <sz val="11"/>
      <color theme="0"/>
      <name val="Aptos Narrow"/>
      <family val="2"/>
      <scheme val="minor"/>
    </font>
    <font>
      <b/>
      <sz val="12"/>
      <color rgb="FF00B050"/>
      <name val="Aptos Narrow"/>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rgb="FFD9D9D9"/>
        <bgColor indexed="64"/>
      </patternFill>
    </fill>
    <fill>
      <patternFill patternType="solid">
        <fgColor rgb="FFCC0000"/>
        <bgColor indexed="64"/>
      </patternFill>
    </fill>
    <fill>
      <patternFill patternType="solid">
        <fgColor rgb="FFADD8E6"/>
        <bgColor indexed="64"/>
      </patternFill>
    </fill>
    <fill>
      <patternFill patternType="solid">
        <fgColor theme="1" tint="0.249977111117893"/>
        <bgColor indexed="64"/>
      </patternFill>
    </fill>
    <fill>
      <gradientFill type="path" left="0.5" right="0.5" top="0.5" bottom="0.5">
        <stop position="0">
          <color theme="0"/>
        </stop>
        <stop position="1">
          <color theme="1"/>
        </stop>
      </gradientFill>
    </fill>
  </fills>
  <borders count="3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style="dotted">
        <color indexed="64"/>
      </top>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right style="medium">
        <color indexed="64"/>
      </right>
      <top style="thin">
        <color indexed="64"/>
      </top>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thin">
        <color indexed="64"/>
      </bottom>
      <diagonal/>
    </border>
    <border>
      <left/>
      <right style="thin">
        <color indexed="64"/>
      </right>
      <top/>
      <bottom style="medium">
        <color indexed="64"/>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style="medium">
        <color theme="0"/>
      </right>
      <top/>
      <bottom/>
      <diagonal/>
    </border>
    <border>
      <left/>
      <right/>
      <top/>
      <bottom style="medium">
        <color theme="0"/>
      </bottom>
      <diagonal/>
    </border>
    <border>
      <left/>
      <right style="medium">
        <color theme="0"/>
      </right>
      <top/>
      <bottom style="medium">
        <color theme="0"/>
      </bottom>
      <diagonal/>
    </border>
    <border>
      <left style="thin">
        <color theme="0"/>
      </left>
      <right/>
      <top/>
      <bottom style="medium">
        <color theme="0"/>
      </bottom>
      <diagonal/>
    </border>
  </borders>
  <cellStyleXfs count="1">
    <xf numFmtId="0" fontId="0" fillId="0" borderId="0"/>
  </cellStyleXfs>
  <cellXfs count="106">
    <xf numFmtId="0" fontId="0" fillId="0" borderId="0" xfId="0"/>
    <xf numFmtId="0" fontId="1" fillId="2" borderId="0" xfId="0" applyFont="1" applyFill="1" applyProtection="1">
      <protection hidden="1"/>
    </xf>
    <xf numFmtId="0" fontId="1" fillId="3" borderId="0" xfId="0" applyFont="1" applyFill="1" applyProtection="1">
      <protection hidden="1"/>
    </xf>
    <xf numFmtId="0" fontId="2" fillId="3" borderId="0" xfId="0" applyFont="1" applyFill="1" applyAlignment="1" applyProtection="1">
      <alignment horizontal="right" vertical="top"/>
      <protection hidden="1"/>
    </xf>
    <xf numFmtId="0" fontId="1" fillId="3" borderId="0" xfId="0" applyFont="1" applyFill="1" applyAlignment="1" applyProtection="1">
      <alignment horizontal="center" vertical="center"/>
      <protection hidden="1"/>
    </xf>
    <xf numFmtId="0" fontId="1" fillId="4" borderId="0" xfId="0" applyFont="1" applyFill="1" applyProtection="1">
      <protection hidden="1"/>
    </xf>
    <xf numFmtId="0" fontId="1" fillId="0" borderId="0" xfId="0" applyFont="1" applyProtection="1">
      <protection hidden="1"/>
    </xf>
    <xf numFmtId="0" fontId="2" fillId="3" borderId="0" xfId="0" applyFont="1" applyFill="1" applyAlignment="1" applyProtection="1">
      <alignment horizontal="left"/>
      <protection hidden="1"/>
    </xf>
    <xf numFmtId="0" fontId="1" fillId="3" borderId="0" xfId="0" applyFont="1" applyFill="1" applyAlignment="1" applyProtection="1">
      <alignment horizontal="left" vertical="center"/>
      <protection hidden="1"/>
    </xf>
    <xf numFmtId="0" fontId="1" fillId="3" borderId="1" xfId="0" applyFont="1" applyFill="1" applyBorder="1" applyAlignment="1" applyProtection="1">
      <alignment horizontal="center" vertical="center"/>
      <protection hidden="1"/>
    </xf>
    <xf numFmtId="0" fontId="6" fillId="0" borderId="0" xfId="0" applyFont="1"/>
    <xf numFmtId="164" fontId="0" fillId="0" borderId="0" xfId="0" applyNumberFormat="1"/>
    <xf numFmtId="0" fontId="11" fillId="4" borderId="0" xfId="0" applyFont="1" applyFill="1" applyProtection="1">
      <protection hidden="1"/>
    </xf>
    <xf numFmtId="0" fontId="0" fillId="4" borderId="0" xfId="0" applyFill="1" applyProtection="1">
      <protection hidden="1"/>
    </xf>
    <xf numFmtId="0" fontId="0" fillId="5" borderId="0" xfId="0" applyFill="1" applyProtection="1">
      <protection hidden="1"/>
    </xf>
    <xf numFmtId="0" fontId="8" fillId="4" borderId="0" xfId="0" applyFont="1" applyFill="1" applyAlignment="1" applyProtection="1">
      <alignment horizontal="left" vertical="center"/>
      <protection hidden="1"/>
    </xf>
    <xf numFmtId="0" fontId="0" fillId="7" borderId="0" xfId="0" applyFill="1" applyProtection="1">
      <protection hidden="1"/>
    </xf>
    <xf numFmtId="0" fontId="0" fillId="7" borderId="11" xfId="0" applyFill="1" applyBorder="1" applyProtection="1">
      <protection hidden="1"/>
    </xf>
    <xf numFmtId="0" fontId="0" fillId="7" borderId="21" xfId="0" applyFill="1" applyBorder="1" applyProtection="1">
      <protection hidden="1"/>
    </xf>
    <xf numFmtId="0" fontId="0" fillId="7" borderId="24" xfId="0" applyFill="1" applyBorder="1" applyProtection="1">
      <protection hidden="1"/>
    </xf>
    <xf numFmtId="0" fontId="0" fillId="7" borderId="25" xfId="0" applyFill="1" applyBorder="1" applyProtection="1">
      <protection hidden="1"/>
    </xf>
    <xf numFmtId="0" fontId="0" fillId="7" borderId="26" xfId="0" applyFill="1" applyBorder="1" applyProtection="1">
      <protection hidden="1"/>
    </xf>
    <xf numFmtId="0" fontId="0" fillId="7" borderId="27" xfId="0" applyFill="1" applyBorder="1" applyProtection="1">
      <protection hidden="1"/>
    </xf>
    <xf numFmtId="0" fontId="0" fillId="7" borderId="28" xfId="0" applyFill="1" applyBorder="1" applyProtection="1">
      <protection hidden="1"/>
    </xf>
    <xf numFmtId="0" fontId="7" fillId="7" borderId="0" xfId="0" applyFont="1" applyFill="1" applyAlignment="1" applyProtection="1">
      <alignment horizontal="center" vertical="center"/>
      <protection hidden="1"/>
    </xf>
    <xf numFmtId="0" fontId="0" fillId="7" borderId="7" xfId="0" applyFill="1" applyBorder="1" applyAlignment="1" applyProtection="1">
      <alignment horizontal="center" vertical="center"/>
      <protection hidden="1"/>
    </xf>
    <xf numFmtId="0" fontId="15" fillId="5" borderId="0" xfId="0" applyFont="1" applyFill="1" applyAlignment="1" applyProtection="1">
      <alignment vertical="center"/>
      <protection hidden="1"/>
    </xf>
    <xf numFmtId="0" fontId="7" fillId="7" borderId="25" xfId="0" applyFont="1" applyFill="1" applyBorder="1" applyAlignment="1" applyProtection="1">
      <alignment horizontal="center"/>
      <protection hidden="1"/>
    </xf>
    <xf numFmtId="0" fontId="0" fillId="7" borderId="22" xfId="0" applyFill="1" applyBorder="1" applyProtection="1">
      <protection hidden="1"/>
    </xf>
    <xf numFmtId="0" fontId="0" fillId="7" borderId="23" xfId="0" applyFill="1" applyBorder="1" applyProtection="1">
      <protection hidden="1"/>
    </xf>
    <xf numFmtId="0" fontId="15" fillId="7" borderId="25" xfId="0" applyFont="1" applyFill="1" applyBorder="1" applyAlignment="1" applyProtection="1">
      <alignment vertical="center"/>
      <protection hidden="1"/>
    </xf>
    <xf numFmtId="0" fontId="15" fillId="7" borderId="24" xfId="0" applyFont="1" applyFill="1" applyBorder="1" applyAlignment="1" applyProtection="1">
      <alignment vertical="center"/>
      <protection hidden="1"/>
    </xf>
    <xf numFmtId="0" fontId="0" fillId="7" borderId="2" xfId="0" applyFill="1" applyBorder="1" applyAlignment="1" applyProtection="1">
      <alignment horizontal="center" vertical="center"/>
      <protection hidden="1"/>
    </xf>
    <xf numFmtId="9" fontId="13" fillId="7" borderId="4" xfId="0" applyNumberFormat="1" applyFont="1" applyFill="1" applyBorder="1" applyAlignment="1" applyProtection="1">
      <alignment horizontal="center" vertical="center"/>
      <protection hidden="1"/>
    </xf>
    <xf numFmtId="9" fontId="13" fillId="7" borderId="0" xfId="0" applyNumberFormat="1" applyFont="1" applyFill="1" applyAlignment="1" applyProtection="1">
      <alignment horizontal="center" vertical="center"/>
      <protection hidden="1"/>
    </xf>
    <xf numFmtId="0" fontId="19" fillId="7" borderId="25" xfId="0" applyFont="1" applyFill="1" applyBorder="1" applyAlignment="1" applyProtection="1">
      <alignment vertical="top"/>
      <protection hidden="1"/>
    </xf>
    <xf numFmtId="0" fontId="9" fillId="6" borderId="21" xfId="0" applyFont="1" applyFill="1" applyBorder="1" applyAlignment="1" applyProtection="1">
      <alignment horizontal="center" vertical="center"/>
      <protection hidden="1"/>
    </xf>
    <xf numFmtId="0" fontId="1" fillId="4" borderId="23" xfId="0" applyFont="1" applyFill="1" applyBorder="1" applyAlignment="1" applyProtection="1">
      <alignment horizontal="center" vertical="center"/>
      <protection locked="0" hidden="1"/>
    </xf>
    <xf numFmtId="0" fontId="8" fillId="4" borderId="0" xfId="0" applyFont="1" applyFill="1" applyAlignment="1" applyProtection="1">
      <alignment horizontal="left" vertical="center"/>
      <protection hidden="1"/>
    </xf>
    <xf numFmtId="165" fontId="2" fillId="6" borderId="12" xfId="0" applyNumberFormat="1" applyFont="1" applyFill="1" applyBorder="1" applyAlignment="1" applyProtection="1">
      <alignment horizontal="center" vertical="center"/>
      <protection hidden="1"/>
    </xf>
    <xf numFmtId="165" fontId="2" fillId="6" borderId="18" xfId="0" applyNumberFormat="1" applyFont="1" applyFill="1" applyBorder="1" applyAlignment="1" applyProtection="1">
      <alignment horizontal="center" vertical="center"/>
      <protection hidden="1"/>
    </xf>
    <xf numFmtId="0" fontId="0" fillId="8" borderId="24" xfId="0" applyFill="1" applyBorder="1" applyAlignment="1" applyProtection="1">
      <alignment horizontal="center" vertical="center"/>
      <protection hidden="1"/>
    </xf>
    <xf numFmtId="0" fontId="0" fillId="8" borderId="0" xfId="0" applyFill="1" applyAlignment="1" applyProtection="1">
      <alignment horizontal="center" vertical="center"/>
      <protection hidden="1"/>
    </xf>
    <xf numFmtId="0" fontId="0" fillId="8" borderId="29" xfId="0" applyFill="1" applyBorder="1" applyAlignment="1" applyProtection="1">
      <alignment horizontal="center" vertical="center"/>
      <protection hidden="1"/>
    </xf>
    <xf numFmtId="0" fontId="0" fillId="8" borderId="32" xfId="0" applyFill="1" applyBorder="1" applyAlignment="1" applyProtection="1">
      <alignment horizontal="center" vertical="center"/>
      <protection hidden="1"/>
    </xf>
    <xf numFmtId="0" fontId="0" fillId="8" borderId="30" xfId="0" applyFill="1" applyBorder="1" applyAlignment="1" applyProtection="1">
      <alignment horizontal="center" vertical="center"/>
      <protection hidden="1"/>
    </xf>
    <xf numFmtId="0" fontId="0" fillId="8" borderId="31" xfId="0" applyFill="1" applyBorder="1" applyAlignment="1" applyProtection="1">
      <alignment horizontal="center" vertical="center"/>
      <protection hidden="1"/>
    </xf>
    <xf numFmtId="0" fontId="12" fillId="6" borderId="11" xfId="0" applyFont="1" applyFill="1" applyBorder="1" applyAlignment="1" applyProtection="1">
      <alignment horizontal="center" vertical="center" wrapText="1"/>
      <protection locked="0" hidden="1"/>
    </xf>
    <xf numFmtId="0" fontId="12" fillId="6" borderId="5" xfId="0" applyFont="1" applyFill="1" applyBorder="1" applyAlignment="1" applyProtection="1">
      <alignment horizontal="center" vertical="center" wrapText="1"/>
      <protection locked="0" hidden="1"/>
    </xf>
    <xf numFmtId="0" fontId="12" fillId="6" borderId="15" xfId="0" applyFont="1" applyFill="1" applyBorder="1" applyAlignment="1" applyProtection="1">
      <alignment horizontal="center" vertical="center" wrapText="1"/>
      <protection locked="0" hidden="1"/>
    </xf>
    <xf numFmtId="0" fontId="12" fillId="6" borderId="16" xfId="0" applyFont="1" applyFill="1" applyBorder="1" applyAlignment="1" applyProtection="1">
      <alignment horizontal="center" vertical="center" wrapText="1"/>
      <protection locked="0" hidden="1"/>
    </xf>
    <xf numFmtId="0" fontId="12" fillId="6" borderId="11" xfId="0" applyFont="1" applyFill="1" applyBorder="1" applyAlignment="1" applyProtection="1">
      <alignment horizontal="center" vertical="center"/>
      <protection hidden="1"/>
    </xf>
    <xf numFmtId="0" fontId="12" fillId="6" borderId="14" xfId="0" applyFont="1" applyFill="1" applyBorder="1" applyAlignment="1" applyProtection="1">
      <alignment horizontal="center" vertical="center"/>
      <protection hidden="1"/>
    </xf>
    <xf numFmtId="0" fontId="12" fillId="6" borderId="15" xfId="0" applyFont="1" applyFill="1" applyBorder="1" applyAlignment="1" applyProtection="1">
      <alignment horizontal="center" vertical="center"/>
      <protection hidden="1"/>
    </xf>
    <xf numFmtId="0" fontId="12" fillId="6" borderId="17" xfId="0" applyFont="1" applyFill="1" applyBorder="1" applyAlignment="1" applyProtection="1">
      <alignment horizontal="center" vertical="center"/>
      <protection hidden="1"/>
    </xf>
    <xf numFmtId="0" fontId="7" fillId="7" borderId="4" xfId="0" applyFont="1" applyFill="1" applyBorder="1" applyAlignment="1" applyProtection="1">
      <alignment horizontal="center"/>
      <protection hidden="1"/>
    </xf>
    <xf numFmtId="0" fontId="7" fillId="7" borderId="7" xfId="0" applyFont="1" applyFill="1" applyBorder="1" applyAlignment="1" applyProtection="1">
      <alignment horizontal="center" vertical="center"/>
      <protection hidden="1"/>
    </xf>
    <xf numFmtId="0" fontId="7" fillId="7" borderId="13" xfId="0" applyFont="1" applyFill="1" applyBorder="1" applyAlignment="1" applyProtection="1">
      <alignment horizontal="center" vertical="center"/>
      <protection hidden="1"/>
    </xf>
    <xf numFmtId="0" fontId="7" fillId="7" borderId="0" xfId="0" applyFont="1" applyFill="1" applyAlignment="1" applyProtection="1">
      <alignment horizontal="center" vertical="center"/>
      <protection hidden="1"/>
    </xf>
    <xf numFmtId="0" fontId="17" fillId="6" borderId="0" xfId="0" applyFont="1" applyFill="1" applyAlignment="1" applyProtection="1">
      <alignment horizontal="center" vertical="center" wrapText="1"/>
      <protection hidden="1"/>
    </xf>
    <xf numFmtId="0" fontId="17" fillId="6" borderId="7" xfId="0" applyFont="1" applyFill="1" applyBorder="1" applyAlignment="1" applyProtection="1">
      <alignment horizontal="center" vertical="center" wrapText="1"/>
      <protection hidden="1"/>
    </xf>
    <xf numFmtId="0" fontId="17" fillId="6" borderId="16" xfId="0" applyFont="1" applyFill="1" applyBorder="1" applyAlignment="1" applyProtection="1">
      <alignment horizontal="center" vertical="center" wrapText="1"/>
      <protection hidden="1"/>
    </xf>
    <xf numFmtId="0" fontId="17" fillId="6" borderId="20" xfId="0" applyFont="1" applyFill="1" applyBorder="1" applyAlignment="1" applyProtection="1">
      <alignment horizontal="center" vertical="center" wrapText="1"/>
      <protection hidden="1"/>
    </xf>
    <xf numFmtId="0" fontId="0" fillId="7" borderId="7" xfId="0" applyFill="1" applyBorder="1" applyAlignment="1" applyProtection="1">
      <alignment horizontal="center" vertical="center"/>
      <protection hidden="1"/>
    </xf>
    <xf numFmtId="0" fontId="0" fillId="7" borderId="13" xfId="0" applyFill="1" applyBorder="1" applyAlignment="1" applyProtection="1">
      <alignment horizontal="center" vertical="center"/>
      <protection hidden="1"/>
    </xf>
    <xf numFmtId="0" fontId="0" fillId="7" borderId="0" xfId="0" applyFill="1" applyAlignment="1" applyProtection="1">
      <alignment horizontal="center" vertical="center"/>
      <protection hidden="1"/>
    </xf>
    <xf numFmtId="0" fontId="14" fillId="7" borderId="13" xfId="0" applyFont="1" applyFill="1" applyBorder="1" applyAlignment="1" applyProtection="1">
      <alignment horizontal="center" vertical="center"/>
      <protection hidden="1"/>
    </xf>
    <xf numFmtId="0" fontId="14" fillId="7" borderId="0" xfId="0" applyFont="1" applyFill="1" applyAlignment="1" applyProtection="1">
      <alignment horizontal="center" vertical="center"/>
      <protection hidden="1"/>
    </xf>
    <xf numFmtId="0" fontId="14" fillId="7" borderId="19" xfId="0" applyFont="1" applyFill="1" applyBorder="1" applyAlignment="1" applyProtection="1">
      <alignment horizontal="center" vertical="center"/>
      <protection hidden="1"/>
    </xf>
    <xf numFmtId="0" fontId="14" fillId="7" borderId="4" xfId="0" applyFont="1" applyFill="1" applyBorder="1" applyAlignment="1" applyProtection="1">
      <alignment horizontal="center" vertical="center"/>
      <protection hidden="1"/>
    </xf>
    <xf numFmtId="0" fontId="18" fillId="7" borderId="0" xfId="0" applyFont="1" applyFill="1" applyAlignment="1" applyProtection="1">
      <alignment horizontal="left" vertical="center"/>
      <protection hidden="1"/>
    </xf>
    <xf numFmtId="0" fontId="16" fillId="7" borderId="5" xfId="0" applyFont="1" applyFill="1" applyBorder="1" applyAlignment="1" applyProtection="1">
      <alignment horizontal="center" vertical="center"/>
      <protection hidden="1"/>
    </xf>
    <xf numFmtId="0" fontId="16" fillId="7" borderId="4" xfId="0" applyFont="1" applyFill="1" applyBorder="1" applyAlignment="1" applyProtection="1">
      <alignment horizontal="center" vertical="center"/>
      <protection hidden="1"/>
    </xf>
    <xf numFmtId="0" fontId="16" fillId="7" borderId="11" xfId="0" applyFont="1" applyFill="1" applyBorder="1" applyAlignment="1" applyProtection="1">
      <alignment horizontal="center" vertical="center"/>
      <protection hidden="1"/>
    </xf>
    <xf numFmtId="0" fontId="16" fillId="7" borderId="19" xfId="0" applyFont="1" applyFill="1" applyBorder="1" applyAlignment="1" applyProtection="1">
      <alignment horizontal="center" vertical="center"/>
      <protection hidden="1"/>
    </xf>
    <xf numFmtId="0" fontId="13" fillId="7" borderId="4" xfId="0" applyFont="1" applyFill="1" applyBorder="1" applyAlignment="1" applyProtection="1">
      <alignment horizontal="center"/>
      <protection hidden="1"/>
    </xf>
    <xf numFmtId="0" fontId="13" fillId="7" borderId="2" xfId="0" applyFont="1" applyFill="1" applyBorder="1" applyAlignment="1" applyProtection="1">
      <alignment horizontal="center"/>
      <protection hidden="1"/>
    </xf>
    <xf numFmtId="0" fontId="7" fillId="7" borderId="4" xfId="0" applyFont="1" applyFill="1" applyBorder="1" applyAlignment="1" applyProtection="1">
      <alignment horizontal="center" vertical="center"/>
      <protection hidden="1"/>
    </xf>
    <xf numFmtId="0" fontId="13" fillId="7" borderId="0" xfId="0" applyFont="1" applyFill="1" applyAlignment="1" applyProtection="1">
      <alignment horizontal="center"/>
      <protection hidden="1"/>
    </xf>
    <xf numFmtId="0" fontId="13" fillId="7" borderId="7" xfId="0" applyFont="1" applyFill="1" applyBorder="1" applyAlignment="1" applyProtection="1">
      <alignment horizontal="center"/>
      <protection hidden="1"/>
    </xf>
    <xf numFmtId="0" fontId="22" fillId="7" borderId="0" xfId="0" applyFont="1" applyFill="1" applyAlignment="1" applyProtection="1">
      <alignment horizontal="center"/>
      <protection hidden="1"/>
    </xf>
    <xf numFmtId="0" fontId="19" fillId="7" borderId="0" xfId="0" applyFont="1" applyFill="1" applyAlignment="1" applyProtection="1">
      <alignment horizontal="left" vertical="top"/>
      <protection hidden="1"/>
    </xf>
    <xf numFmtId="0" fontId="20" fillId="7" borderId="13" xfId="0" applyFont="1" applyFill="1" applyBorder="1" applyAlignment="1" applyProtection="1">
      <alignment horizontal="center" vertical="center"/>
      <protection locked="0" hidden="1"/>
    </xf>
    <xf numFmtId="0" fontId="20" fillId="7" borderId="0" xfId="0" applyFont="1" applyFill="1" applyAlignment="1" applyProtection="1">
      <alignment horizontal="center" vertical="center"/>
      <protection locked="0" hidden="1"/>
    </xf>
    <xf numFmtId="0" fontId="20" fillId="7" borderId="19" xfId="0" applyFont="1" applyFill="1" applyBorder="1" applyAlignment="1" applyProtection="1">
      <alignment horizontal="center" vertical="center"/>
      <protection locked="0" hidden="1"/>
    </xf>
    <xf numFmtId="0" fontId="20" fillId="7" borderId="4" xfId="0" applyFont="1" applyFill="1" applyBorder="1" applyAlignment="1" applyProtection="1">
      <alignment horizontal="center" vertical="center"/>
      <protection locked="0" hidden="1"/>
    </xf>
    <xf numFmtId="0" fontId="21" fillId="7" borderId="27" xfId="0" applyFont="1" applyFill="1" applyBorder="1" applyAlignment="1" applyProtection="1">
      <alignment horizontal="center"/>
      <protection hidden="1"/>
    </xf>
    <xf numFmtId="0" fontId="21" fillId="7" borderId="0" xfId="0" applyFont="1" applyFill="1" applyAlignment="1" applyProtection="1">
      <alignment horizontal="left"/>
      <protection hidden="1"/>
    </xf>
    <xf numFmtId="0" fontId="7" fillId="7" borderId="2" xfId="0" applyFont="1" applyFill="1" applyBorder="1" applyAlignment="1" applyProtection="1">
      <alignment horizontal="center" vertical="center"/>
      <protection hidden="1"/>
    </xf>
    <xf numFmtId="0" fontId="1" fillId="2" borderId="0" xfId="0" applyFont="1" applyFill="1" applyAlignment="1" applyProtection="1">
      <alignment horizontal="center" vertical="center"/>
      <protection hidden="1"/>
    </xf>
    <xf numFmtId="0" fontId="1" fillId="3" borderId="0" xfId="0" applyFont="1" applyFill="1" applyAlignment="1" applyProtection="1">
      <alignment horizontal="center" vertical="center"/>
      <protection hidden="1"/>
    </xf>
    <xf numFmtId="0" fontId="3" fillId="4" borderId="0" xfId="0" applyFont="1" applyFill="1" applyAlignment="1" applyProtection="1">
      <alignment horizontal="left" vertical="top"/>
      <protection hidden="1"/>
    </xf>
    <xf numFmtId="0" fontId="2" fillId="3" borderId="0" xfId="0" applyFont="1" applyFill="1" applyAlignment="1" applyProtection="1">
      <alignment horizontal="right" vertical="top"/>
      <protection hidden="1"/>
    </xf>
    <xf numFmtId="0" fontId="2" fillId="3" borderId="3" xfId="0" applyFont="1" applyFill="1" applyBorder="1" applyAlignment="1" applyProtection="1">
      <alignment horizontal="left"/>
      <protection hidden="1"/>
    </xf>
    <xf numFmtId="0" fontId="1" fillId="2" borderId="5" xfId="0" applyFont="1" applyFill="1" applyBorder="1" applyAlignment="1" applyProtection="1">
      <alignment horizontal="center" vertical="center"/>
      <protection hidden="1"/>
    </xf>
    <xf numFmtId="0" fontId="1" fillId="2" borderId="6" xfId="0" applyFont="1" applyFill="1" applyBorder="1" applyAlignment="1" applyProtection="1">
      <alignment horizontal="center" vertical="center"/>
      <protection hidden="1"/>
    </xf>
    <xf numFmtId="0" fontId="1" fillId="2" borderId="4" xfId="0" applyFont="1" applyFill="1" applyBorder="1" applyAlignment="1" applyProtection="1">
      <alignment horizontal="center" vertical="center"/>
      <protection hidden="1"/>
    </xf>
    <xf numFmtId="0" fontId="1" fillId="2" borderId="2" xfId="0" applyFont="1" applyFill="1" applyBorder="1" applyAlignment="1" applyProtection="1">
      <alignment horizontal="center" vertical="center"/>
      <protection hidden="1"/>
    </xf>
    <xf numFmtId="0" fontId="5" fillId="2" borderId="1" xfId="0" applyFont="1" applyFill="1" applyBorder="1" applyAlignment="1" applyProtection="1">
      <alignment horizontal="center" vertical="center" wrapText="1"/>
      <protection hidden="1"/>
    </xf>
    <xf numFmtId="0" fontId="1" fillId="2" borderId="8" xfId="0" applyFont="1" applyFill="1" applyBorder="1" applyAlignment="1" applyProtection="1">
      <alignment horizontal="center" vertical="center"/>
      <protection locked="0" hidden="1"/>
    </xf>
    <xf numFmtId="0" fontId="1" fillId="2" borderId="9" xfId="0" applyFont="1" applyFill="1" applyBorder="1" applyAlignment="1" applyProtection="1">
      <alignment horizontal="center" vertical="center"/>
      <protection locked="0" hidden="1"/>
    </xf>
    <xf numFmtId="0" fontId="1" fillId="2" borderId="10" xfId="0" applyFont="1" applyFill="1" applyBorder="1" applyAlignment="1" applyProtection="1">
      <alignment horizontal="center" vertical="center"/>
      <protection locked="0" hidden="1"/>
    </xf>
    <xf numFmtId="0" fontId="1" fillId="2" borderId="7" xfId="0" applyFont="1" applyFill="1" applyBorder="1" applyAlignment="1" applyProtection="1">
      <alignment horizontal="center" vertical="center"/>
      <protection hidden="1"/>
    </xf>
    <xf numFmtId="0" fontId="1" fillId="2" borderId="5" xfId="0" applyFont="1" applyFill="1" applyBorder="1" applyAlignment="1" applyProtection="1">
      <alignment horizontal="center" vertical="center"/>
      <protection locked="0" hidden="1"/>
    </xf>
    <xf numFmtId="0" fontId="1" fillId="2" borderId="4" xfId="0" applyFont="1" applyFill="1" applyBorder="1" applyAlignment="1" applyProtection="1">
      <alignment horizontal="center" vertical="center"/>
      <protection locked="0" hidden="1"/>
    </xf>
    <xf numFmtId="0" fontId="10" fillId="4" borderId="0" xfId="0" applyFont="1" applyFill="1" applyAlignment="1" applyProtection="1">
      <alignment horizontal="left" wrapText="1"/>
      <protection hidden="1"/>
    </xf>
  </cellXfs>
  <cellStyles count="1">
    <cellStyle name="Normal" xfId="0" builtinId="0"/>
  </cellStyles>
  <dxfs count="14">
    <dxf>
      <font>
        <color theme="0"/>
      </font>
      <fill>
        <patternFill>
          <bgColor theme="1"/>
        </patternFill>
      </fill>
    </dxf>
    <dxf>
      <font>
        <color theme="1"/>
      </font>
      <fill>
        <patternFill>
          <fgColor auto="1"/>
          <bgColor rgb="FFCC0000"/>
        </patternFill>
      </fill>
    </dxf>
    <dxf>
      <font>
        <color theme="1"/>
      </font>
      <fill>
        <patternFill>
          <fgColor auto="1"/>
          <bgColor rgb="FFCC0000"/>
        </patternFill>
      </fill>
    </dxf>
    <dxf>
      <font>
        <color theme="0"/>
      </font>
      <fill>
        <patternFill>
          <bgColor rgb="FF00B050"/>
        </patternFill>
      </fill>
    </dxf>
    <dxf>
      <font>
        <color theme="0"/>
      </font>
      <fill>
        <patternFill>
          <bgColor rgb="FF00B050"/>
        </patternFill>
      </fill>
    </dxf>
    <dxf>
      <font>
        <color theme="1"/>
      </font>
      <fill>
        <patternFill>
          <bgColor theme="0"/>
        </patternFill>
      </fill>
    </dxf>
    <dxf>
      <font>
        <color theme="0"/>
      </font>
      <fill>
        <patternFill>
          <bgColor theme="0"/>
        </patternFill>
      </fill>
    </dxf>
    <dxf>
      <font>
        <b/>
        <i val="0"/>
        <color theme="1"/>
      </font>
      <numFmt numFmtId="17" formatCode="#&quot; &quot;?/?"/>
      <fill>
        <patternFill>
          <bgColor rgb="FFCC0000"/>
        </patternFill>
      </fill>
    </dxf>
    <dxf>
      <font>
        <b/>
        <i val="0"/>
        <color theme="0"/>
      </font>
      <numFmt numFmtId="1" formatCode="0"/>
      <fill>
        <patternFill>
          <bgColor rgb="FF00B050"/>
        </patternFill>
      </fill>
    </dxf>
    <dxf>
      <font>
        <color theme="0"/>
      </font>
      <fill>
        <patternFill>
          <bgColor theme="1"/>
        </patternFill>
      </fill>
    </dxf>
    <dxf>
      <font>
        <color rgb="FFCC0000"/>
      </font>
      <fill>
        <patternFill patternType="solid">
          <bgColor theme="1" tint="0.24994659260841701"/>
        </patternFill>
      </fill>
    </dxf>
    <dxf>
      <font>
        <color rgb="FF00B050"/>
      </font>
      <fill>
        <patternFill>
          <bgColor theme="1" tint="0.24994659260841701"/>
        </patternFill>
      </fill>
    </dxf>
    <dxf>
      <font>
        <color rgb="FFC89400"/>
      </font>
      <fill>
        <patternFill>
          <bgColor theme="1" tint="0.24994659260841701"/>
        </patternFill>
      </fill>
    </dxf>
    <dxf>
      <fill>
        <patternFill>
          <bgColor rgb="FF9E9E9E"/>
        </patternFill>
      </fill>
    </dxf>
  </dxfs>
  <tableStyles count="0" defaultTableStyle="TableStyleMedium2" defaultPivotStyle="PivotStyleLight16"/>
  <colors>
    <mruColors>
      <color rgb="FF00B050"/>
      <color rgb="FFCC0000"/>
      <color rgb="FFC89400"/>
      <color rgb="FFFA0000"/>
      <color rgb="FFF60000"/>
      <color rgb="FFADD8E6"/>
      <color rgb="FFE6EEF7"/>
      <color rgb="FFDCE7F2"/>
      <color rgb="FFE6ECF2"/>
      <color rgb="FFE9EE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17/06/relationships/rdRichValueTypes" Target="richData/rdRichValueTyp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06/relationships/rdRichValueStructure" Target="richData/rdrichvaluestructure.xml"/><Relationship Id="rId5" Type="http://schemas.openxmlformats.org/officeDocument/2006/relationships/theme" Target="theme/theme1.xml"/><Relationship Id="rId10" Type="http://schemas.microsoft.com/office/2017/06/relationships/rdRichValue" Target="richData/rdrichvalue.xml"/><Relationship Id="rId4" Type="http://schemas.openxmlformats.org/officeDocument/2006/relationships/externalLink" Target="externalLinks/externalLink1.xml"/><Relationship Id="rId9" Type="http://schemas.microsoft.com/office/2020/07/relationships/rdRichValueWebImage" Target="richData/rdRichValueWebImage.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374432</xdr:colOff>
      <xdr:row>2</xdr:row>
      <xdr:rowOff>76199</xdr:rowOff>
    </xdr:from>
    <xdr:to>
      <xdr:col>32</xdr:col>
      <xdr:colOff>85726</xdr:colOff>
      <xdr:row>34</xdr:row>
      <xdr:rowOff>28574</xdr:rowOff>
    </xdr:to>
    <xdr:grpSp>
      <xdr:nvGrpSpPr>
        <xdr:cNvPr id="6" name="Group 5">
          <a:extLst>
            <a:ext uri="{FF2B5EF4-FFF2-40B4-BE49-F238E27FC236}">
              <a16:creationId xmlns:a16="http://schemas.microsoft.com/office/drawing/2014/main" id="{0EC1C4E8-9F1F-B9A9-74D1-A84718BF34F4}"/>
            </a:ext>
          </a:extLst>
        </xdr:cNvPr>
        <xdr:cNvGrpSpPr/>
      </xdr:nvGrpSpPr>
      <xdr:grpSpPr>
        <a:xfrm>
          <a:off x="374432" y="647699"/>
          <a:ext cx="13522544" cy="6305550"/>
          <a:chOff x="374432" y="647699"/>
          <a:chExt cx="13522544" cy="6305550"/>
        </a:xfrm>
      </xdr:grpSpPr>
      <xdr:sp macro="" textlink="">
        <xdr:nvSpPr>
          <xdr:cNvPr id="2" name="Rectangle: Top Corners Snipped 1">
            <a:extLst>
              <a:ext uri="{FF2B5EF4-FFF2-40B4-BE49-F238E27FC236}">
                <a16:creationId xmlns:a16="http://schemas.microsoft.com/office/drawing/2014/main" id="{78AFEADA-22AF-8048-0AC0-BE94C9F469AF}"/>
              </a:ext>
            </a:extLst>
          </xdr:cNvPr>
          <xdr:cNvSpPr/>
        </xdr:nvSpPr>
        <xdr:spPr>
          <a:xfrm>
            <a:off x="374432" y="647699"/>
            <a:ext cx="13522544" cy="238125"/>
          </a:xfrm>
          <a:prstGeom prst="snip2SameRect">
            <a:avLst/>
          </a:prstGeom>
          <a:solidFill>
            <a:srgbClr val="CC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cs-CZ" sz="1100" i="1"/>
              <a:t>JiKl</a:t>
            </a:r>
            <a:r>
              <a:rPr lang="cs-CZ" sz="1100" i="1" baseline="0"/>
              <a:t>-Dex 1.0</a:t>
            </a:r>
          </a:p>
          <a:p>
            <a:pPr algn="l"/>
            <a:endParaRPr lang="cs-CZ" sz="1100" i="1"/>
          </a:p>
        </xdr:txBody>
      </xdr:sp>
      <xdr:sp macro="" textlink="">
        <xdr:nvSpPr>
          <xdr:cNvPr id="3" name="Rectangle: Top Corners Snipped 2">
            <a:extLst>
              <a:ext uri="{FF2B5EF4-FFF2-40B4-BE49-F238E27FC236}">
                <a16:creationId xmlns:a16="http://schemas.microsoft.com/office/drawing/2014/main" id="{9A54EEF4-9B33-42DE-9710-98DFAEBE4CE5}"/>
              </a:ext>
            </a:extLst>
          </xdr:cNvPr>
          <xdr:cNvSpPr/>
        </xdr:nvSpPr>
        <xdr:spPr>
          <a:xfrm rot="10800000">
            <a:off x="375673" y="6715124"/>
            <a:ext cx="13519260" cy="238125"/>
          </a:xfrm>
          <a:prstGeom prst="snip2SameRect">
            <a:avLst/>
          </a:prstGeom>
          <a:solidFill>
            <a:srgbClr val="CC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4" name="Rectangle 3">
            <a:extLst>
              <a:ext uri="{FF2B5EF4-FFF2-40B4-BE49-F238E27FC236}">
                <a16:creationId xmlns:a16="http://schemas.microsoft.com/office/drawing/2014/main" id="{803EE6E9-5C8E-26EB-F2F5-321A2A60A91E}"/>
              </a:ext>
            </a:extLst>
          </xdr:cNvPr>
          <xdr:cNvSpPr/>
        </xdr:nvSpPr>
        <xdr:spPr>
          <a:xfrm>
            <a:off x="13715343" y="806669"/>
            <a:ext cx="178733" cy="5924550"/>
          </a:xfrm>
          <a:prstGeom prst="rect">
            <a:avLst/>
          </a:prstGeom>
          <a:solidFill>
            <a:srgbClr val="CC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5" name="Rectangle 4">
            <a:extLst>
              <a:ext uri="{FF2B5EF4-FFF2-40B4-BE49-F238E27FC236}">
                <a16:creationId xmlns:a16="http://schemas.microsoft.com/office/drawing/2014/main" id="{1BF12D65-468D-468D-9BC3-CB0F101EF722}"/>
              </a:ext>
            </a:extLst>
          </xdr:cNvPr>
          <xdr:cNvSpPr/>
        </xdr:nvSpPr>
        <xdr:spPr>
          <a:xfrm>
            <a:off x="375344" y="883097"/>
            <a:ext cx="149572" cy="5917696"/>
          </a:xfrm>
          <a:prstGeom prst="rect">
            <a:avLst/>
          </a:prstGeom>
          <a:solidFill>
            <a:srgbClr val="CC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378802</xdr:colOff>
      <xdr:row>1</xdr:row>
      <xdr:rowOff>265043</xdr:rowOff>
    </xdr:from>
    <xdr:to>
      <xdr:col>24</xdr:col>
      <xdr:colOff>97971</xdr:colOff>
      <xdr:row>28</xdr:row>
      <xdr:rowOff>24321</xdr:rowOff>
    </xdr:to>
    <xdr:grpSp>
      <xdr:nvGrpSpPr>
        <xdr:cNvPr id="2" name="Skupina 1">
          <a:extLst>
            <a:ext uri="{FF2B5EF4-FFF2-40B4-BE49-F238E27FC236}">
              <a16:creationId xmlns:a16="http://schemas.microsoft.com/office/drawing/2014/main" id="{88529862-55FF-4843-9850-80D4CCBBFFDF}"/>
            </a:ext>
          </a:extLst>
        </xdr:cNvPr>
        <xdr:cNvGrpSpPr/>
      </xdr:nvGrpSpPr>
      <xdr:grpSpPr>
        <a:xfrm>
          <a:off x="378802" y="646043"/>
          <a:ext cx="7586819" cy="5855278"/>
          <a:chOff x="378802" y="638175"/>
          <a:chExt cx="12832372" cy="5863146"/>
        </a:xfrm>
      </xdr:grpSpPr>
      <xdr:sp macro="" textlink="">
        <xdr:nvSpPr>
          <xdr:cNvPr id="3" name="Obdélník: se zakulacenými horními rohy 2">
            <a:extLst>
              <a:ext uri="{FF2B5EF4-FFF2-40B4-BE49-F238E27FC236}">
                <a16:creationId xmlns:a16="http://schemas.microsoft.com/office/drawing/2014/main" id="{063DE9DF-4E56-0E00-121B-950860A337E6}"/>
              </a:ext>
            </a:extLst>
          </xdr:cNvPr>
          <xdr:cNvSpPr/>
        </xdr:nvSpPr>
        <xdr:spPr>
          <a:xfrm>
            <a:off x="380986" y="638175"/>
            <a:ext cx="12830188" cy="162458"/>
          </a:xfrm>
          <a:prstGeom prst="round2Same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4" name="Obdélník: se zakulacenými horními rohy 3">
            <a:extLst>
              <a:ext uri="{FF2B5EF4-FFF2-40B4-BE49-F238E27FC236}">
                <a16:creationId xmlns:a16="http://schemas.microsoft.com/office/drawing/2014/main" id="{95B537A4-F3D3-4A5D-9CF3-4FBAEA3F98B6}"/>
              </a:ext>
            </a:extLst>
          </xdr:cNvPr>
          <xdr:cNvSpPr/>
        </xdr:nvSpPr>
        <xdr:spPr>
          <a:xfrm rot="10800000">
            <a:off x="378802" y="6339623"/>
            <a:ext cx="12830188" cy="161698"/>
          </a:xfrm>
          <a:prstGeom prst="round2Same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grpSp>
    <xdr:clientData/>
  </xdr:twoCellAnchor>
  <xdr:twoCellAnchor>
    <xdr:from>
      <xdr:col>26</xdr:col>
      <xdr:colOff>533400</xdr:colOff>
      <xdr:row>5</xdr:row>
      <xdr:rowOff>180975</xdr:rowOff>
    </xdr:from>
    <xdr:to>
      <xdr:col>31</xdr:col>
      <xdr:colOff>66675</xdr:colOff>
      <xdr:row>13</xdr:row>
      <xdr:rowOff>123825</xdr:rowOff>
    </xdr:to>
    <xdr:grpSp>
      <xdr:nvGrpSpPr>
        <xdr:cNvPr id="9" name="Skupina 8">
          <a:extLst>
            <a:ext uri="{FF2B5EF4-FFF2-40B4-BE49-F238E27FC236}">
              <a16:creationId xmlns:a16="http://schemas.microsoft.com/office/drawing/2014/main" id="{7C03B048-D4D1-7CAB-DE23-D9680A73831C}"/>
            </a:ext>
          </a:extLst>
        </xdr:cNvPr>
        <xdr:cNvGrpSpPr/>
      </xdr:nvGrpSpPr>
      <xdr:grpSpPr>
        <a:xfrm>
          <a:off x="8877300" y="1276350"/>
          <a:ext cx="2771775" cy="1790700"/>
          <a:chOff x="8912468" y="1340642"/>
          <a:chExt cx="2732853" cy="892970"/>
        </a:xfrm>
        <a:solidFill>
          <a:srgbClr val="0070C0"/>
        </a:solidFill>
      </xdr:grpSpPr>
      <xdr:sp macro="" textlink="">
        <xdr:nvSpPr>
          <xdr:cNvPr id="5" name="Obdélník: se zakulacenými horními rohy 4">
            <a:extLst>
              <a:ext uri="{FF2B5EF4-FFF2-40B4-BE49-F238E27FC236}">
                <a16:creationId xmlns:a16="http://schemas.microsoft.com/office/drawing/2014/main" id="{EDF677A8-37DB-45C4-9E34-2C10C834954C}"/>
              </a:ext>
            </a:extLst>
          </xdr:cNvPr>
          <xdr:cNvSpPr/>
        </xdr:nvSpPr>
        <xdr:spPr>
          <a:xfrm rot="16200000">
            <a:off x="8503168" y="1749942"/>
            <a:ext cx="892970" cy="74369"/>
          </a:xfrm>
          <a:prstGeom prst="round2Same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6" name="Obdélník: se zakulacenými horními rohy 5">
            <a:extLst>
              <a:ext uri="{FF2B5EF4-FFF2-40B4-BE49-F238E27FC236}">
                <a16:creationId xmlns:a16="http://schemas.microsoft.com/office/drawing/2014/main" id="{D2C2C206-D32B-4D89-9FF5-6E8CCDEBF41B}"/>
              </a:ext>
            </a:extLst>
          </xdr:cNvPr>
          <xdr:cNvSpPr/>
        </xdr:nvSpPr>
        <xdr:spPr>
          <a:xfrm rot="5400000">
            <a:off x="11167631" y="1754808"/>
            <a:ext cx="891851" cy="63529"/>
          </a:xfrm>
          <a:prstGeom prst="round2Same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7" name="Obdélník 6">
            <a:extLst>
              <a:ext uri="{FF2B5EF4-FFF2-40B4-BE49-F238E27FC236}">
                <a16:creationId xmlns:a16="http://schemas.microsoft.com/office/drawing/2014/main" id="{CD075D2D-77ED-43ED-A4D9-83CE38059703}"/>
              </a:ext>
            </a:extLst>
          </xdr:cNvPr>
          <xdr:cNvSpPr/>
        </xdr:nvSpPr>
        <xdr:spPr>
          <a:xfrm>
            <a:off x="8967788" y="1340644"/>
            <a:ext cx="2628900" cy="59531"/>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8" name="Obdélník 7">
            <a:extLst>
              <a:ext uri="{FF2B5EF4-FFF2-40B4-BE49-F238E27FC236}">
                <a16:creationId xmlns:a16="http://schemas.microsoft.com/office/drawing/2014/main" id="{461F8432-A20A-4FFB-B992-3978660D89F3}"/>
              </a:ext>
            </a:extLst>
          </xdr:cNvPr>
          <xdr:cNvSpPr/>
        </xdr:nvSpPr>
        <xdr:spPr>
          <a:xfrm>
            <a:off x="8972550" y="2178844"/>
            <a:ext cx="2628900" cy="54768"/>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grpSp>
    <xdr:clientData/>
  </xdr:twoCellAnchor>
  <xdr:twoCellAnchor>
    <xdr:from>
      <xdr:col>27</xdr:col>
      <xdr:colOff>28575</xdr:colOff>
      <xdr:row>24</xdr:row>
      <xdr:rowOff>27215</xdr:rowOff>
    </xdr:from>
    <xdr:to>
      <xdr:col>30</xdr:col>
      <xdr:colOff>628650</xdr:colOff>
      <xdr:row>24</xdr:row>
      <xdr:rowOff>228601</xdr:rowOff>
    </xdr:to>
    <xdr:sp macro="[0]!AssignTypes" textlink="">
      <xdr:nvSpPr>
        <xdr:cNvPr id="10" name="Obdélník 9">
          <a:extLst>
            <a:ext uri="{FF2B5EF4-FFF2-40B4-BE49-F238E27FC236}">
              <a16:creationId xmlns:a16="http://schemas.microsoft.com/office/drawing/2014/main" id="{BB28FE61-5C68-3C3D-D0D6-824608E055B6}"/>
            </a:ext>
          </a:extLst>
        </xdr:cNvPr>
        <xdr:cNvSpPr/>
      </xdr:nvSpPr>
      <xdr:spPr>
        <a:xfrm>
          <a:off x="8965746" y="5780315"/>
          <a:ext cx="2575833" cy="201386"/>
        </a:xfrm>
        <a:prstGeom prst="rect">
          <a:avLst/>
        </a:prstGeom>
        <a:solidFill>
          <a:schemeClr val="accent2"/>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cs-CZ" sz="1200" b="1">
              <a:solidFill>
                <a:schemeClr val="bg1"/>
              </a:solidFill>
            </a:rPr>
            <a:t>ASSIGN</a:t>
          </a:r>
          <a:r>
            <a:rPr lang="cs-CZ" sz="1200" b="1" baseline="0">
              <a:solidFill>
                <a:schemeClr val="bg1"/>
              </a:solidFill>
            </a:rPr>
            <a:t> </a:t>
          </a:r>
        </a:p>
        <a:p>
          <a:pPr algn="ctr"/>
          <a:endParaRPr lang="cs-CZ" sz="1200" b="1">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J:\jikl-coding\projects\2026\PokeTools\data\export\pokedata.xlsx" TargetMode="External"/><Relationship Id="rId1" Type="http://schemas.openxmlformats.org/officeDocument/2006/relationships/externalLinkPath" Target="/jikl-coding/projects/2026/PokeTools/data/export/poke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okemon"/>
      <sheetName val="Learnsets"/>
      <sheetName val="Moves"/>
      <sheetName val="Items"/>
      <sheetName val="Abilities"/>
      <sheetName val="Natures"/>
      <sheetName val="Evolutions"/>
      <sheetName val="TypeChart"/>
      <sheetName val="Types"/>
      <sheetName val="Meta"/>
      <sheetName val="Assets"/>
    </sheetNames>
    <sheetDataSet>
      <sheetData sheetId="0">
        <row r="1">
          <cell r="C1" t="str">
            <v>DISPLAY_NAME</v>
          </cell>
          <cell r="D1" t="str">
            <v>FORM_GROUP</v>
          </cell>
          <cell r="E1" t="str">
            <v>TYPE1</v>
          </cell>
          <cell r="F1" t="str">
            <v>TYPE2</v>
          </cell>
          <cell r="G1" t="str">
            <v>HP</v>
          </cell>
          <cell r="H1" t="str">
            <v>ATK</v>
          </cell>
          <cell r="I1" t="str">
            <v>DEF</v>
          </cell>
          <cell r="J1" t="str">
            <v>SPA</v>
          </cell>
          <cell r="K1" t="str">
            <v>SPD</v>
          </cell>
          <cell r="L1" t="str">
            <v>SPE</v>
          </cell>
          <cell r="M1" t="str">
            <v>TOTAL</v>
          </cell>
          <cell r="N1" t="str">
            <v>ABILITY1</v>
          </cell>
          <cell r="O1" t="str">
            <v>ABILITY2</v>
          </cell>
          <cell r="P1" t="str">
            <v>HIDDEN_ABILITY</v>
          </cell>
          <cell r="Q1" t="str">
            <v>HEIGHT_M</v>
          </cell>
          <cell r="R1" t="str">
            <v>WEIGHT_KG</v>
          </cell>
          <cell r="S1" t="str">
            <v>ABOUT</v>
          </cell>
          <cell r="T1" t="str">
            <v>SPRITE</v>
          </cell>
          <cell r="U1" t="str">
            <v>SHINY_SPRITE</v>
          </cell>
        </row>
        <row r="2">
          <cell r="A2">
            <v>1</v>
          </cell>
          <cell r="C2" t="str">
            <v>Bulbasaur</v>
          </cell>
          <cell r="D2" t="str">
            <v>Standard</v>
          </cell>
          <cell r="E2" t="str">
            <v>grass</v>
          </cell>
          <cell r="F2" t="str">
            <v>poison</v>
          </cell>
          <cell r="G2">
            <v>45</v>
          </cell>
          <cell r="H2">
            <v>49</v>
          </cell>
          <cell r="I2">
            <v>49</v>
          </cell>
          <cell r="J2">
            <v>65</v>
          </cell>
          <cell r="K2">
            <v>65</v>
          </cell>
          <cell r="L2">
            <v>45</v>
          </cell>
          <cell r="M2">
            <v>318</v>
          </cell>
          <cell r="N2" t="str">
            <v>overgrow</v>
          </cell>
          <cell r="P2" t="str">
            <v>chlorophyll</v>
          </cell>
          <cell r="Q2">
            <v>0.7</v>
          </cell>
          <cell r="R2">
            <v>6.9</v>
          </cell>
          <cell r="S2" t="str">
            <v>A strange seed was planted on its back at birth. The plant sprouts and grows with this POKéMON.</v>
          </cell>
          <cell r="T2" t="str">
            <v>https://raw.githubusercontent.com/PokeAPI/sprites/master/sprites/pokemon/other/official-artwork/1.png</v>
          </cell>
          <cell r="U2" t="str">
            <v>https://raw.githubusercontent.com/PokeAPI/sprites/master/sprites/pokemon/other/official-artwork/shiny/1.png</v>
          </cell>
        </row>
        <row r="3">
          <cell r="A3">
            <v>2</v>
          </cell>
          <cell r="C3" t="str">
            <v>Ivysaur</v>
          </cell>
          <cell r="D3" t="str">
            <v>Standard</v>
          </cell>
          <cell r="E3" t="str">
            <v>grass</v>
          </cell>
          <cell r="F3" t="str">
            <v>poison</v>
          </cell>
          <cell r="G3">
            <v>60</v>
          </cell>
          <cell r="H3">
            <v>62</v>
          </cell>
          <cell r="I3">
            <v>63</v>
          </cell>
          <cell r="J3">
            <v>80</v>
          </cell>
          <cell r="K3">
            <v>80</v>
          </cell>
          <cell r="L3">
            <v>60</v>
          </cell>
          <cell r="M3">
            <v>405</v>
          </cell>
          <cell r="N3" t="str">
            <v>overgrow</v>
          </cell>
          <cell r="P3" t="str">
            <v>chlorophyll</v>
          </cell>
          <cell r="Q3">
            <v>1</v>
          </cell>
          <cell r="R3">
            <v>13</v>
          </cell>
          <cell r="S3" t="str">
            <v>When the bulb on its back grows large, it appears to lose the ability to stand on its hind legs.</v>
          </cell>
          <cell r="T3" t="str">
            <v>https://raw.githubusercontent.com/PokeAPI/sprites/master/sprites/pokemon/other/official-artwork/2.png</v>
          </cell>
          <cell r="U3" t="str">
            <v>https://raw.githubusercontent.com/PokeAPI/sprites/master/sprites/pokemon/other/official-artwork/shiny/2.png</v>
          </cell>
        </row>
        <row r="4">
          <cell r="A4">
            <v>3</v>
          </cell>
          <cell r="C4" t="str">
            <v>Venusaur</v>
          </cell>
          <cell r="D4" t="str">
            <v>Standard</v>
          </cell>
          <cell r="E4" t="str">
            <v>grass</v>
          </cell>
          <cell r="F4" t="str">
            <v>poison</v>
          </cell>
          <cell r="G4">
            <v>80</v>
          </cell>
          <cell r="H4">
            <v>82</v>
          </cell>
          <cell r="I4">
            <v>83</v>
          </cell>
          <cell r="J4">
            <v>100</v>
          </cell>
          <cell r="K4">
            <v>100</v>
          </cell>
          <cell r="L4">
            <v>80</v>
          </cell>
          <cell r="M4">
            <v>525</v>
          </cell>
          <cell r="N4" t="str">
            <v>overgrow</v>
          </cell>
          <cell r="P4" t="str">
            <v>chlorophyll</v>
          </cell>
          <cell r="Q4">
            <v>2</v>
          </cell>
          <cell r="R4">
            <v>100</v>
          </cell>
          <cell r="S4" t="str">
            <v>The plant blooms when it is absorbing solar energy. It stays on the move to seek sunlight.</v>
          </cell>
          <cell r="T4" t="str">
            <v>https://raw.githubusercontent.com/PokeAPI/sprites/master/sprites/pokemon/other/official-artwork/3.png</v>
          </cell>
          <cell r="U4" t="str">
            <v>https://raw.githubusercontent.com/PokeAPI/sprites/master/sprites/pokemon/other/official-artwork/shiny/3.png</v>
          </cell>
        </row>
        <row r="5">
          <cell r="A5">
            <v>3</v>
          </cell>
          <cell r="C5" t="str">
            <v>Venusaur Gmax</v>
          </cell>
          <cell r="D5" t="str">
            <v>Gigantamax</v>
          </cell>
          <cell r="E5" t="str">
            <v>grass</v>
          </cell>
          <cell r="F5" t="str">
            <v>poison</v>
          </cell>
          <cell r="G5">
            <v>80</v>
          </cell>
          <cell r="H5">
            <v>82</v>
          </cell>
          <cell r="I5">
            <v>83</v>
          </cell>
          <cell r="J5">
            <v>100</v>
          </cell>
          <cell r="K5">
            <v>100</v>
          </cell>
          <cell r="L5">
            <v>80</v>
          </cell>
          <cell r="M5">
            <v>525</v>
          </cell>
          <cell r="N5" t="str">
            <v>overgrow</v>
          </cell>
          <cell r="P5" t="str">
            <v>chlorophyll</v>
          </cell>
          <cell r="Q5">
            <v>24</v>
          </cell>
          <cell r="R5">
            <v>1000</v>
          </cell>
          <cell r="S5" t="str">
            <v>The plant blooms when it is absorbing solar energy. It stays on the move to seek sunlight.</v>
          </cell>
          <cell r="T5" t="str">
            <v>https://raw.githubusercontent.com/PokeAPI/sprites/master/sprites/pokemon/other/official-artwork/10195.png</v>
          </cell>
          <cell r="U5" t="str">
            <v>https://raw.githubusercontent.com/PokeAPI/sprites/master/sprites/pokemon/other/official-artwork/shiny/10195.png</v>
          </cell>
        </row>
        <row r="6">
          <cell r="A6">
            <v>3</v>
          </cell>
          <cell r="C6" t="str">
            <v>Venusaur Mega</v>
          </cell>
          <cell r="D6" t="str">
            <v>Mega</v>
          </cell>
          <cell r="E6" t="str">
            <v>grass</v>
          </cell>
          <cell r="F6" t="str">
            <v>poison</v>
          </cell>
          <cell r="G6">
            <v>80</v>
          </cell>
          <cell r="H6">
            <v>100</v>
          </cell>
          <cell r="I6">
            <v>123</v>
          </cell>
          <cell r="J6">
            <v>122</v>
          </cell>
          <cell r="K6">
            <v>120</v>
          </cell>
          <cell r="L6">
            <v>80</v>
          </cell>
          <cell r="M6">
            <v>625</v>
          </cell>
          <cell r="N6" t="str">
            <v>thick-fat</v>
          </cell>
          <cell r="Q6">
            <v>2.4</v>
          </cell>
          <cell r="R6">
            <v>155.5</v>
          </cell>
          <cell r="S6" t="str">
            <v>The plant blooms when it is absorbing solar energy. It stays on the move to seek sunlight.</v>
          </cell>
          <cell r="T6" t="str">
            <v>https://raw.githubusercontent.com/PokeAPI/sprites/master/sprites/pokemon/other/official-artwork/10033.png</v>
          </cell>
          <cell r="U6" t="str">
            <v>https://raw.githubusercontent.com/PokeAPI/sprites/master/sprites/pokemon/other/official-artwork/shiny/10033.png</v>
          </cell>
        </row>
        <row r="7">
          <cell r="A7">
            <v>4</v>
          </cell>
          <cell r="C7" t="str">
            <v>Charmander</v>
          </cell>
          <cell r="D7" t="str">
            <v>Standard</v>
          </cell>
          <cell r="E7" t="str">
            <v>fire</v>
          </cell>
          <cell r="G7">
            <v>39</v>
          </cell>
          <cell r="H7">
            <v>52</v>
          </cell>
          <cell r="I7">
            <v>43</v>
          </cell>
          <cell r="J7">
            <v>60</v>
          </cell>
          <cell r="K7">
            <v>50</v>
          </cell>
          <cell r="L7">
            <v>65</v>
          </cell>
          <cell r="M7">
            <v>309</v>
          </cell>
          <cell r="N7" t="str">
            <v>blaze</v>
          </cell>
          <cell r="P7" t="str">
            <v>solar-power</v>
          </cell>
          <cell r="Q7">
            <v>0.6</v>
          </cell>
          <cell r="R7">
            <v>8.5</v>
          </cell>
          <cell r="S7" t="str">
            <v>Obviously prefers hot places. When it rains, steam is said to spout from the tip of its tail.</v>
          </cell>
          <cell r="T7" t="str">
            <v>https://raw.githubusercontent.com/PokeAPI/sprites/master/sprites/pokemon/other/official-artwork/4.png</v>
          </cell>
          <cell r="U7" t="str">
            <v>https://raw.githubusercontent.com/PokeAPI/sprites/master/sprites/pokemon/other/official-artwork/shiny/4.png</v>
          </cell>
        </row>
        <row r="8">
          <cell r="A8">
            <v>5</v>
          </cell>
          <cell r="C8" t="str">
            <v>Charmeleon</v>
          </cell>
          <cell r="D8" t="str">
            <v>Standard</v>
          </cell>
          <cell r="E8" t="str">
            <v>fire</v>
          </cell>
          <cell r="G8">
            <v>58</v>
          </cell>
          <cell r="H8">
            <v>64</v>
          </cell>
          <cell r="I8">
            <v>58</v>
          </cell>
          <cell r="J8">
            <v>80</v>
          </cell>
          <cell r="K8">
            <v>65</v>
          </cell>
          <cell r="L8">
            <v>80</v>
          </cell>
          <cell r="M8">
            <v>405</v>
          </cell>
          <cell r="N8" t="str">
            <v>blaze</v>
          </cell>
          <cell r="P8" t="str">
            <v>solar-power</v>
          </cell>
          <cell r="Q8">
            <v>1.1000000000000001</v>
          </cell>
          <cell r="R8">
            <v>19</v>
          </cell>
          <cell r="S8" t="str">
            <v>When it swings its burning tail, it elevates the temperature to unbearably high levels.</v>
          </cell>
          <cell r="T8" t="str">
            <v>https://raw.githubusercontent.com/PokeAPI/sprites/master/sprites/pokemon/other/official-artwork/5.png</v>
          </cell>
          <cell r="U8" t="str">
            <v>https://raw.githubusercontent.com/PokeAPI/sprites/master/sprites/pokemon/other/official-artwork/shiny/5.png</v>
          </cell>
        </row>
        <row r="9">
          <cell r="A9">
            <v>6</v>
          </cell>
          <cell r="C9" t="str">
            <v>Charizard</v>
          </cell>
          <cell r="D9" t="str">
            <v>Standard</v>
          </cell>
          <cell r="E9" t="str">
            <v>fire</v>
          </cell>
          <cell r="F9" t="str">
            <v>flying</v>
          </cell>
          <cell r="G9">
            <v>78</v>
          </cell>
          <cell r="H9">
            <v>84</v>
          </cell>
          <cell r="I9">
            <v>78</v>
          </cell>
          <cell r="J9">
            <v>109</v>
          </cell>
          <cell r="K9">
            <v>85</v>
          </cell>
          <cell r="L9">
            <v>100</v>
          </cell>
          <cell r="M9">
            <v>534</v>
          </cell>
          <cell r="N9" t="str">
            <v>blaze</v>
          </cell>
          <cell r="P9" t="str">
            <v>solar-power</v>
          </cell>
          <cell r="Q9">
            <v>1.7</v>
          </cell>
          <cell r="R9">
            <v>90.5</v>
          </cell>
          <cell r="S9" t="str">
            <v>Spits fire that is hot enough to melt boulders. Known to cause forest fires unintentionally.</v>
          </cell>
          <cell r="T9" t="str">
            <v>https://raw.githubusercontent.com/PokeAPI/sprites/master/sprites/pokemon/other/official-artwork/6.png</v>
          </cell>
          <cell r="U9" t="str">
            <v>https://raw.githubusercontent.com/PokeAPI/sprites/master/sprites/pokemon/other/official-artwork/shiny/6.png</v>
          </cell>
        </row>
        <row r="10">
          <cell r="A10">
            <v>6</v>
          </cell>
          <cell r="C10" t="str">
            <v>Charizard Gmax</v>
          </cell>
          <cell r="D10" t="str">
            <v>Gigantamax</v>
          </cell>
          <cell r="E10" t="str">
            <v>fire</v>
          </cell>
          <cell r="F10" t="str">
            <v>flying</v>
          </cell>
          <cell r="G10">
            <v>78</v>
          </cell>
          <cell r="H10">
            <v>84</v>
          </cell>
          <cell r="I10">
            <v>78</v>
          </cell>
          <cell r="J10">
            <v>109</v>
          </cell>
          <cell r="K10">
            <v>85</v>
          </cell>
          <cell r="L10">
            <v>100</v>
          </cell>
          <cell r="M10">
            <v>534</v>
          </cell>
          <cell r="N10" t="str">
            <v>blaze</v>
          </cell>
          <cell r="P10" t="str">
            <v>solar-power</v>
          </cell>
          <cell r="Q10">
            <v>28</v>
          </cell>
          <cell r="R10">
            <v>1000</v>
          </cell>
          <cell r="S10" t="str">
            <v>Spits fire that is hot enough to melt boulders. Known to cause forest fires unintentionally.</v>
          </cell>
          <cell r="T10" t="str">
            <v>https://raw.githubusercontent.com/PokeAPI/sprites/master/sprites/pokemon/other/official-artwork/10196.png</v>
          </cell>
          <cell r="U10" t="str">
            <v>https://raw.githubusercontent.com/PokeAPI/sprites/master/sprites/pokemon/other/official-artwork/shiny/10196.png</v>
          </cell>
        </row>
        <row r="11">
          <cell r="A11">
            <v>6</v>
          </cell>
          <cell r="C11" t="str">
            <v>Charizard Mega X</v>
          </cell>
          <cell r="D11" t="str">
            <v>Mega</v>
          </cell>
          <cell r="E11" t="str">
            <v>fire</v>
          </cell>
          <cell r="F11" t="str">
            <v>dragon</v>
          </cell>
          <cell r="G11">
            <v>78</v>
          </cell>
          <cell r="H11">
            <v>130</v>
          </cell>
          <cell r="I11">
            <v>111</v>
          </cell>
          <cell r="J11">
            <v>130</v>
          </cell>
          <cell r="K11">
            <v>85</v>
          </cell>
          <cell r="L11">
            <v>100</v>
          </cell>
          <cell r="M11">
            <v>634</v>
          </cell>
          <cell r="N11" t="str">
            <v>tough-claws</v>
          </cell>
          <cell r="Q11">
            <v>1.7</v>
          </cell>
          <cell r="R11">
            <v>110.5</v>
          </cell>
          <cell r="S11" t="str">
            <v>Spits fire that is hot enough to melt boulders. Known to cause forest fires unintentionally.</v>
          </cell>
          <cell r="T11" t="str">
            <v>https://raw.githubusercontent.com/PokeAPI/sprites/master/sprites/pokemon/other/official-artwork/10034.png</v>
          </cell>
          <cell r="U11" t="str">
            <v>https://raw.githubusercontent.com/PokeAPI/sprites/master/sprites/pokemon/other/official-artwork/shiny/10034.png</v>
          </cell>
        </row>
        <row r="12">
          <cell r="A12">
            <v>6</v>
          </cell>
          <cell r="C12" t="str">
            <v>Charizard Mega Y</v>
          </cell>
          <cell r="D12" t="str">
            <v>Mega</v>
          </cell>
          <cell r="E12" t="str">
            <v>fire</v>
          </cell>
          <cell r="F12" t="str">
            <v>flying</v>
          </cell>
          <cell r="G12">
            <v>78</v>
          </cell>
          <cell r="H12">
            <v>104</v>
          </cell>
          <cell r="I12">
            <v>78</v>
          </cell>
          <cell r="J12">
            <v>159</v>
          </cell>
          <cell r="K12">
            <v>115</v>
          </cell>
          <cell r="L12">
            <v>100</v>
          </cell>
          <cell r="M12">
            <v>634</v>
          </cell>
          <cell r="N12" t="str">
            <v>drought</v>
          </cell>
          <cell r="Q12">
            <v>1.7</v>
          </cell>
          <cell r="R12">
            <v>100.5</v>
          </cell>
          <cell r="S12" t="str">
            <v>Spits fire that is hot enough to melt boulders. Known to cause forest fires unintentionally.</v>
          </cell>
          <cell r="T12" t="str">
            <v>https://raw.githubusercontent.com/PokeAPI/sprites/master/sprites/pokemon/other/official-artwork/10035.png</v>
          </cell>
          <cell r="U12" t="str">
            <v>https://raw.githubusercontent.com/PokeAPI/sprites/master/sprites/pokemon/other/official-artwork/shiny/10035.png</v>
          </cell>
        </row>
        <row r="13">
          <cell r="A13">
            <v>7</v>
          </cell>
          <cell r="C13" t="str">
            <v>Squirtle</v>
          </cell>
          <cell r="D13" t="str">
            <v>Standard</v>
          </cell>
          <cell r="E13" t="str">
            <v>water</v>
          </cell>
          <cell r="G13">
            <v>44</v>
          </cell>
          <cell r="H13">
            <v>48</v>
          </cell>
          <cell r="I13">
            <v>65</v>
          </cell>
          <cell r="J13">
            <v>50</v>
          </cell>
          <cell r="K13">
            <v>64</v>
          </cell>
          <cell r="L13">
            <v>43</v>
          </cell>
          <cell r="M13">
            <v>314</v>
          </cell>
          <cell r="N13" t="str">
            <v>torrent</v>
          </cell>
          <cell r="P13" t="str">
            <v>rain-dish</v>
          </cell>
          <cell r="Q13">
            <v>0.5</v>
          </cell>
          <cell r="R13">
            <v>9</v>
          </cell>
          <cell r="S13" t="str">
            <v>After birth, its back swells and hardens into a shell. Powerfully sprays foam from its mouth.</v>
          </cell>
          <cell r="T13" t="str">
            <v>https://raw.githubusercontent.com/PokeAPI/sprites/master/sprites/pokemon/other/official-artwork/7.png</v>
          </cell>
          <cell r="U13" t="str">
            <v>https://raw.githubusercontent.com/PokeAPI/sprites/master/sprites/pokemon/other/official-artwork/shiny/7.png</v>
          </cell>
        </row>
        <row r="14">
          <cell r="A14">
            <v>8</v>
          </cell>
          <cell r="C14" t="str">
            <v>Wartortle</v>
          </cell>
          <cell r="D14" t="str">
            <v>Standard</v>
          </cell>
          <cell r="E14" t="str">
            <v>water</v>
          </cell>
          <cell r="G14">
            <v>59</v>
          </cell>
          <cell r="H14">
            <v>63</v>
          </cell>
          <cell r="I14">
            <v>80</v>
          </cell>
          <cell r="J14">
            <v>65</v>
          </cell>
          <cell r="K14">
            <v>80</v>
          </cell>
          <cell r="L14">
            <v>58</v>
          </cell>
          <cell r="M14">
            <v>405</v>
          </cell>
          <cell r="N14" t="str">
            <v>torrent</v>
          </cell>
          <cell r="P14" t="str">
            <v>rain-dish</v>
          </cell>
          <cell r="Q14">
            <v>1</v>
          </cell>
          <cell r="R14">
            <v>22.5</v>
          </cell>
          <cell r="S14" t="str">
            <v>Often hides in water to stalk unwary prey. For swimming fast, it moves its ears to maintain balance.</v>
          </cell>
          <cell r="T14" t="str">
            <v>https://raw.githubusercontent.com/PokeAPI/sprites/master/sprites/pokemon/other/official-artwork/8.png</v>
          </cell>
          <cell r="U14" t="str">
            <v>https://raw.githubusercontent.com/PokeAPI/sprites/master/sprites/pokemon/other/official-artwork/shiny/8.png</v>
          </cell>
        </row>
        <row r="15">
          <cell r="A15">
            <v>9</v>
          </cell>
          <cell r="C15" t="str">
            <v>Blastoise</v>
          </cell>
          <cell r="D15" t="str">
            <v>Standard</v>
          </cell>
          <cell r="E15" t="str">
            <v>water</v>
          </cell>
          <cell r="G15">
            <v>79</v>
          </cell>
          <cell r="H15">
            <v>83</v>
          </cell>
          <cell r="I15">
            <v>100</v>
          </cell>
          <cell r="J15">
            <v>85</v>
          </cell>
          <cell r="K15">
            <v>105</v>
          </cell>
          <cell r="L15">
            <v>78</v>
          </cell>
          <cell r="M15">
            <v>530</v>
          </cell>
          <cell r="N15" t="str">
            <v>torrent</v>
          </cell>
          <cell r="P15" t="str">
            <v>rain-dish</v>
          </cell>
          <cell r="Q15">
            <v>1.6</v>
          </cell>
          <cell r="R15">
            <v>85.5</v>
          </cell>
          <cell r="S15" t="str">
            <v>A brutal POKéMON with pressurized water jets on its shell. They are used for high speed tackles.</v>
          </cell>
          <cell r="T15" t="str">
            <v>https://raw.githubusercontent.com/PokeAPI/sprites/master/sprites/pokemon/other/official-artwork/9.png</v>
          </cell>
          <cell r="U15" t="str">
            <v>https://raw.githubusercontent.com/PokeAPI/sprites/master/sprites/pokemon/other/official-artwork/shiny/9.png</v>
          </cell>
        </row>
        <row r="16">
          <cell r="A16">
            <v>9</v>
          </cell>
          <cell r="C16" t="str">
            <v>Blastoise Gmax</v>
          </cell>
          <cell r="D16" t="str">
            <v>Gigantamax</v>
          </cell>
          <cell r="E16" t="str">
            <v>water</v>
          </cell>
          <cell r="G16">
            <v>79</v>
          </cell>
          <cell r="H16">
            <v>83</v>
          </cell>
          <cell r="I16">
            <v>100</v>
          </cell>
          <cell r="J16">
            <v>85</v>
          </cell>
          <cell r="K16">
            <v>105</v>
          </cell>
          <cell r="L16">
            <v>78</v>
          </cell>
          <cell r="M16">
            <v>530</v>
          </cell>
          <cell r="N16" t="str">
            <v>torrent</v>
          </cell>
          <cell r="P16" t="str">
            <v>rain-dish</v>
          </cell>
          <cell r="Q16">
            <v>25</v>
          </cell>
          <cell r="R16">
            <v>1000</v>
          </cell>
          <cell r="S16" t="str">
            <v>A brutal POKéMON with pressurized water jets on its shell. They are used for high speed tackles.</v>
          </cell>
          <cell r="T16" t="str">
            <v>https://raw.githubusercontent.com/PokeAPI/sprites/master/sprites/pokemon/other/official-artwork/10197.png</v>
          </cell>
          <cell r="U16" t="str">
            <v>https://raw.githubusercontent.com/PokeAPI/sprites/master/sprites/pokemon/other/official-artwork/shiny/10197.png</v>
          </cell>
        </row>
        <row r="17">
          <cell r="A17">
            <v>9</v>
          </cell>
          <cell r="C17" t="str">
            <v>Blastoise Mega</v>
          </cell>
          <cell r="D17" t="str">
            <v>Mega</v>
          </cell>
          <cell r="E17" t="str">
            <v>water</v>
          </cell>
          <cell r="G17">
            <v>79</v>
          </cell>
          <cell r="H17">
            <v>103</v>
          </cell>
          <cell r="I17">
            <v>120</v>
          </cell>
          <cell r="J17">
            <v>135</v>
          </cell>
          <cell r="K17">
            <v>115</v>
          </cell>
          <cell r="L17">
            <v>78</v>
          </cell>
          <cell r="M17">
            <v>630</v>
          </cell>
          <cell r="N17" t="str">
            <v>mega-launcher</v>
          </cell>
          <cell r="Q17">
            <v>1.6</v>
          </cell>
          <cell r="R17">
            <v>101.1</v>
          </cell>
          <cell r="S17" t="str">
            <v>A brutal POKéMON with pressurized water jets on its shell. They are used for high speed tackles.</v>
          </cell>
          <cell r="T17" t="str">
            <v>https://raw.githubusercontent.com/PokeAPI/sprites/master/sprites/pokemon/other/official-artwork/10036.png</v>
          </cell>
          <cell r="U17" t="str">
            <v>https://raw.githubusercontent.com/PokeAPI/sprites/master/sprites/pokemon/other/official-artwork/shiny/10036.png</v>
          </cell>
        </row>
        <row r="18">
          <cell r="A18">
            <v>10</v>
          </cell>
          <cell r="C18" t="str">
            <v>Caterpie</v>
          </cell>
          <cell r="D18" t="str">
            <v>Standard</v>
          </cell>
          <cell r="E18" t="str">
            <v>bug</v>
          </cell>
          <cell r="G18">
            <v>45</v>
          </cell>
          <cell r="H18">
            <v>30</v>
          </cell>
          <cell r="I18">
            <v>35</v>
          </cell>
          <cell r="J18">
            <v>20</v>
          </cell>
          <cell r="K18">
            <v>20</v>
          </cell>
          <cell r="L18">
            <v>45</v>
          </cell>
          <cell r="M18">
            <v>195</v>
          </cell>
          <cell r="N18" t="str">
            <v>shield-dust</v>
          </cell>
          <cell r="P18" t="str">
            <v>run-away</v>
          </cell>
          <cell r="Q18">
            <v>0.3</v>
          </cell>
          <cell r="R18">
            <v>2.9</v>
          </cell>
          <cell r="S18" t="str">
            <v>Its short feet are tipped with suction pads that enable it to tirelessly climb slopes and walls.</v>
          </cell>
          <cell r="T18" t="str">
            <v>https://raw.githubusercontent.com/PokeAPI/sprites/master/sprites/pokemon/other/official-artwork/10.png</v>
          </cell>
          <cell r="U18" t="str">
            <v>https://raw.githubusercontent.com/PokeAPI/sprites/master/sprites/pokemon/other/official-artwork/shiny/10.png</v>
          </cell>
        </row>
        <row r="19">
          <cell r="A19">
            <v>11</v>
          </cell>
          <cell r="C19" t="str">
            <v>Metapod</v>
          </cell>
          <cell r="D19" t="str">
            <v>Standard</v>
          </cell>
          <cell r="E19" t="str">
            <v>bug</v>
          </cell>
          <cell r="G19">
            <v>50</v>
          </cell>
          <cell r="H19">
            <v>20</v>
          </cell>
          <cell r="I19">
            <v>55</v>
          </cell>
          <cell r="J19">
            <v>25</v>
          </cell>
          <cell r="K19">
            <v>25</v>
          </cell>
          <cell r="L19">
            <v>30</v>
          </cell>
          <cell r="M19">
            <v>205</v>
          </cell>
          <cell r="N19" t="str">
            <v>shed-skin</v>
          </cell>
          <cell r="Q19">
            <v>0.7</v>
          </cell>
          <cell r="R19">
            <v>9.9</v>
          </cell>
          <cell r="S19" t="str">
            <v>This POKéMON is vulnerable to attack while its shell is soft, exposing its weak and tender body.</v>
          </cell>
          <cell r="T19" t="str">
            <v>https://raw.githubusercontent.com/PokeAPI/sprites/master/sprites/pokemon/other/official-artwork/11.png</v>
          </cell>
          <cell r="U19" t="str">
            <v>https://raw.githubusercontent.com/PokeAPI/sprites/master/sprites/pokemon/other/official-artwork/shiny/11.png</v>
          </cell>
        </row>
        <row r="20">
          <cell r="A20">
            <v>12</v>
          </cell>
          <cell r="C20" t="str">
            <v>Butterfree</v>
          </cell>
          <cell r="D20" t="str">
            <v>Standard</v>
          </cell>
          <cell r="E20" t="str">
            <v>bug</v>
          </cell>
          <cell r="F20" t="str">
            <v>flying</v>
          </cell>
          <cell r="G20">
            <v>60</v>
          </cell>
          <cell r="H20">
            <v>45</v>
          </cell>
          <cell r="I20">
            <v>50</v>
          </cell>
          <cell r="J20">
            <v>90</v>
          </cell>
          <cell r="K20">
            <v>80</v>
          </cell>
          <cell r="L20">
            <v>70</v>
          </cell>
          <cell r="M20">
            <v>395</v>
          </cell>
          <cell r="N20" t="str">
            <v>compound-eyes</v>
          </cell>
          <cell r="P20" t="str">
            <v>tinted-lens</v>
          </cell>
          <cell r="Q20">
            <v>1.1000000000000001</v>
          </cell>
          <cell r="R20">
            <v>32</v>
          </cell>
          <cell r="S20" t="str">
            <v>In battle, it flaps its wings at high speed to release highly toxic dust into the air.</v>
          </cell>
          <cell r="T20" t="str">
            <v>https://raw.githubusercontent.com/PokeAPI/sprites/master/sprites/pokemon/other/official-artwork/12.png</v>
          </cell>
          <cell r="U20" t="str">
            <v>https://raw.githubusercontent.com/PokeAPI/sprites/master/sprites/pokemon/other/official-artwork/shiny/12.png</v>
          </cell>
        </row>
        <row r="21">
          <cell r="A21">
            <v>12</v>
          </cell>
          <cell r="C21" t="str">
            <v>Butterfree Gmax</v>
          </cell>
          <cell r="D21" t="str">
            <v>Gigantamax</v>
          </cell>
          <cell r="E21" t="str">
            <v>bug</v>
          </cell>
          <cell r="F21" t="str">
            <v>flying</v>
          </cell>
          <cell r="G21">
            <v>60</v>
          </cell>
          <cell r="H21">
            <v>45</v>
          </cell>
          <cell r="I21">
            <v>50</v>
          </cell>
          <cell r="J21">
            <v>90</v>
          </cell>
          <cell r="K21">
            <v>80</v>
          </cell>
          <cell r="L21">
            <v>70</v>
          </cell>
          <cell r="M21">
            <v>395</v>
          </cell>
          <cell r="N21" t="str">
            <v>compound-eyes</v>
          </cell>
          <cell r="P21" t="str">
            <v>tinted-lens</v>
          </cell>
          <cell r="Q21">
            <v>17</v>
          </cell>
          <cell r="R21">
            <v>1000</v>
          </cell>
          <cell r="S21" t="str">
            <v>In battle, it flaps its wings at high speed to release highly toxic dust into the air.</v>
          </cell>
          <cell r="T21" t="str">
            <v>https://raw.githubusercontent.com/PokeAPI/sprites/master/sprites/pokemon/other/official-artwork/10198.png</v>
          </cell>
          <cell r="U21" t="str">
            <v>https://raw.githubusercontent.com/PokeAPI/sprites/master/sprites/pokemon/other/official-artwork/shiny/10198.png</v>
          </cell>
        </row>
        <row r="22">
          <cell r="A22">
            <v>13</v>
          </cell>
          <cell r="C22" t="str">
            <v>Weedle</v>
          </cell>
          <cell r="D22" t="str">
            <v>Standard</v>
          </cell>
          <cell r="E22" t="str">
            <v>bug</v>
          </cell>
          <cell r="F22" t="str">
            <v>poison</v>
          </cell>
          <cell r="G22">
            <v>40</v>
          </cell>
          <cell r="H22">
            <v>35</v>
          </cell>
          <cell r="I22">
            <v>30</v>
          </cell>
          <cell r="J22">
            <v>20</v>
          </cell>
          <cell r="K22">
            <v>20</v>
          </cell>
          <cell r="L22">
            <v>50</v>
          </cell>
          <cell r="M22">
            <v>195</v>
          </cell>
          <cell r="N22" t="str">
            <v>shield-dust</v>
          </cell>
          <cell r="P22" t="str">
            <v>run-away</v>
          </cell>
          <cell r="Q22">
            <v>0.3</v>
          </cell>
          <cell r="R22">
            <v>3.2</v>
          </cell>
          <cell r="S22" t="str">
            <v>Often found in forests, eating leaves. It has a sharp venomous stinger on its head.</v>
          </cell>
          <cell r="T22" t="str">
            <v>https://raw.githubusercontent.com/PokeAPI/sprites/master/sprites/pokemon/other/official-artwork/13.png</v>
          </cell>
          <cell r="U22" t="str">
            <v>https://raw.githubusercontent.com/PokeAPI/sprites/master/sprites/pokemon/other/official-artwork/shiny/13.png</v>
          </cell>
        </row>
        <row r="23">
          <cell r="A23">
            <v>14</v>
          </cell>
          <cell r="C23" t="str">
            <v>Kakuna</v>
          </cell>
          <cell r="D23" t="str">
            <v>Standard</v>
          </cell>
          <cell r="E23" t="str">
            <v>bug</v>
          </cell>
          <cell r="F23" t="str">
            <v>poison</v>
          </cell>
          <cell r="G23">
            <v>45</v>
          </cell>
          <cell r="H23">
            <v>25</v>
          </cell>
          <cell r="I23">
            <v>50</v>
          </cell>
          <cell r="J23">
            <v>25</v>
          </cell>
          <cell r="K23">
            <v>25</v>
          </cell>
          <cell r="L23">
            <v>35</v>
          </cell>
          <cell r="M23">
            <v>205</v>
          </cell>
          <cell r="N23" t="str">
            <v>shed-skin</v>
          </cell>
          <cell r="Q23">
            <v>0.6</v>
          </cell>
          <cell r="R23">
            <v>10</v>
          </cell>
          <cell r="S23" t="str">
            <v>Almost incapable of moving, this POKéMON can only harden its shell to protect itself from predators.</v>
          </cell>
          <cell r="T23" t="str">
            <v>https://raw.githubusercontent.com/PokeAPI/sprites/master/sprites/pokemon/other/official-artwork/14.png</v>
          </cell>
          <cell r="U23" t="str">
            <v>https://raw.githubusercontent.com/PokeAPI/sprites/master/sprites/pokemon/other/official-artwork/shiny/14.png</v>
          </cell>
        </row>
        <row r="24">
          <cell r="A24">
            <v>15</v>
          </cell>
          <cell r="C24" t="str">
            <v>Beedrill</v>
          </cell>
          <cell r="D24" t="str">
            <v>Standard</v>
          </cell>
          <cell r="E24" t="str">
            <v>bug</v>
          </cell>
          <cell r="F24" t="str">
            <v>poison</v>
          </cell>
          <cell r="G24">
            <v>65</v>
          </cell>
          <cell r="H24">
            <v>90</v>
          </cell>
          <cell r="I24">
            <v>40</v>
          </cell>
          <cell r="J24">
            <v>45</v>
          </cell>
          <cell r="K24">
            <v>80</v>
          </cell>
          <cell r="L24">
            <v>75</v>
          </cell>
          <cell r="M24">
            <v>395</v>
          </cell>
          <cell r="N24" t="str">
            <v>swarm</v>
          </cell>
          <cell r="P24" t="str">
            <v>sniper</v>
          </cell>
          <cell r="Q24">
            <v>1</v>
          </cell>
          <cell r="R24">
            <v>29.5</v>
          </cell>
          <cell r="S24" t="str">
            <v>It has three poisonous stingers on its forelegs and its tail. They are used to jab its enemy repeatedly.</v>
          </cell>
          <cell r="T24" t="str">
            <v>https://raw.githubusercontent.com/PokeAPI/sprites/master/sprites/pokemon/other/official-artwork/15.png</v>
          </cell>
          <cell r="U24" t="str">
            <v>https://raw.githubusercontent.com/PokeAPI/sprites/master/sprites/pokemon/other/official-artwork/shiny/15.png</v>
          </cell>
        </row>
        <row r="25">
          <cell r="A25">
            <v>15</v>
          </cell>
          <cell r="C25" t="str">
            <v>Beedrill Mega</v>
          </cell>
          <cell r="D25" t="str">
            <v>Mega</v>
          </cell>
          <cell r="E25" t="str">
            <v>bug</v>
          </cell>
          <cell r="F25" t="str">
            <v>poison</v>
          </cell>
          <cell r="G25">
            <v>65</v>
          </cell>
          <cell r="H25">
            <v>150</v>
          </cell>
          <cell r="I25">
            <v>40</v>
          </cell>
          <cell r="J25">
            <v>15</v>
          </cell>
          <cell r="K25">
            <v>80</v>
          </cell>
          <cell r="L25">
            <v>145</v>
          </cell>
          <cell r="M25">
            <v>495</v>
          </cell>
          <cell r="N25" t="str">
            <v>adaptability</v>
          </cell>
          <cell r="Q25">
            <v>1.4</v>
          </cell>
          <cell r="R25">
            <v>40.5</v>
          </cell>
          <cell r="S25" t="str">
            <v>It has three poisonous stingers on its forelegs and its tail. They are used to jab its enemy repeatedly.</v>
          </cell>
          <cell r="T25" t="str">
            <v>https://raw.githubusercontent.com/PokeAPI/sprites/master/sprites/pokemon/other/official-artwork/10090.png</v>
          </cell>
          <cell r="U25" t="str">
            <v>https://raw.githubusercontent.com/PokeAPI/sprites/master/sprites/pokemon/other/official-artwork/shiny/10090.png</v>
          </cell>
        </row>
        <row r="26">
          <cell r="A26">
            <v>16</v>
          </cell>
          <cell r="C26" t="str">
            <v>Pidgey</v>
          </cell>
          <cell r="D26" t="str">
            <v>Standard</v>
          </cell>
          <cell r="E26" t="str">
            <v>normal</v>
          </cell>
          <cell r="F26" t="str">
            <v>flying</v>
          </cell>
          <cell r="G26">
            <v>40</v>
          </cell>
          <cell r="H26">
            <v>45</v>
          </cell>
          <cell r="I26">
            <v>40</v>
          </cell>
          <cell r="J26">
            <v>35</v>
          </cell>
          <cell r="K26">
            <v>35</v>
          </cell>
          <cell r="L26">
            <v>56</v>
          </cell>
          <cell r="M26">
            <v>251</v>
          </cell>
          <cell r="N26" t="str">
            <v>keen-eye</v>
          </cell>
          <cell r="O26" t="str">
            <v>tangled-feet</v>
          </cell>
          <cell r="P26" t="str">
            <v>big-pecks</v>
          </cell>
          <cell r="Q26">
            <v>0.3</v>
          </cell>
          <cell r="R26">
            <v>1.8</v>
          </cell>
          <cell r="S26" t="str">
            <v>A common sight in forests and woods. It flaps its wings at ground level to kick up blinding sand.</v>
          </cell>
          <cell r="T26" t="str">
            <v>https://raw.githubusercontent.com/PokeAPI/sprites/master/sprites/pokemon/other/official-artwork/16.png</v>
          </cell>
          <cell r="U26" t="str">
            <v>https://raw.githubusercontent.com/PokeAPI/sprites/master/sprites/pokemon/other/official-artwork/shiny/16.png</v>
          </cell>
        </row>
        <row r="27">
          <cell r="A27">
            <v>17</v>
          </cell>
          <cell r="C27" t="str">
            <v>Pidgeotto</v>
          </cell>
          <cell r="D27" t="str">
            <v>Standard</v>
          </cell>
          <cell r="E27" t="str">
            <v>normal</v>
          </cell>
          <cell r="F27" t="str">
            <v>flying</v>
          </cell>
          <cell r="G27">
            <v>63</v>
          </cell>
          <cell r="H27">
            <v>60</v>
          </cell>
          <cell r="I27">
            <v>55</v>
          </cell>
          <cell r="J27">
            <v>50</v>
          </cell>
          <cell r="K27">
            <v>50</v>
          </cell>
          <cell r="L27">
            <v>71</v>
          </cell>
          <cell r="M27">
            <v>349</v>
          </cell>
          <cell r="N27" t="str">
            <v>keen-eye</v>
          </cell>
          <cell r="O27" t="str">
            <v>tangled-feet</v>
          </cell>
          <cell r="P27" t="str">
            <v>big-pecks</v>
          </cell>
          <cell r="Q27">
            <v>1.1000000000000001</v>
          </cell>
          <cell r="R27">
            <v>30</v>
          </cell>
          <cell r="S27" t="str">
            <v>Very protective of its sprawling territorial area, this POKéMON will fiercely peck at any intruder.</v>
          </cell>
          <cell r="T27" t="str">
            <v>https://raw.githubusercontent.com/PokeAPI/sprites/master/sprites/pokemon/other/official-artwork/17.png</v>
          </cell>
          <cell r="U27" t="str">
            <v>https://raw.githubusercontent.com/PokeAPI/sprites/master/sprites/pokemon/other/official-artwork/shiny/17.png</v>
          </cell>
        </row>
        <row r="28">
          <cell r="A28">
            <v>18</v>
          </cell>
          <cell r="C28" t="str">
            <v>Pidgeot</v>
          </cell>
          <cell r="D28" t="str">
            <v>Standard</v>
          </cell>
          <cell r="E28" t="str">
            <v>normal</v>
          </cell>
          <cell r="F28" t="str">
            <v>flying</v>
          </cell>
          <cell r="G28">
            <v>83</v>
          </cell>
          <cell r="H28">
            <v>80</v>
          </cell>
          <cell r="I28">
            <v>75</v>
          </cell>
          <cell r="J28">
            <v>70</v>
          </cell>
          <cell r="K28">
            <v>70</v>
          </cell>
          <cell r="L28">
            <v>101</v>
          </cell>
          <cell r="M28">
            <v>479</v>
          </cell>
          <cell r="N28" t="str">
            <v>keen-eye</v>
          </cell>
          <cell r="O28" t="str">
            <v>tangled-feet</v>
          </cell>
          <cell r="P28" t="str">
            <v>big-pecks</v>
          </cell>
          <cell r="Q28">
            <v>1.5</v>
          </cell>
          <cell r="R28">
            <v>39.5</v>
          </cell>
          <cell r="S28" t="str">
            <v>When hunting, it skims the surface of water at high speed to pick off unwary prey such as MAGIKARP.</v>
          </cell>
          <cell r="T28" t="str">
            <v>https://raw.githubusercontent.com/PokeAPI/sprites/master/sprites/pokemon/other/official-artwork/18.png</v>
          </cell>
          <cell r="U28" t="str">
            <v>https://raw.githubusercontent.com/PokeAPI/sprites/master/sprites/pokemon/other/official-artwork/shiny/18.png</v>
          </cell>
        </row>
        <row r="29">
          <cell r="A29">
            <v>18</v>
          </cell>
          <cell r="C29" t="str">
            <v>Pidgeot Mega</v>
          </cell>
          <cell r="D29" t="str">
            <v>Mega</v>
          </cell>
          <cell r="E29" t="str">
            <v>normal</v>
          </cell>
          <cell r="F29" t="str">
            <v>flying</v>
          </cell>
          <cell r="G29">
            <v>83</v>
          </cell>
          <cell r="H29">
            <v>80</v>
          </cell>
          <cell r="I29">
            <v>80</v>
          </cell>
          <cell r="J29">
            <v>135</v>
          </cell>
          <cell r="K29">
            <v>80</v>
          </cell>
          <cell r="L29">
            <v>121</v>
          </cell>
          <cell r="M29">
            <v>579</v>
          </cell>
          <cell r="N29" t="str">
            <v>no-guard</v>
          </cell>
          <cell r="Q29">
            <v>2.2000000000000002</v>
          </cell>
          <cell r="R29">
            <v>50.5</v>
          </cell>
          <cell r="S29" t="str">
            <v>When hunting, it skims the surface of water at high speed to pick off unwary prey such as MAGIKARP.</v>
          </cell>
          <cell r="T29" t="str">
            <v>https://raw.githubusercontent.com/PokeAPI/sprites/master/sprites/pokemon/other/official-artwork/10073.png</v>
          </cell>
          <cell r="U29" t="str">
            <v>https://raw.githubusercontent.com/PokeAPI/sprites/master/sprites/pokemon/other/official-artwork/shiny/10073.png</v>
          </cell>
        </row>
        <row r="30">
          <cell r="A30">
            <v>19</v>
          </cell>
          <cell r="C30" t="str">
            <v>Rattata</v>
          </cell>
          <cell r="D30" t="str">
            <v>Standard</v>
          </cell>
          <cell r="E30" t="str">
            <v>normal</v>
          </cell>
          <cell r="G30">
            <v>30</v>
          </cell>
          <cell r="H30">
            <v>56</v>
          </cell>
          <cell r="I30">
            <v>35</v>
          </cell>
          <cell r="J30">
            <v>25</v>
          </cell>
          <cell r="K30">
            <v>35</v>
          </cell>
          <cell r="L30">
            <v>72</v>
          </cell>
          <cell r="M30">
            <v>253</v>
          </cell>
          <cell r="N30" t="str">
            <v>run-away</v>
          </cell>
          <cell r="O30" t="str">
            <v>guts</v>
          </cell>
          <cell r="P30" t="str">
            <v>hustle</v>
          </cell>
          <cell r="Q30">
            <v>0.3</v>
          </cell>
          <cell r="R30">
            <v>3.5</v>
          </cell>
          <cell r="S30" t="str">
            <v>Bites anything when it attacks. Small and very quick, it is a common sight in many places.</v>
          </cell>
          <cell r="T30" t="str">
            <v>https://raw.githubusercontent.com/PokeAPI/sprites/master/sprites/pokemon/other/official-artwork/19.png</v>
          </cell>
          <cell r="U30" t="str">
            <v>https://raw.githubusercontent.com/PokeAPI/sprites/master/sprites/pokemon/other/official-artwork/shiny/19.png</v>
          </cell>
        </row>
        <row r="31">
          <cell r="A31">
            <v>19</v>
          </cell>
          <cell r="C31" t="str">
            <v>Rattata Alola</v>
          </cell>
          <cell r="D31" t="str">
            <v>Regional</v>
          </cell>
          <cell r="E31" t="str">
            <v>dark</v>
          </cell>
          <cell r="F31" t="str">
            <v>normal</v>
          </cell>
          <cell r="G31">
            <v>30</v>
          </cell>
          <cell r="H31">
            <v>56</v>
          </cell>
          <cell r="I31">
            <v>35</v>
          </cell>
          <cell r="J31">
            <v>25</v>
          </cell>
          <cell r="K31">
            <v>35</v>
          </cell>
          <cell r="L31">
            <v>72</v>
          </cell>
          <cell r="M31">
            <v>253</v>
          </cell>
          <cell r="N31" t="str">
            <v>gluttony</v>
          </cell>
          <cell r="O31" t="str">
            <v>hustle</v>
          </cell>
          <cell r="P31" t="str">
            <v>thick-fat</v>
          </cell>
          <cell r="Q31">
            <v>0.3</v>
          </cell>
          <cell r="R31">
            <v>3.8</v>
          </cell>
          <cell r="S31" t="str">
            <v>Bites anything when it attacks. Small and very quick, it is a common sight in many places.</v>
          </cell>
          <cell r="T31" t="str">
            <v>https://raw.githubusercontent.com/PokeAPI/sprites/master/sprites/pokemon/other/official-artwork/10091.png</v>
          </cell>
          <cell r="U31" t="str">
            <v>https://raw.githubusercontent.com/PokeAPI/sprites/master/sprites/pokemon/other/official-artwork/shiny/10091.png</v>
          </cell>
        </row>
        <row r="32">
          <cell r="A32">
            <v>20</v>
          </cell>
          <cell r="C32" t="str">
            <v>Raticate</v>
          </cell>
          <cell r="D32" t="str">
            <v>Standard</v>
          </cell>
          <cell r="E32" t="str">
            <v>normal</v>
          </cell>
          <cell r="G32">
            <v>55</v>
          </cell>
          <cell r="H32">
            <v>81</v>
          </cell>
          <cell r="I32">
            <v>60</v>
          </cell>
          <cell r="J32">
            <v>50</v>
          </cell>
          <cell r="K32">
            <v>70</v>
          </cell>
          <cell r="L32">
            <v>97</v>
          </cell>
          <cell r="M32">
            <v>413</v>
          </cell>
          <cell r="N32" t="str">
            <v>run-away</v>
          </cell>
          <cell r="O32" t="str">
            <v>guts</v>
          </cell>
          <cell r="P32" t="str">
            <v>hustle</v>
          </cell>
          <cell r="Q32">
            <v>0.7</v>
          </cell>
          <cell r="R32">
            <v>18.5</v>
          </cell>
          <cell r="S32" t="str">
            <v>It uses its whis­ kers to maintain its balance. It apparently slows down if they are cut off.</v>
          </cell>
          <cell r="T32" t="str">
            <v>https://raw.githubusercontent.com/PokeAPI/sprites/master/sprites/pokemon/other/official-artwork/20.png</v>
          </cell>
          <cell r="U32" t="str">
            <v>https://raw.githubusercontent.com/PokeAPI/sprites/master/sprites/pokemon/other/official-artwork/shiny/20.png</v>
          </cell>
        </row>
        <row r="33">
          <cell r="A33">
            <v>20</v>
          </cell>
          <cell r="C33" t="str">
            <v>Raticate Alola</v>
          </cell>
          <cell r="D33" t="str">
            <v>Regional</v>
          </cell>
          <cell r="E33" t="str">
            <v>dark</v>
          </cell>
          <cell r="F33" t="str">
            <v>normal</v>
          </cell>
          <cell r="G33">
            <v>75</v>
          </cell>
          <cell r="H33">
            <v>71</v>
          </cell>
          <cell r="I33">
            <v>70</v>
          </cell>
          <cell r="J33">
            <v>40</v>
          </cell>
          <cell r="K33">
            <v>80</v>
          </cell>
          <cell r="L33">
            <v>77</v>
          </cell>
          <cell r="M33">
            <v>413</v>
          </cell>
          <cell r="N33" t="str">
            <v>gluttony</v>
          </cell>
          <cell r="O33" t="str">
            <v>hustle</v>
          </cell>
          <cell r="P33" t="str">
            <v>thick-fat</v>
          </cell>
          <cell r="Q33">
            <v>0.7</v>
          </cell>
          <cell r="R33">
            <v>25.5</v>
          </cell>
          <cell r="S33" t="str">
            <v>It uses its whis­ kers to maintain its balance. It apparently slows down if they are cut off.</v>
          </cell>
          <cell r="T33" t="str">
            <v>https://raw.githubusercontent.com/PokeAPI/sprites/master/sprites/pokemon/other/official-artwork/10092.png</v>
          </cell>
          <cell r="U33" t="str">
            <v>https://raw.githubusercontent.com/PokeAPI/sprites/master/sprites/pokemon/other/official-artwork/shiny/10092.png</v>
          </cell>
        </row>
        <row r="34">
          <cell r="A34">
            <v>20</v>
          </cell>
          <cell r="C34" t="str">
            <v>Raticate Totem Alola</v>
          </cell>
          <cell r="D34" t="str">
            <v>Regional</v>
          </cell>
          <cell r="E34" t="str">
            <v>dark</v>
          </cell>
          <cell r="F34" t="str">
            <v>normal</v>
          </cell>
          <cell r="G34">
            <v>75</v>
          </cell>
          <cell r="H34">
            <v>71</v>
          </cell>
          <cell r="I34">
            <v>70</v>
          </cell>
          <cell r="J34">
            <v>40</v>
          </cell>
          <cell r="K34">
            <v>80</v>
          </cell>
          <cell r="L34">
            <v>77</v>
          </cell>
          <cell r="M34">
            <v>413</v>
          </cell>
          <cell r="N34" t="str">
            <v>gluttony</v>
          </cell>
          <cell r="O34" t="str">
            <v>hustle</v>
          </cell>
          <cell r="P34" t="str">
            <v>thick-fat</v>
          </cell>
          <cell r="Q34">
            <v>1.4</v>
          </cell>
          <cell r="R34">
            <v>105</v>
          </cell>
          <cell r="S34" t="str">
            <v>It uses its whis­ kers to maintain its balance. It apparently slows down if they are cut off.</v>
          </cell>
          <cell r="T34" t="str">
            <v>https://raw.githubusercontent.com/PokeAPI/sprites/master/sprites/pokemon/other/official-artwork/10093.png</v>
          </cell>
          <cell r="U34" t="str">
            <v>https://raw.githubusercontent.com/PokeAPI/sprites/master/sprites/pokemon/other/official-artwork/shiny/10093.png</v>
          </cell>
        </row>
        <row r="35">
          <cell r="A35">
            <v>21</v>
          </cell>
          <cell r="C35" t="str">
            <v>Spearow</v>
          </cell>
          <cell r="D35" t="str">
            <v>Standard</v>
          </cell>
          <cell r="E35" t="str">
            <v>normal</v>
          </cell>
          <cell r="F35" t="str">
            <v>flying</v>
          </cell>
          <cell r="G35">
            <v>40</v>
          </cell>
          <cell r="H35">
            <v>60</v>
          </cell>
          <cell r="I35">
            <v>30</v>
          </cell>
          <cell r="J35">
            <v>31</v>
          </cell>
          <cell r="K35">
            <v>31</v>
          </cell>
          <cell r="L35">
            <v>70</v>
          </cell>
          <cell r="M35">
            <v>262</v>
          </cell>
          <cell r="N35" t="str">
            <v>keen-eye</v>
          </cell>
          <cell r="P35" t="str">
            <v>sniper</v>
          </cell>
          <cell r="Q35">
            <v>0.3</v>
          </cell>
          <cell r="R35">
            <v>2</v>
          </cell>
          <cell r="S35" t="str">
            <v>It flaps its small wings busily to fly. Using its beak, it searches in grass for prey.</v>
          </cell>
          <cell r="T35" t="str">
            <v>https://raw.githubusercontent.com/PokeAPI/sprites/master/sprites/pokemon/other/official-artwork/21.png</v>
          </cell>
          <cell r="U35" t="str">
            <v>https://raw.githubusercontent.com/PokeAPI/sprites/master/sprites/pokemon/other/official-artwork/shiny/21.png</v>
          </cell>
        </row>
        <row r="36">
          <cell r="A36">
            <v>22</v>
          </cell>
          <cell r="C36" t="str">
            <v>Fearow</v>
          </cell>
          <cell r="D36" t="str">
            <v>Standard</v>
          </cell>
          <cell r="E36" t="str">
            <v>normal</v>
          </cell>
          <cell r="F36" t="str">
            <v>flying</v>
          </cell>
          <cell r="G36">
            <v>65</v>
          </cell>
          <cell r="H36">
            <v>90</v>
          </cell>
          <cell r="I36">
            <v>65</v>
          </cell>
          <cell r="J36">
            <v>61</v>
          </cell>
          <cell r="K36">
            <v>61</v>
          </cell>
          <cell r="L36">
            <v>100</v>
          </cell>
          <cell r="M36">
            <v>442</v>
          </cell>
          <cell r="N36" t="str">
            <v>keen-eye</v>
          </cell>
          <cell r="P36" t="str">
            <v>sniper</v>
          </cell>
          <cell r="Q36">
            <v>1.2</v>
          </cell>
          <cell r="R36">
            <v>38</v>
          </cell>
          <cell r="S36" t="str">
            <v>With its huge and magnificent wings, it can keep aloft without ever having to land for rest.</v>
          </cell>
          <cell r="T36" t="str">
            <v>https://raw.githubusercontent.com/PokeAPI/sprites/master/sprites/pokemon/other/official-artwork/22.png</v>
          </cell>
          <cell r="U36" t="str">
            <v>https://raw.githubusercontent.com/PokeAPI/sprites/master/sprites/pokemon/other/official-artwork/shiny/22.png</v>
          </cell>
        </row>
        <row r="37">
          <cell r="A37">
            <v>23</v>
          </cell>
          <cell r="C37" t="str">
            <v>Ekans</v>
          </cell>
          <cell r="D37" t="str">
            <v>Standard</v>
          </cell>
          <cell r="E37" t="str">
            <v>poison</v>
          </cell>
          <cell r="G37">
            <v>35</v>
          </cell>
          <cell r="H37">
            <v>60</v>
          </cell>
          <cell r="I37">
            <v>44</v>
          </cell>
          <cell r="J37">
            <v>40</v>
          </cell>
          <cell r="K37">
            <v>54</v>
          </cell>
          <cell r="L37">
            <v>55</v>
          </cell>
          <cell r="M37">
            <v>288</v>
          </cell>
          <cell r="N37" t="str">
            <v>intimidate</v>
          </cell>
          <cell r="O37" t="str">
            <v>shed-skin</v>
          </cell>
          <cell r="P37" t="str">
            <v>unnerve</v>
          </cell>
          <cell r="Q37">
            <v>2</v>
          </cell>
          <cell r="R37">
            <v>6.9</v>
          </cell>
          <cell r="S37" t="str">
            <v>Moves silently and stealthily. Eats the eggs of birds, such as PIDGEY and SPEAROW, whole.</v>
          </cell>
          <cell r="T37" t="str">
            <v>https://raw.githubusercontent.com/PokeAPI/sprites/master/sprites/pokemon/other/official-artwork/23.png</v>
          </cell>
          <cell r="U37" t="str">
            <v>https://raw.githubusercontent.com/PokeAPI/sprites/master/sprites/pokemon/other/official-artwork/shiny/23.png</v>
          </cell>
        </row>
        <row r="38">
          <cell r="A38">
            <v>24</v>
          </cell>
          <cell r="C38" t="str">
            <v>Arbok</v>
          </cell>
          <cell r="D38" t="str">
            <v>Standard</v>
          </cell>
          <cell r="E38" t="str">
            <v>poison</v>
          </cell>
          <cell r="G38">
            <v>60</v>
          </cell>
          <cell r="H38">
            <v>95</v>
          </cell>
          <cell r="I38">
            <v>69</v>
          </cell>
          <cell r="J38">
            <v>65</v>
          </cell>
          <cell r="K38">
            <v>79</v>
          </cell>
          <cell r="L38">
            <v>80</v>
          </cell>
          <cell r="M38">
            <v>448</v>
          </cell>
          <cell r="N38" t="str">
            <v>intimidate</v>
          </cell>
          <cell r="O38" t="str">
            <v>shed-skin</v>
          </cell>
          <cell r="P38" t="str">
            <v>unnerve</v>
          </cell>
          <cell r="Q38">
            <v>3.5</v>
          </cell>
          <cell r="R38">
            <v>65</v>
          </cell>
          <cell r="S38" t="str">
            <v>It is rumored that the ferocious warning markings on its belly differ from area to area.</v>
          </cell>
          <cell r="T38" t="str">
            <v>https://raw.githubusercontent.com/PokeAPI/sprites/master/sprites/pokemon/other/official-artwork/24.png</v>
          </cell>
          <cell r="U38" t="str">
            <v>https://raw.githubusercontent.com/PokeAPI/sprites/master/sprites/pokemon/other/official-artwork/shiny/24.png</v>
          </cell>
        </row>
        <row r="39">
          <cell r="A39">
            <v>25</v>
          </cell>
          <cell r="C39" t="str">
            <v>Pikachu</v>
          </cell>
          <cell r="D39" t="str">
            <v>Standard</v>
          </cell>
          <cell r="E39" t="str">
            <v>electric</v>
          </cell>
          <cell r="G39">
            <v>35</v>
          </cell>
          <cell r="H39">
            <v>55</v>
          </cell>
          <cell r="I39">
            <v>40</v>
          </cell>
          <cell r="J39">
            <v>50</v>
          </cell>
          <cell r="K39">
            <v>50</v>
          </cell>
          <cell r="L39">
            <v>90</v>
          </cell>
          <cell r="M39">
            <v>320</v>
          </cell>
          <cell r="N39" t="str">
            <v>static</v>
          </cell>
          <cell r="P39" t="str">
            <v>lightning-rod</v>
          </cell>
          <cell r="Q39">
            <v>0.4</v>
          </cell>
          <cell r="R39">
            <v>6</v>
          </cell>
          <cell r="S39" t="str">
            <v>When several of these POKéMON gather, their electricity could build and cause lightning storms.</v>
          </cell>
          <cell r="T39" t="str">
            <v>https://raw.githubusercontent.com/PokeAPI/sprites/master/sprites/pokemon/other/official-artwork/25.png</v>
          </cell>
          <cell r="U39" t="str">
            <v>https://raw.githubusercontent.com/PokeAPI/sprites/master/sprites/pokemon/other/official-artwork/shiny/25.png</v>
          </cell>
        </row>
        <row r="40">
          <cell r="A40">
            <v>25</v>
          </cell>
          <cell r="C40" t="str">
            <v>Pikachu Alola Cap</v>
          </cell>
          <cell r="D40" t="str">
            <v>Regional</v>
          </cell>
          <cell r="E40" t="str">
            <v>electric</v>
          </cell>
          <cell r="G40">
            <v>35</v>
          </cell>
          <cell r="H40">
            <v>55</v>
          </cell>
          <cell r="I40">
            <v>40</v>
          </cell>
          <cell r="J40">
            <v>50</v>
          </cell>
          <cell r="K40">
            <v>50</v>
          </cell>
          <cell r="L40">
            <v>90</v>
          </cell>
          <cell r="M40">
            <v>320</v>
          </cell>
          <cell r="N40" t="str">
            <v>static</v>
          </cell>
          <cell r="P40" t="str">
            <v>lightning-rod</v>
          </cell>
          <cell r="Q40">
            <v>0.4</v>
          </cell>
          <cell r="R40">
            <v>6</v>
          </cell>
          <cell r="S40" t="str">
            <v>When several of these POKéMON gather, their electricity could build and cause lightning storms.</v>
          </cell>
          <cell r="T40" t="str">
            <v>https://raw.githubusercontent.com/PokeAPI/sprites/master/sprites/pokemon/other/official-artwork/10099.png</v>
          </cell>
          <cell r="U40" t="str">
            <v>https://raw.githubusercontent.com/PokeAPI/sprites/master/sprites/pokemon/other/official-artwork/shiny/10099.png</v>
          </cell>
        </row>
        <row r="41">
          <cell r="A41">
            <v>25</v>
          </cell>
          <cell r="C41" t="str">
            <v>Pikachu Belle</v>
          </cell>
          <cell r="D41" t="str">
            <v>Other</v>
          </cell>
          <cell r="E41" t="str">
            <v>electric</v>
          </cell>
          <cell r="G41">
            <v>35</v>
          </cell>
          <cell r="H41">
            <v>55</v>
          </cell>
          <cell r="I41">
            <v>40</v>
          </cell>
          <cell r="J41">
            <v>50</v>
          </cell>
          <cell r="K41">
            <v>50</v>
          </cell>
          <cell r="L41">
            <v>90</v>
          </cell>
          <cell r="M41">
            <v>320</v>
          </cell>
          <cell r="N41" t="str">
            <v>static</v>
          </cell>
          <cell r="P41" t="str">
            <v>lightning-rod</v>
          </cell>
          <cell r="Q41">
            <v>0.4</v>
          </cell>
          <cell r="R41">
            <v>6</v>
          </cell>
          <cell r="S41" t="str">
            <v>When several of these POKéMON gather, their electricity could build and cause lightning storms.</v>
          </cell>
          <cell r="T41" t="str">
            <v>https://raw.githubusercontent.com/PokeAPI/sprites/master/sprites/pokemon/other/official-artwork/10081.png</v>
          </cell>
          <cell r="U41" t="str">
            <v>https://raw.githubusercontent.com/PokeAPI/sprites/master/sprites/pokemon/other/official-artwork/shiny/10081.png</v>
          </cell>
        </row>
        <row r="42">
          <cell r="A42">
            <v>25</v>
          </cell>
          <cell r="C42" t="str">
            <v>Pikachu Cosplay</v>
          </cell>
          <cell r="D42" t="str">
            <v>Other</v>
          </cell>
          <cell r="E42" t="str">
            <v>electric</v>
          </cell>
          <cell r="G42">
            <v>35</v>
          </cell>
          <cell r="H42">
            <v>55</v>
          </cell>
          <cell r="I42">
            <v>40</v>
          </cell>
          <cell r="J42">
            <v>50</v>
          </cell>
          <cell r="K42">
            <v>50</v>
          </cell>
          <cell r="L42">
            <v>90</v>
          </cell>
          <cell r="M42">
            <v>320</v>
          </cell>
          <cell r="N42" t="str">
            <v>static</v>
          </cell>
          <cell r="P42" t="str">
            <v>lightning-rod</v>
          </cell>
          <cell r="Q42">
            <v>0.4</v>
          </cell>
          <cell r="R42">
            <v>6</v>
          </cell>
          <cell r="S42" t="str">
            <v>When several of these POKéMON gather, their electricity could build and cause lightning storms.</v>
          </cell>
          <cell r="T42" t="str">
            <v>https://raw.githubusercontent.com/PokeAPI/sprites/master/sprites/pokemon/other/official-artwork/10085.png</v>
          </cell>
          <cell r="U42" t="str">
            <v>https://raw.githubusercontent.com/PokeAPI/sprites/master/sprites/pokemon/shiny/10085.png</v>
          </cell>
        </row>
        <row r="43">
          <cell r="A43">
            <v>25</v>
          </cell>
          <cell r="C43" t="str">
            <v>Pikachu Gmax</v>
          </cell>
          <cell r="D43" t="str">
            <v>Gigantamax</v>
          </cell>
          <cell r="E43" t="str">
            <v>electric</v>
          </cell>
          <cell r="G43">
            <v>35</v>
          </cell>
          <cell r="H43">
            <v>55</v>
          </cell>
          <cell r="I43">
            <v>40</v>
          </cell>
          <cell r="J43">
            <v>50</v>
          </cell>
          <cell r="K43">
            <v>50</v>
          </cell>
          <cell r="L43">
            <v>90</v>
          </cell>
          <cell r="M43">
            <v>320</v>
          </cell>
          <cell r="N43" t="str">
            <v>static</v>
          </cell>
          <cell r="P43" t="str">
            <v>lightning-rod</v>
          </cell>
          <cell r="Q43">
            <v>21</v>
          </cell>
          <cell r="R43">
            <v>1000</v>
          </cell>
          <cell r="S43" t="str">
            <v>When several of these POKéMON gather, their electricity could build and cause lightning storms.</v>
          </cell>
          <cell r="T43" t="str">
            <v>https://raw.githubusercontent.com/PokeAPI/sprites/master/sprites/pokemon/other/official-artwork/10199.png</v>
          </cell>
          <cell r="U43" t="str">
            <v>https://raw.githubusercontent.com/PokeAPI/sprites/master/sprites/pokemon/other/official-artwork/shiny/10199.png</v>
          </cell>
        </row>
        <row r="44">
          <cell r="A44">
            <v>25</v>
          </cell>
          <cell r="C44" t="str">
            <v>Pikachu Hoenn Cap</v>
          </cell>
          <cell r="D44" t="str">
            <v>Other</v>
          </cell>
          <cell r="E44" t="str">
            <v>electric</v>
          </cell>
          <cell r="G44">
            <v>35</v>
          </cell>
          <cell r="H44">
            <v>55</v>
          </cell>
          <cell r="I44">
            <v>40</v>
          </cell>
          <cell r="J44">
            <v>50</v>
          </cell>
          <cell r="K44">
            <v>50</v>
          </cell>
          <cell r="L44">
            <v>90</v>
          </cell>
          <cell r="M44">
            <v>320</v>
          </cell>
          <cell r="N44" t="str">
            <v>static</v>
          </cell>
          <cell r="P44" t="str">
            <v>lightning-rod</v>
          </cell>
          <cell r="Q44">
            <v>0.4</v>
          </cell>
          <cell r="R44">
            <v>6</v>
          </cell>
          <cell r="S44" t="str">
            <v>When several of these POKéMON gather, their electricity could build and cause lightning storms.</v>
          </cell>
          <cell r="T44" t="str">
            <v>https://raw.githubusercontent.com/PokeAPI/sprites/master/sprites/pokemon/other/official-artwork/10095.png</v>
          </cell>
          <cell r="U44" t="str">
            <v>https://raw.githubusercontent.com/PokeAPI/sprites/master/sprites/pokemon/other/official-artwork/shiny/10095.png</v>
          </cell>
        </row>
        <row r="45">
          <cell r="A45">
            <v>25</v>
          </cell>
          <cell r="C45" t="str">
            <v>Pikachu Kalos Cap</v>
          </cell>
          <cell r="D45" t="str">
            <v>Other</v>
          </cell>
          <cell r="E45" t="str">
            <v>electric</v>
          </cell>
          <cell r="G45">
            <v>35</v>
          </cell>
          <cell r="H45">
            <v>55</v>
          </cell>
          <cell r="I45">
            <v>40</v>
          </cell>
          <cell r="J45">
            <v>50</v>
          </cell>
          <cell r="K45">
            <v>50</v>
          </cell>
          <cell r="L45">
            <v>90</v>
          </cell>
          <cell r="M45">
            <v>320</v>
          </cell>
          <cell r="N45" t="str">
            <v>static</v>
          </cell>
          <cell r="P45" t="str">
            <v>lightning-rod</v>
          </cell>
          <cell r="Q45">
            <v>0.4</v>
          </cell>
          <cell r="R45">
            <v>6</v>
          </cell>
          <cell r="S45" t="str">
            <v>When several of these POKéMON gather, their electricity could build and cause lightning storms.</v>
          </cell>
          <cell r="T45" t="str">
            <v>https://raw.githubusercontent.com/PokeAPI/sprites/master/sprites/pokemon/other/official-artwork/10098.png</v>
          </cell>
          <cell r="U45" t="str">
            <v>https://raw.githubusercontent.com/PokeAPI/sprites/master/sprites/pokemon/other/official-artwork/shiny/10098.png</v>
          </cell>
        </row>
        <row r="46">
          <cell r="A46">
            <v>25</v>
          </cell>
          <cell r="C46" t="str">
            <v>Pikachu Libre</v>
          </cell>
          <cell r="D46" t="str">
            <v>Other</v>
          </cell>
          <cell r="E46" t="str">
            <v>electric</v>
          </cell>
          <cell r="G46">
            <v>35</v>
          </cell>
          <cell r="H46">
            <v>55</v>
          </cell>
          <cell r="I46">
            <v>40</v>
          </cell>
          <cell r="J46">
            <v>50</v>
          </cell>
          <cell r="K46">
            <v>50</v>
          </cell>
          <cell r="L46">
            <v>90</v>
          </cell>
          <cell r="M46">
            <v>320</v>
          </cell>
          <cell r="N46" t="str">
            <v>static</v>
          </cell>
          <cell r="P46" t="str">
            <v>lightning-rod</v>
          </cell>
          <cell r="Q46">
            <v>0.4</v>
          </cell>
          <cell r="R46">
            <v>6</v>
          </cell>
          <cell r="S46" t="str">
            <v>When several of these POKéMON gather, their electricity could build and cause lightning storms.</v>
          </cell>
          <cell r="T46" t="str">
            <v>https://raw.githubusercontent.com/PokeAPI/sprites/master/sprites/pokemon/other/official-artwork/10084.png</v>
          </cell>
          <cell r="U46" t="str">
            <v>https://raw.githubusercontent.com/PokeAPI/sprites/master/sprites/pokemon/other/official-artwork/shiny/10084.png</v>
          </cell>
        </row>
        <row r="47">
          <cell r="A47">
            <v>25</v>
          </cell>
          <cell r="C47" t="str">
            <v>Pikachu Original Cap</v>
          </cell>
          <cell r="D47" t="str">
            <v>Other</v>
          </cell>
          <cell r="E47" t="str">
            <v>electric</v>
          </cell>
          <cell r="G47">
            <v>35</v>
          </cell>
          <cell r="H47">
            <v>55</v>
          </cell>
          <cell r="I47">
            <v>40</v>
          </cell>
          <cell r="J47">
            <v>50</v>
          </cell>
          <cell r="K47">
            <v>50</v>
          </cell>
          <cell r="L47">
            <v>90</v>
          </cell>
          <cell r="M47">
            <v>320</v>
          </cell>
          <cell r="N47" t="str">
            <v>static</v>
          </cell>
          <cell r="P47" t="str">
            <v>lightning-rod</v>
          </cell>
          <cell r="Q47">
            <v>0.4</v>
          </cell>
          <cell r="R47">
            <v>6</v>
          </cell>
          <cell r="S47" t="str">
            <v>When several of these POKéMON gather, their electricity could build and cause lightning storms.</v>
          </cell>
          <cell r="T47" t="str">
            <v>https://raw.githubusercontent.com/PokeAPI/sprites/master/sprites/pokemon/other/official-artwork/10094.png</v>
          </cell>
          <cell r="U47" t="str">
            <v>https://raw.githubusercontent.com/PokeAPI/sprites/master/sprites/pokemon/other/official-artwork/shiny/10094.png</v>
          </cell>
        </row>
        <row r="48">
          <cell r="A48">
            <v>25</v>
          </cell>
          <cell r="C48" t="str">
            <v>Pikachu Partner Cap</v>
          </cell>
          <cell r="D48" t="str">
            <v>Other</v>
          </cell>
          <cell r="E48" t="str">
            <v>electric</v>
          </cell>
          <cell r="G48">
            <v>35</v>
          </cell>
          <cell r="H48">
            <v>55</v>
          </cell>
          <cell r="I48">
            <v>40</v>
          </cell>
          <cell r="J48">
            <v>50</v>
          </cell>
          <cell r="K48">
            <v>50</v>
          </cell>
          <cell r="L48">
            <v>90</v>
          </cell>
          <cell r="M48">
            <v>320</v>
          </cell>
          <cell r="N48" t="str">
            <v>static</v>
          </cell>
          <cell r="P48" t="str">
            <v>lightning-rod</v>
          </cell>
          <cell r="Q48">
            <v>0.4</v>
          </cell>
          <cell r="R48">
            <v>6</v>
          </cell>
          <cell r="S48" t="str">
            <v>When several of these POKéMON gather, their electricity could build and cause lightning storms.</v>
          </cell>
          <cell r="T48" t="str">
            <v>https://raw.githubusercontent.com/PokeAPI/sprites/master/sprites/pokemon/other/official-artwork/10148.png</v>
          </cell>
          <cell r="U48" t="str">
            <v>https://raw.githubusercontent.com/PokeAPI/sprites/master/sprites/pokemon/shiny/25-partner-cap.png</v>
          </cell>
        </row>
        <row r="49">
          <cell r="A49">
            <v>25</v>
          </cell>
          <cell r="C49" t="str">
            <v>Pikachu Phd</v>
          </cell>
          <cell r="D49" t="str">
            <v>Other</v>
          </cell>
          <cell r="E49" t="str">
            <v>electric</v>
          </cell>
          <cell r="G49">
            <v>35</v>
          </cell>
          <cell r="H49">
            <v>55</v>
          </cell>
          <cell r="I49">
            <v>40</v>
          </cell>
          <cell r="J49">
            <v>50</v>
          </cell>
          <cell r="K49">
            <v>50</v>
          </cell>
          <cell r="L49">
            <v>90</v>
          </cell>
          <cell r="M49">
            <v>320</v>
          </cell>
          <cell r="N49" t="str">
            <v>static</v>
          </cell>
          <cell r="P49" t="str">
            <v>lightning-rod</v>
          </cell>
          <cell r="Q49">
            <v>0.4</v>
          </cell>
          <cell r="R49">
            <v>6</v>
          </cell>
          <cell r="S49" t="str">
            <v>When several of these POKéMON gather, their electricity could build and cause lightning storms.</v>
          </cell>
          <cell r="T49" t="str">
            <v>https://raw.githubusercontent.com/PokeAPI/sprites/master/sprites/pokemon/other/official-artwork/10083.png</v>
          </cell>
          <cell r="U49" t="str">
            <v>https://raw.githubusercontent.com/PokeAPI/sprites/master/sprites/pokemon/other/official-artwork/shiny/10083.png</v>
          </cell>
        </row>
        <row r="50">
          <cell r="A50">
            <v>25</v>
          </cell>
          <cell r="C50" t="str">
            <v>Pikachu Pop Star</v>
          </cell>
          <cell r="D50" t="str">
            <v>Other</v>
          </cell>
          <cell r="E50" t="str">
            <v>electric</v>
          </cell>
          <cell r="G50">
            <v>35</v>
          </cell>
          <cell r="H50">
            <v>55</v>
          </cell>
          <cell r="I50">
            <v>40</v>
          </cell>
          <cell r="J50">
            <v>50</v>
          </cell>
          <cell r="K50">
            <v>50</v>
          </cell>
          <cell r="L50">
            <v>90</v>
          </cell>
          <cell r="M50">
            <v>320</v>
          </cell>
          <cell r="N50" t="str">
            <v>static</v>
          </cell>
          <cell r="P50" t="str">
            <v>lightning-rod</v>
          </cell>
          <cell r="Q50">
            <v>0.4</v>
          </cell>
          <cell r="R50">
            <v>6</v>
          </cell>
          <cell r="S50" t="str">
            <v>When several of these POKéMON gather, their electricity could build and cause lightning storms.</v>
          </cell>
          <cell r="T50" t="str">
            <v>https://raw.githubusercontent.com/PokeAPI/sprites/master/sprites/pokemon/other/official-artwork/10082.png</v>
          </cell>
          <cell r="U50" t="str">
            <v>https://raw.githubusercontent.com/PokeAPI/sprites/master/sprites/pokemon/other/official-artwork/shiny/10082.png</v>
          </cell>
        </row>
        <row r="51">
          <cell r="A51">
            <v>25</v>
          </cell>
          <cell r="C51" t="str">
            <v>Pikachu Rock Star</v>
          </cell>
          <cell r="D51" t="str">
            <v>Other</v>
          </cell>
          <cell r="E51" t="str">
            <v>electric</v>
          </cell>
          <cell r="G51">
            <v>35</v>
          </cell>
          <cell r="H51">
            <v>55</v>
          </cell>
          <cell r="I51">
            <v>40</v>
          </cell>
          <cell r="J51">
            <v>50</v>
          </cell>
          <cell r="K51">
            <v>50</v>
          </cell>
          <cell r="L51">
            <v>90</v>
          </cell>
          <cell r="M51">
            <v>320</v>
          </cell>
          <cell r="N51" t="str">
            <v>static</v>
          </cell>
          <cell r="P51" t="str">
            <v>lightning-rod</v>
          </cell>
          <cell r="Q51">
            <v>0.4</v>
          </cell>
          <cell r="R51">
            <v>6</v>
          </cell>
          <cell r="S51" t="str">
            <v>When several of these POKéMON gather, their electricity could build and cause lightning storms.</v>
          </cell>
          <cell r="T51" t="str">
            <v>https://raw.githubusercontent.com/PokeAPI/sprites/master/sprites/pokemon/other/official-artwork/10080.png</v>
          </cell>
          <cell r="U51" t="str">
            <v>https://raw.githubusercontent.com/PokeAPI/sprites/master/sprites/pokemon/other/official-artwork/shiny/10080.png</v>
          </cell>
        </row>
        <row r="52">
          <cell r="A52">
            <v>25</v>
          </cell>
          <cell r="C52" t="str">
            <v>Pikachu Sinnoh Cap</v>
          </cell>
          <cell r="D52" t="str">
            <v>Other</v>
          </cell>
          <cell r="E52" t="str">
            <v>electric</v>
          </cell>
          <cell r="G52">
            <v>35</v>
          </cell>
          <cell r="H52">
            <v>55</v>
          </cell>
          <cell r="I52">
            <v>40</v>
          </cell>
          <cell r="J52">
            <v>50</v>
          </cell>
          <cell r="K52">
            <v>50</v>
          </cell>
          <cell r="L52">
            <v>90</v>
          </cell>
          <cell r="M52">
            <v>320</v>
          </cell>
          <cell r="N52" t="str">
            <v>static</v>
          </cell>
          <cell r="P52" t="str">
            <v>lightning-rod</v>
          </cell>
          <cell r="Q52">
            <v>0.4</v>
          </cell>
          <cell r="R52">
            <v>6</v>
          </cell>
          <cell r="S52" t="str">
            <v>When several of these POKéMON gather, their electricity could build and cause lightning storms.</v>
          </cell>
          <cell r="T52" t="str">
            <v>https://raw.githubusercontent.com/PokeAPI/sprites/master/sprites/pokemon/other/official-artwork/10096.png</v>
          </cell>
          <cell r="U52" t="str">
            <v>https://raw.githubusercontent.com/PokeAPI/sprites/master/sprites/pokemon/other/official-artwork/shiny/10096.png</v>
          </cell>
        </row>
        <row r="53">
          <cell r="A53">
            <v>25</v>
          </cell>
          <cell r="C53" t="str">
            <v>Pikachu Starter</v>
          </cell>
          <cell r="D53" t="str">
            <v>Other</v>
          </cell>
          <cell r="E53" t="str">
            <v>electric</v>
          </cell>
          <cell r="G53">
            <v>45</v>
          </cell>
          <cell r="H53">
            <v>80</v>
          </cell>
          <cell r="I53">
            <v>50</v>
          </cell>
          <cell r="J53">
            <v>75</v>
          </cell>
          <cell r="K53">
            <v>60</v>
          </cell>
          <cell r="L53">
            <v>120</v>
          </cell>
          <cell r="M53">
            <v>430</v>
          </cell>
          <cell r="N53" t="str">
            <v>static</v>
          </cell>
          <cell r="P53" t="str">
            <v>lightning-rod</v>
          </cell>
          <cell r="Q53">
            <v>0.4</v>
          </cell>
          <cell r="R53">
            <v>6</v>
          </cell>
          <cell r="S53" t="str">
            <v>When several of these POKéMON gather, their electricity could build and cause lightning storms.</v>
          </cell>
          <cell r="T53" t="str">
            <v>https://raw.githubusercontent.com/PokeAPI/sprites/master/sprites/pokemon/other/official-artwork/10158.png</v>
          </cell>
          <cell r="U53" t="str">
            <v>https://raw.githubusercontent.com/PokeAPI/sprites/master/sprites/pokemon/other/showdown/shiny/10158.gif</v>
          </cell>
        </row>
        <row r="54">
          <cell r="A54">
            <v>25</v>
          </cell>
          <cell r="C54" t="str">
            <v>Pikachu Unova Cap</v>
          </cell>
          <cell r="D54" t="str">
            <v>Other</v>
          </cell>
          <cell r="E54" t="str">
            <v>electric</v>
          </cell>
          <cell r="G54">
            <v>35</v>
          </cell>
          <cell r="H54">
            <v>55</v>
          </cell>
          <cell r="I54">
            <v>40</v>
          </cell>
          <cell r="J54">
            <v>50</v>
          </cell>
          <cell r="K54">
            <v>50</v>
          </cell>
          <cell r="L54">
            <v>90</v>
          </cell>
          <cell r="M54">
            <v>320</v>
          </cell>
          <cell r="N54" t="str">
            <v>static</v>
          </cell>
          <cell r="P54" t="str">
            <v>lightning-rod</v>
          </cell>
          <cell r="Q54">
            <v>0.4</v>
          </cell>
          <cell r="R54">
            <v>6</v>
          </cell>
          <cell r="S54" t="str">
            <v>When several of these POKéMON gather, their electricity could build and cause lightning storms.</v>
          </cell>
          <cell r="T54" t="str">
            <v>https://raw.githubusercontent.com/PokeAPI/sprites/master/sprites/pokemon/other/official-artwork/10097.png</v>
          </cell>
          <cell r="U54" t="str">
            <v>https://raw.githubusercontent.com/PokeAPI/sprites/master/sprites/pokemon/other/official-artwork/shiny/10097.png</v>
          </cell>
        </row>
        <row r="55">
          <cell r="A55">
            <v>25</v>
          </cell>
          <cell r="C55" t="str">
            <v>Pikachu World Cap</v>
          </cell>
          <cell r="D55" t="str">
            <v>Other</v>
          </cell>
          <cell r="E55" t="str">
            <v>electric</v>
          </cell>
          <cell r="G55">
            <v>35</v>
          </cell>
          <cell r="H55">
            <v>55</v>
          </cell>
          <cell r="I55">
            <v>40</v>
          </cell>
          <cell r="J55">
            <v>50</v>
          </cell>
          <cell r="K55">
            <v>50</v>
          </cell>
          <cell r="L55">
            <v>90</v>
          </cell>
          <cell r="M55">
            <v>320</v>
          </cell>
          <cell r="N55" t="str">
            <v>static</v>
          </cell>
          <cell r="P55" t="str">
            <v>lightning-rod</v>
          </cell>
          <cell r="Q55">
            <v>0.4</v>
          </cell>
          <cell r="R55">
            <v>6</v>
          </cell>
          <cell r="S55" t="str">
            <v>When several of these POKéMON gather, their electricity could build and cause lightning storms.</v>
          </cell>
          <cell r="T55" t="str">
            <v>https://raw.githubusercontent.com/PokeAPI/sprites/master/sprites/pokemon/other/official-artwork/10160.png</v>
          </cell>
          <cell r="U55" t="str">
            <v>https://raw.githubusercontent.com/PokeAPI/sprites/master/sprites/pokemon/other/showdown/shiny/10160.gif</v>
          </cell>
        </row>
        <row r="56">
          <cell r="A56">
            <v>26</v>
          </cell>
          <cell r="C56" t="str">
            <v>Raichu</v>
          </cell>
          <cell r="D56" t="str">
            <v>Standard</v>
          </cell>
          <cell r="E56" t="str">
            <v>electric</v>
          </cell>
          <cell r="G56">
            <v>60</v>
          </cell>
          <cell r="H56">
            <v>90</v>
          </cell>
          <cell r="I56">
            <v>55</v>
          </cell>
          <cell r="J56">
            <v>90</v>
          </cell>
          <cell r="K56">
            <v>80</v>
          </cell>
          <cell r="L56">
            <v>110</v>
          </cell>
          <cell r="M56">
            <v>485</v>
          </cell>
          <cell r="N56" t="str">
            <v>static</v>
          </cell>
          <cell r="P56" t="str">
            <v>lightning-rod</v>
          </cell>
          <cell r="Q56">
            <v>0.8</v>
          </cell>
          <cell r="R56">
            <v>30</v>
          </cell>
          <cell r="S56" t="str">
            <v>Its long tail serves as a ground to protect itself from its own high-voltage power.</v>
          </cell>
          <cell r="T56" t="str">
            <v>https://raw.githubusercontent.com/PokeAPI/sprites/master/sprites/pokemon/other/official-artwork/26.png</v>
          </cell>
          <cell r="U56" t="str">
            <v>https://raw.githubusercontent.com/PokeAPI/sprites/master/sprites/pokemon/other/official-artwork/shiny/26.png</v>
          </cell>
        </row>
        <row r="57">
          <cell r="A57">
            <v>26</v>
          </cell>
          <cell r="C57" t="str">
            <v>Raichu Alola</v>
          </cell>
          <cell r="D57" t="str">
            <v>Regional</v>
          </cell>
          <cell r="E57" t="str">
            <v>electric</v>
          </cell>
          <cell r="F57" t="str">
            <v>psychic</v>
          </cell>
          <cell r="G57">
            <v>60</v>
          </cell>
          <cell r="H57">
            <v>85</v>
          </cell>
          <cell r="I57">
            <v>50</v>
          </cell>
          <cell r="J57">
            <v>95</v>
          </cell>
          <cell r="K57">
            <v>85</v>
          </cell>
          <cell r="L57">
            <v>110</v>
          </cell>
          <cell r="M57">
            <v>485</v>
          </cell>
          <cell r="N57" t="str">
            <v>surge-surfer</v>
          </cell>
          <cell r="Q57">
            <v>0.7</v>
          </cell>
          <cell r="R57">
            <v>21</v>
          </cell>
          <cell r="S57" t="str">
            <v>Its long tail serves as a ground to protect itself from its own high-voltage power.</v>
          </cell>
          <cell r="T57" t="str">
            <v>https://raw.githubusercontent.com/PokeAPI/sprites/master/sprites/pokemon/other/official-artwork/10100.png</v>
          </cell>
          <cell r="U57" t="str">
            <v>https://raw.githubusercontent.com/PokeAPI/sprites/master/sprites/pokemon/other/official-artwork/shiny/10100.png</v>
          </cell>
        </row>
        <row r="58">
          <cell r="A58">
            <v>26</v>
          </cell>
          <cell r="C58" t="str">
            <v>Raichu Mega X</v>
          </cell>
          <cell r="D58" t="str">
            <v>Mega</v>
          </cell>
          <cell r="E58" t="str">
            <v>electric</v>
          </cell>
          <cell r="G58">
            <v>60</v>
          </cell>
          <cell r="H58">
            <v>135</v>
          </cell>
          <cell r="I58">
            <v>95</v>
          </cell>
          <cell r="J58">
            <v>90</v>
          </cell>
          <cell r="K58">
            <v>95</v>
          </cell>
          <cell r="L58">
            <v>110</v>
          </cell>
          <cell r="M58">
            <v>585</v>
          </cell>
          <cell r="Q58">
            <v>1.2</v>
          </cell>
          <cell r="R58">
            <v>38</v>
          </cell>
          <cell r="S58" t="str">
            <v>Its long tail serves as a ground to protect itself from its own high-voltage power.</v>
          </cell>
        </row>
        <row r="59">
          <cell r="A59">
            <v>26</v>
          </cell>
          <cell r="C59" t="str">
            <v>Raichu Mega Y</v>
          </cell>
          <cell r="D59" t="str">
            <v>Mega</v>
          </cell>
          <cell r="E59" t="str">
            <v>electric</v>
          </cell>
          <cell r="G59">
            <v>60</v>
          </cell>
          <cell r="H59">
            <v>100</v>
          </cell>
          <cell r="I59">
            <v>55</v>
          </cell>
          <cell r="J59">
            <v>160</v>
          </cell>
          <cell r="K59">
            <v>80</v>
          </cell>
          <cell r="L59">
            <v>130</v>
          </cell>
          <cell r="M59">
            <v>585</v>
          </cell>
          <cell r="Q59">
            <v>1</v>
          </cell>
          <cell r="R59">
            <v>26</v>
          </cell>
          <cell r="S59" t="str">
            <v>Its long tail serves as a ground to protect itself from its own high-voltage power.</v>
          </cell>
        </row>
        <row r="60">
          <cell r="A60">
            <v>27</v>
          </cell>
          <cell r="C60" t="str">
            <v>Sandshrew</v>
          </cell>
          <cell r="D60" t="str">
            <v>Standard</v>
          </cell>
          <cell r="E60" t="str">
            <v>ground</v>
          </cell>
          <cell r="G60">
            <v>50</v>
          </cell>
          <cell r="H60">
            <v>75</v>
          </cell>
          <cell r="I60">
            <v>85</v>
          </cell>
          <cell r="J60">
            <v>20</v>
          </cell>
          <cell r="K60">
            <v>30</v>
          </cell>
          <cell r="L60">
            <v>40</v>
          </cell>
          <cell r="M60">
            <v>300</v>
          </cell>
          <cell r="N60" t="str">
            <v>sand-veil</v>
          </cell>
          <cell r="P60" t="str">
            <v>sand-rush</v>
          </cell>
          <cell r="Q60">
            <v>0.6</v>
          </cell>
          <cell r="R60">
            <v>12</v>
          </cell>
          <cell r="S60" t="str">
            <v>Burrows deep underground in arid locations far from water. It only emerges to hunt for food.</v>
          </cell>
          <cell r="T60" t="str">
            <v>https://raw.githubusercontent.com/PokeAPI/sprites/master/sprites/pokemon/other/official-artwork/27.png</v>
          </cell>
          <cell r="U60" t="str">
            <v>https://raw.githubusercontent.com/PokeAPI/sprites/master/sprites/pokemon/other/official-artwork/shiny/27.png</v>
          </cell>
        </row>
        <row r="61">
          <cell r="A61">
            <v>27</v>
          </cell>
          <cell r="C61" t="str">
            <v>Sandshrew Alola</v>
          </cell>
          <cell r="D61" t="str">
            <v>Regional</v>
          </cell>
          <cell r="E61" t="str">
            <v>ice</v>
          </cell>
          <cell r="F61" t="str">
            <v>steel</v>
          </cell>
          <cell r="G61">
            <v>50</v>
          </cell>
          <cell r="H61">
            <v>75</v>
          </cell>
          <cell r="I61">
            <v>90</v>
          </cell>
          <cell r="J61">
            <v>10</v>
          </cell>
          <cell r="K61">
            <v>35</v>
          </cell>
          <cell r="L61">
            <v>40</v>
          </cell>
          <cell r="M61">
            <v>300</v>
          </cell>
          <cell r="N61" t="str">
            <v>snow-cloak</v>
          </cell>
          <cell r="P61" t="str">
            <v>slush-rush</v>
          </cell>
          <cell r="Q61">
            <v>0.7</v>
          </cell>
          <cell r="R61">
            <v>40</v>
          </cell>
          <cell r="S61" t="str">
            <v>Burrows deep underground in arid locations far from water. It only emerges to hunt for food.</v>
          </cell>
          <cell r="T61" t="str">
            <v>https://raw.githubusercontent.com/PokeAPI/sprites/master/sprites/pokemon/other/official-artwork/10101.png</v>
          </cell>
          <cell r="U61" t="str">
            <v>https://raw.githubusercontent.com/PokeAPI/sprites/master/sprites/pokemon/other/official-artwork/shiny/10101.png</v>
          </cell>
        </row>
        <row r="62">
          <cell r="A62">
            <v>28</v>
          </cell>
          <cell r="C62" t="str">
            <v>Sandslash</v>
          </cell>
          <cell r="D62" t="str">
            <v>Standard</v>
          </cell>
          <cell r="E62" t="str">
            <v>ground</v>
          </cell>
          <cell r="G62">
            <v>75</v>
          </cell>
          <cell r="H62">
            <v>100</v>
          </cell>
          <cell r="I62">
            <v>110</v>
          </cell>
          <cell r="J62">
            <v>45</v>
          </cell>
          <cell r="K62">
            <v>55</v>
          </cell>
          <cell r="L62">
            <v>65</v>
          </cell>
          <cell r="M62">
            <v>450</v>
          </cell>
          <cell r="N62" t="str">
            <v>sand-veil</v>
          </cell>
          <cell r="P62" t="str">
            <v>sand-rush</v>
          </cell>
          <cell r="Q62">
            <v>1</v>
          </cell>
          <cell r="R62">
            <v>29.5</v>
          </cell>
          <cell r="S62" t="str">
            <v>Curls up into a spiny ball when threatened. It can roll while curled up to attack or escape.</v>
          </cell>
          <cell r="T62" t="str">
            <v>https://raw.githubusercontent.com/PokeAPI/sprites/master/sprites/pokemon/other/official-artwork/28.png</v>
          </cell>
          <cell r="U62" t="str">
            <v>https://raw.githubusercontent.com/PokeAPI/sprites/master/sprites/pokemon/other/official-artwork/shiny/28.png</v>
          </cell>
        </row>
        <row r="63">
          <cell r="A63">
            <v>28</v>
          </cell>
          <cell r="C63" t="str">
            <v>Sandslash Alola</v>
          </cell>
          <cell r="D63" t="str">
            <v>Regional</v>
          </cell>
          <cell r="E63" t="str">
            <v>ice</v>
          </cell>
          <cell r="F63" t="str">
            <v>steel</v>
          </cell>
          <cell r="G63">
            <v>75</v>
          </cell>
          <cell r="H63">
            <v>100</v>
          </cell>
          <cell r="I63">
            <v>120</v>
          </cell>
          <cell r="J63">
            <v>25</v>
          </cell>
          <cell r="K63">
            <v>65</v>
          </cell>
          <cell r="L63">
            <v>65</v>
          </cell>
          <cell r="M63">
            <v>450</v>
          </cell>
          <cell r="N63" t="str">
            <v>snow-cloak</v>
          </cell>
          <cell r="P63" t="str">
            <v>slush-rush</v>
          </cell>
          <cell r="Q63">
            <v>1.2</v>
          </cell>
          <cell r="R63">
            <v>55</v>
          </cell>
          <cell r="S63" t="str">
            <v>Curls up into a spiny ball when threatened. It can roll while curled up to attack or escape.</v>
          </cell>
          <cell r="T63" t="str">
            <v>https://raw.githubusercontent.com/PokeAPI/sprites/master/sprites/pokemon/other/official-artwork/10102.png</v>
          </cell>
          <cell r="U63" t="str">
            <v>https://raw.githubusercontent.com/PokeAPI/sprites/master/sprites/pokemon/other/official-artwork/shiny/10102.png</v>
          </cell>
        </row>
        <row r="64">
          <cell r="A64">
            <v>29</v>
          </cell>
          <cell r="C64" t="str">
            <v>Nidoran F</v>
          </cell>
          <cell r="D64" t="str">
            <v>Other</v>
          </cell>
          <cell r="E64" t="str">
            <v>poison</v>
          </cell>
          <cell r="G64">
            <v>55</v>
          </cell>
          <cell r="H64">
            <v>47</v>
          </cell>
          <cell r="I64">
            <v>52</v>
          </cell>
          <cell r="J64">
            <v>40</v>
          </cell>
          <cell r="K64">
            <v>40</v>
          </cell>
          <cell r="L64">
            <v>41</v>
          </cell>
          <cell r="M64">
            <v>275</v>
          </cell>
          <cell r="N64" t="str">
            <v>poison-point</v>
          </cell>
          <cell r="O64" t="str">
            <v>rivalry</v>
          </cell>
          <cell r="P64" t="str">
            <v>hustle</v>
          </cell>
          <cell r="Q64">
            <v>0.4</v>
          </cell>
          <cell r="R64">
            <v>7</v>
          </cell>
          <cell r="S64" t="str">
            <v>Although small, its venomous barbs render this POKéMON dangerous. The female has smaller horns.</v>
          </cell>
          <cell r="T64" t="str">
            <v>https://raw.githubusercontent.com/PokeAPI/sprites/master/sprites/pokemon/other/official-artwork/29.png</v>
          </cell>
          <cell r="U64" t="str">
            <v>https://raw.githubusercontent.com/PokeAPI/sprites/master/sprites/pokemon/other/official-artwork/shiny/29.png</v>
          </cell>
        </row>
        <row r="65">
          <cell r="A65">
            <v>30</v>
          </cell>
          <cell r="C65" t="str">
            <v>Nidorina</v>
          </cell>
          <cell r="D65" t="str">
            <v>Standard</v>
          </cell>
          <cell r="E65" t="str">
            <v>poison</v>
          </cell>
          <cell r="G65">
            <v>70</v>
          </cell>
          <cell r="H65">
            <v>62</v>
          </cell>
          <cell r="I65">
            <v>67</v>
          </cell>
          <cell r="J65">
            <v>55</v>
          </cell>
          <cell r="K65">
            <v>55</v>
          </cell>
          <cell r="L65">
            <v>56</v>
          </cell>
          <cell r="M65">
            <v>365</v>
          </cell>
          <cell r="N65" t="str">
            <v>poison-point</v>
          </cell>
          <cell r="O65" t="str">
            <v>rivalry</v>
          </cell>
          <cell r="P65" t="str">
            <v>hustle</v>
          </cell>
          <cell r="Q65">
            <v>0.8</v>
          </cell>
          <cell r="R65">
            <v>20</v>
          </cell>
          <cell r="S65" t="str">
            <v>The female's horn develops slowly. Prefers physical attacks such as clawing and biting.</v>
          </cell>
          <cell r="T65" t="str">
            <v>https://raw.githubusercontent.com/PokeAPI/sprites/master/sprites/pokemon/other/official-artwork/30.png</v>
          </cell>
          <cell r="U65" t="str">
            <v>https://raw.githubusercontent.com/PokeAPI/sprites/master/sprites/pokemon/other/official-artwork/shiny/30.png</v>
          </cell>
        </row>
        <row r="66">
          <cell r="A66">
            <v>31</v>
          </cell>
          <cell r="C66" t="str">
            <v>Nidoqueen</v>
          </cell>
          <cell r="D66" t="str">
            <v>Standard</v>
          </cell>
          <cell r="E66" t="str">
            <v>poison</v>
          </cell>
          <cell r="F66" t="str">
            <v>ground</v>
          </cell>
          <cell r="G66">
            <v>90</v>
          </cell>
          <cell r="H66">
            <v>92</v>
          </cell>
          <cell r="I66">
            <v>87</v>
          </cell>
          <cell r="J66">
            <v>75</v>
          </cell>
          <cell r="K66">
            <v>85</v>
          </cell>
          <cell r="L66">
            <v>76</v>
          </cell>
          <cell r="M66">
            <v>505</v>
          </cell>
          <cell r="N66" t="str">
            <v>poison-point</v>
          </cell>
          <cell r="O66" t="str">
            <v>rivalry</v>
          </cell>
          <cell r="P66" t="str">
            <v>sheer-force</v>
          </cell>
          <cell r="Q66">
            <v>1.3</v>
          </cell>
          <cell r="R66">
            <v>60</v>
          </cell>
          <cell r="S66" t="str">
            <v>Its hard scales provide strong protection. It uses its hefty bulk to execute powerful moves.</v>
          </cell>
          <cell r="T66" t="str">
            <v>https://raw.githubusercontent.com/PokeAPI/sprites/master/sprites/pokemon/other/official-artwork/31.png</v>
          </cell>
          <cell r="U66" t="str">
            <v>https://raw.githubusercontent.com/PokeAPI/sprites/master/sprites/pokemon/other/official-artwork/shiny/31.png</v>
          </cell>
        </row>
        <row r="67">
          <cell r="A67">
            <v>32</v>
          </cell>
          <cell r="C67" t="str">
            <v>Nidoran M</v>
          </cell>
          <cell r="D67" t="str">
            <v>Other</v>
          </cell>
          <cell r="E67" t="str">
            <v>poison</v>
          </cell>
          <cell r="G67">
            <v>46</v>
          </cell>
          <cell r="H67">
            <v>57</v>
          </cell>
          <cell r="I67">
            <v>40</v>
          </cell>
          <cell r="J67">
            <v>40</v>
          </cell>
          <cell r="K67">
            <v>40</v>
          </cell>
          <cell r="L67">
            <v>50</v>
          </cell>
          <cell r="M67">
            <v>273</v>
          </cell>
          <cell r="N67" t="str">
            <v>poison-point</v>
          </cell>
          <cell r="O67" t="str">
            <v>rivalry</v>
          </cell>
          <cell r="P67" t="str">
            <v>hustle</v>
          </cell>
          <cell r="Q67">
            <v>0.5</v>
          </cell>
          <cell r="R67">
            <v>9</v>
          </cell>
          <cell r="S67" t="str">
            <v>Stiffens its ears to sense danger. The larger its horns, the more powerful its secreted venom.</v>
          </cell>
          <cell r="T67" t="str">
            <v>https://raw.githubusercontent.com/PokeAPI/sprites/master/sprites/pokemon/other/official-artwork/32.png</v>
          </cell>
          <cell r="U67" t="str">
            <v>https://raw.githubusercontent.com/PokeAPI/sprites/master/sprites/pokemon/other/official-artwork/shiny/32.png</v>
          </cell>
        </row>
        <row r="68">
          <cell r="A68">
            <v>33</v>
          </cell>
          <cell r="C68" t="str">
            <v>Nidorino</v>
          </cell>
          <cell r="D68" t="str">
            <v>Standard</v>
          </cell>
          <cell r="E68" t="str">
            <v>poison</v>
          </cell>
          <cell r="G68">
            <v>61</v>
          </cell>
          <cell r="H68">
            <v>72</v>
          </cell>
          <cell r="I68">
            <v>57</v>
          </cell>
          <cell r="J68">
            <v>55</v>
          </cell>
          <cell r="K68">
            <v>55</v>
          </cell>
          <cell r="L68">
            <v>65</v>
          </cell>
          <cell r="M68">
            <v>365</v>
          </cell>
          <cell r="N68" t="str">
            <v>poison-point</v>
          </cell>
          <cell r="O68" t="str">
            <v>rivalry</v>
          </cell>
          <cell r="P68" t="str">
            <v>hustle</v>
          </cell>
          <cell r="Q68">
            <v>0.9</v>
          </cell>
          <cell r="R68">
            <v>19.5</v>
          </cell>
          <cell r="S68" t="str">
            <v>An aggressive POKéMON that is quick to attack. The horn on its head secretes a powerful venom.</v>
          </cell>
          <cell r="T68" t="str">
            <v>https://raw.githubusercontent.com/PokeAPI/sprites/master/sprites/pokemon/other/official-artwork/33.png</v>
          </cell>
          <cell r="U68" t="str">
            <v>https://raw.githubusercontent.com/PokeAPI/sprites/master/sprites/pokemon/other/official-artwork/shiny/33.png</v>
          </cell>
        </row>
        <row r="69">
          <cell r="A69">
            <v>34</v>
          </cell>
          <cell r="C69" t="str">
            <v>Nidoking</v>
          </cell>
          <cell r="D69" t="str">
            <v>Standard</v>
          </cell>
          <cell r="E69" t="str">
            <v>poison</v>
          </cell>
          <cell r="F69" t="str">
            <v>ground</v>
          </cell>
          <cell r="G69">
            <v>81</v>
          </cell>
          <cell r="H69">
            <v>102</v>
          </cell>
          <cell r="I69">
            <v>77</v>
          </cell>
          <cell r="J69">
            <v>85</v>
          </cell>
          <cell r="K69">
            <v>75</v>
          </cell>
          <cell r="L69">
            <v>85</v>
          </cell>
          <cell r="M69">
            <v>505</v>
          </cell>
          <cell r="N69" t="str">
            <v>poison-point</v>
          </cell>
          <cell r="O69" t="str">
            <v>rivalry</v>
          </cell>
          <cell r="P69" t="str">
            <v>sheer-force</v>
          </cell>
          <cell r="Q69">
            <v>1.4</v>
          </cell>
          <cell r="R69">
            <v>62</v>
          </cell>
          <cell r="S69" t="str">
            <v>It uses its powerful tail in battle to smash, constrict, then break the prey's bones.</v>
          </cell>
          <cell r="T69" t="str">
            <v>https://raw.githubusercontent.com/PokeAPI/sprites/master/sprites/pokemon/other/official-artwork/34.png</v>
          </cell>
          <cell r="U69" t="str">
            <v>https://raw.githubusercontent.com/PokeAPI/sprites/master/sprites/pokemon/other/official-artwork/shiny/34.png</v>
          </cell>
        </row>
        <row r="70">
          <cell r="A70">
            <v>35</v>
          </cell>
          <cell r="C70" t="str">
            <v>Clefairy</v>
          </cell>
          <cell r="D70" t="str">
            <v>Standard</v>
          </cell>
          <cell r="E70" t="str">
            <v>fairy</v>
          </cell>
          <cell r="G70">
            <v>70</v>
          </cell>
          <cell r="H70">
            <v>45</v>
          </cell>
          <cell r="I70">
            <v>48</v>
          </cell>
          <cell r="J70">
            <v>60</v>
          </cell>
          <cell r="K70">
            <v>65</v>
          </cell>
          <cell r="L70">
            <v>35</v>
          </cell>
          <cell r="M70">
            <v>323</v>
          </cell>
          <cell r="N70" t="str">
            <v>cute-charm</v>
          </cell>
          <cell r="O70" t="str">
            <v>magic-guard</v>
          </cell>
          <cell r="P70" t="str">
            <v>friend-guard</v>
          </cell>
          <cell r="Q70">
            <v>0.6</v>
          </cell>
          <cell r="R70">
            <v>7.5</v>
          </cell>
          <cell r="S70" t="str">
            <v>Its magical and cute appeal has many admirers. It is rare and found only in certain areas.</v>
          </cell>
          <cell r="T70" t="str">
            <v>https://raw.githubusercontent.com/PokeAPI/sprites/master/sprites/pokemon/other/official-artwork/35.png</v>
          </cell>
          <cell r="U70" t="str">
            <v>https://raw.githubusercontent.com/PokeAPI/sprites/master/sprites/pokemon/other/official-artwork/shiny/35.png</v>
          </cell>
        </row>
        <row r="71">
          <cell r="A71">
            <v>36</v>
          </cell>
          <cell r="C71" t="str">
            <v>Clefable</v>
          </cell>
          <cell r="D71" t="str">
            <v>Standard</v>
          </cell>
          <cell r="E71" t="str">
            <v>fairy</v>
          </cell>
          <cell r="G71">
            <v>95</v>
          </cell>
          <cell r="H71">
            <v>70</v>
          </cell>
          <cell r="I71">
            <v>73</v>
          </cell>
          <cell r="J71">
            <v>95</v>
          </cell>
          <cell r="K71">
            <v>90</v>
          </cell>
          <cell r="L71">
            <v>60</v>
          </cell>
          <cell r="M71">
            <v>483</v>
          </cell>
          <cell r="N71" t="str">
            <v>cute-charm</v>
          </cell>
          <cell r="O71" t="str">
            <v>magic-guard</v>
          </cell>
          <cell r="P71" t="str">
            <v>unaware</v>
          </cell>
          <cell r="Q71">
            <v>1.3</v>
          </cell>
          <cell r="R71">
            <v>40</v>
          </cell>
          <cell r="S71" t="str">
            <v>A timid fairy POKéMON that is rarely seen. It will run and hide the moment it senses people.</v>
          </cell>
          <cell r="T71" t="str">
            <v>https://raw.githubusercontent.com/PokeAPI/sprites/master/sprites/pokemon/other/official-artwork/36.png</v>
          </cell>
          <cell r="U71" t="str">
            <v>https://raw.githubusercontent.com/PokeAPI/sprites/master/sprites/pokemon/other/official-artwork/shiny/36.png</v>
          </cell>
        </row>
        <row r="72">
          <cell r="A72">
            <v>36</v>
          </cell>
          <cell r="C72" t="str">
            <v>Clefable Mega</v>
          </cell>
          <cell r="D72" t="str">
            <v>Mega</v>
          </cell>
          <cell r="E72" t="str">
            <v>fairy</v>
          </cell>
          <cell r="F72" t="str">
            <v>flying</v>
          </cell>
          <cell r="G72">
            <v>95</v>
          </cell>
          <cell r="H72">
            <v>80</v>
          </cell>
          <cell r="I72">
            <v>93</v>
          </cell>
          <cell r="J72">
            <v>135</v>
          </cell>
          <cell r="K72">
            <v>110</v>
          </cell>
          <cell r="L72">
            <v>70</v>
          </cell>
          <cell r="M72">
            <v>583</v>
          </cell>
          <cell r="Q72">
            <v>1.7</v>
          </cell>
          <cell r="R72">
            <v>42.3</v>
          </cell>
          <cell r="S72" t="str">
            <v>A timid fairy POKéMON that is rarely seen. It will run and hide the moment it senses people.</v>
          </cell>
          <cell r="T72" t="str">
            <v>https://raw.githubusercontent.com/PokeAPI/sprites/master/sprites/pokemon/other/showdown/10278.gif</v>
          </cell>
          <cell r="U72" t="str">
            <v>https://raw.githubusercontent.com/PokeAPI/sprites/master/sprites/pokemon/other/showdown/shiny/10278.gif</v>
          </cell>
        </row>
        <row r="73">
          <cell r="A73">
            <v>37</v>
          </cell>
          <cell r="C73" t="str">
            <v>Vulpix</v>
          </cell>
          <cell r="D73" t="str">
            <v>Standard</v>
          </cell>
          <cell r="E73" t="str">
            <v>fire</v>
          </cell>
          <cell r="G73">
            <v>38</v>
          </cell>
          <cell r="H73">
            <v>41</v>
          </cell>
          <cell r="I73">
            <v>40</v>
          </cell>
          <cell r="J73">
            <v>50</v>
          </cell>
          <cell r="K73">
            <v>65</v>
          </cell>
          <cell r="L73">
            <v>65</v>
          </cell>
          <cell r="M73">
            <v>299</v>
          </cell>
          <cell r="N73" t="str">
            <v>flash-fire</v>
          </cell>
          <cell r="P73" t="str">
            <v>drought</v>
          </cell>
          <cell r="Q73">
            <v>0.6</v>
          </cell>
          <cell r="R73">
            <v>9.9</v>
          </cell>
          <cell r="S73" t="str">
            <v>At the time of birth, it has just one tail. The tail splits from its tip as it grows older.</v>
          </cell>
          <cell r="T73" t="str">
            <v>https://raw.githubusercontent.com/PokeAPI/sprites/master/sprites/pokemon/other/official-artwork/37.png</v>
          </cell>
          <cell r="U73" t="str">
            <v>https://raw.githubusercontent.com/PokeAPI/sprites/master/sprites/pokemon/other/official-artwork/shiny/37.png</v>
          </cell>
        </row>
        <row r="74">
          <cell r="A74">
            <v>37</v>
          </cell>
          <cell r="C74" t="str">
            <v>Vulpix Alola</v>
          </cell>
          <cell r="D74" t="str">
            <v>Regional</v>
          </cell>
          <cell r="E74" t="str">
            <v>ice</v>
          </cell>
          <cell r="G74">
            <v>38</v>
          </cell>
          <cell r="H74">
            <v>41</v>
          </cell>
          <cell r="I74">
            <v>40</v>
          </cell>
          <cell r="J74">
            <v>50</v>
          </cell>
          <cell r="K74">
            <v>65</v>
          </cell>
          <cell r="L74">
            <v>65</v>
          </cell>
          <cell r="M74">
            <v>299</v>
          </cell>
          <cell r="N74" t="str">
            <v>snow-cloak</v>
          </cell>
          <cell r="P74" t="str">
            <v>snow-warning</v>
          </cell>
          <cell r="Q74">
            <v>0.6</v>
          </cell>
          <cell r="R74">
            <v>9.9</v>
          </cell>
          <cell r="S74" t="str">
            <v>At the time of birth, it has just one tail. The tail splits from its tip as it grows older.</v>
          </cell>
          <cell r="T74" t="str">
            <v>https://raw.githubusercontent.com/PokeAPI/sprites/master/sprites/pokemon/other/official-artwork/10103.png</v>
          </cell>
          <cell r="U74" t="str">
            <v>https://raw.githubusercontent.com/PokeAPI/sprites/master/sprites/pokemon/other/official-artwork/shiny/10103.png</v>
          </cell>
        </row>
        <row r="75">
          <cell r="A75">
            <v>38</v>
          </cell>
          <cell r="C75" t="str">
            <v>Ninetales</v>
          </cell>
          <cell r="D75" t="str">
            <v>Standard</v>
          </cell>
          <cell r="E75" t="str">
            <v>fire</v>
          </cell>
          <cell r="G75">
            <v>73</v>
          </cell>
          <cell r="H75">
            <v>76</v>
          </cell>
          <cell r="I75">
            <v>75</v>
          </cell>
          <cell r="J75">
            <v>81</v>
          </cell>
          <cell r="K75">
            <v>100</v>
          </cell>
          <cell r="L75">
            <v>100</v>
          </cell>
          <cell r="M75">
            <v>505</v>
          </cell>
          <cell r="N75" t="str">
            <v>flash-fire</v>
          </cell>
          <cell r="P75" t="str">
            <v>drought</v>
          </cell>
          <cell r="Q75">
            <v>1.1000000000000001</v>
          </cell>
          <cell r="R75">
            <v>19.899999999999999</v>
          </cell>
          <cell r="S75" t="str">
            <v>Very smart and very vengeful. Grabbing one of its many tails could result in a 1000-year curse.</v>
          </cell>
          <cell r="T75" t="str">
            <v>https://raw.githubusercontent.com/PokeAPI/sprites/master/sprites/pokemon/other/official-artwork/38.png</v>
          </cell>
          <cell r="U75" t="str">
            <v>https://raw.githubusercontent.com/PokeAPI/sprites/master/sprites/pokemon/other/official-artwork/shiny/38.png</v>
          </cell>
        </row>
        <row r="76">
          <cell r="A76">
            <v>38</v>
          </cell>
          <cell r="C76" t="str">
            <v>Ninetales Alola</v>
          </cell>
          <cell r="D76" t="str">
            <v>Regional</v>
          </cell>
          <cell r="E76" t="str">
            <v>ice</v>
          </cell>
          <cell r="F76" t="str">
            <v>fairy</v>
          </cell>
          <cell r="G76">
            <v>73</v>
          </cell>
          <cell r="H76">
            <v>67</v>
          </cell>
          <cell r="I76">
            <v>75</v>
          </cell>
          <cell r="J76">
            <v>81</v>
          </cell>
          <cell r="K76">
            <v>100</v>
          </cell>
          <cell r="L76">
            <v>109</v>
          </cell>
          <cell r="M76">
            <v>505</v>
          </cell>
          <cell r="N76" t="str">
            <v>snow-cloak</v>
          </cell>
          <cell r="P76" t="str">
            <v>snow-warning</v>
          </cell>
          <cell r="Q76">
            <v>1.1000000000000001</v>
          </cell>
          <cell r="R76">
            <v>19.899999999999999</v>
          </cell>
          <cell r="S76" t="str">
            <v>Very smart and very vengeful. Grabbing one of its many tails could result in a 1000-year curse.</v>
          </cell>
          <cell r="T76" t="str">
            <v>https://raw.githubusercontent.com/PokeAPI/sprites/master/sprites/pokemon/other/official-artwork/10104.png</v>
          </cell>
          <cell r="U76" t="str">
            <v>https://raw.githubusercontent.com/PokeAPI/sprites/master/sprites/pokemon/other/official-artwork/shiny/10104.png</v>
          </cell>
        </row>
        <row r="77">
          <cell r="A77">
            <v>39</v>
          </cell>
          <cell r="C77" t="str">
            <v>Jigglypuff</v>
          </cell>
          <cell r="D77" t="str">
            <v>Standard</v>
          </cell>
          <cell r="E77" t="str">
            <v>normal</v>
          </cell>
          <cell r="F77" t="str">
            <v>fairy</v>
          </cell>
          <cell r="G77">
            <v>115</v>
          </cell>
          <cell r="H77">
            <v>45</v>
          </cell>
          <cell r="I77">
            <v>20</v>
          </cell>
          <cell r="J77">
            <v>45</v>
          </cell>
          <cell r="K77">
            <v>25</v>
          </cell>
          <cell r="L77">
            <v>20</v>
          </cell>
          <cell r="M77">
            <v>270</v>
          </cell>
          <cell r="N77" t="str">
            <v>cute-charm</v>
          </cell>
          <cell r="O77" t="str">
            <v>competitive</v>
          </cell>
          <cell r="P77" t="str">
            <v>friend-guard</v>
          </cell>
          <cell r="Q77">
            <v>0.5</v>
          </cell>
          <cell r="R77">
            <v>5.5</v>
          </cell>
          <cell r="S77" t="str">
            <v>When its huge eyes light up, it sings a mysteriously soothing melody that lulls its enemies to sleep.</v>
          </cell>
          <cell r="T77" t="str">
            <v>https://raw.githubusercontent.com/PokeAPI/sprites/master/sprites/pokemon/other/official-artwork/39.png</v>
          </cell>
          <cell r="U77" t="str">
            <v>https://raw.githubusercontent.com/PokeAPI/sprites/master/sprites/pokemon/other/official-artwork/shiny/39.png</v>
          </cell>
        </row>
        <row r="78">
          <cell r="A78">
            <v>40</v>
          </cell>
          <cell r="C78" t="str">
            <v>Wigglytuff</v>
          </cell>
          <cell r="D78" t="str">
            <v>Standard</v>
          </cell>
          <cell r="E78" t="str">
            <v>normal</v>
          </cell>
          <cell r="F78" t="str">
            <v>fairy</v>
          </cell>
          <cell r="G78">
            <v>140</v>
          </cell>
          <cell r="H78">
            <v>70</v>
          </cell>
          <cell r="I78">
            <v>45</v>
          </cell>
          <cell r="J78">
            <v>85</v>
          </cell>
          <cell r="K78">
            <v>50</v>
          </cell>
          <cell r="L78">
            <v>45</v>
          </cell>
          <cell r="M78">
            <v>435</v>
          </cell>
          <cell r="N78" t="str">
            <v>cute-charm</v>
          </cell>
          <cell r="O78" t="str">
            <v>competitive</v>
          </cell>
          <cell r="P78" t="str">
            <v>frisk</v>
          </cell>
          <cell r="Q78">
            <v>1</v>
          </cell>
          <cell r="R78">
            <v>12</v>
          </cell>
          <cell r="S78" t="str">
            <v>The body is soft and rubbery. When angered, it will suck in air and inflate itself to an enormous size.</v>
          </cell>
          <cell r="T78" t="str">
            <v>https://raw.githubusercontent.com/PokeAPI/sprites/master/sprites/pokemon/other/official-artwork/40.png</v>
          </cell>
          <cell r="U78" t="str">
            <v>https://raw.githubusercontent.com/PokeAPI/sprites/master/sprites/pokemon/other/official-artwork/shiny/40.png</v>
          </cell>
        </row>
        <row r="79">
          <cell r="A79">
            <v>41</v>
          </cell>
          <cell r="C79" t="str">
            <v>Zubat</v>
          </cell>
          <cell r="D79" t="str">
            <v>Standard</v>
          </cell>
          <cell r="E79" t="str">
            <v>poison</v>
          </cell>
          <cell r="F79" t="str">
            <v>flying</v>
          </cell>
          <cell r="G79">
            <v>40</v>
          </cell>
          <cell r="H79">
            <v>45</v>
          </cell>
          <cell r="I79">
            <v>35</v>
          </cell>
          <cell r="J79">
            <v>30</v>
          </cell>
          <cell r="K79">
            <v>40</v>
          </cell>
          <cell r="L79">
            <v>55</v>
          </cell>
          <cell r="M79">
            <v>245</v>
          </cell>
          <cell r="N79" t="str">
            <v>inner-focus</v>
          </cell>
          <cell r="P79" t="str">
            <v>infiltrator</v>
          </cell>
          <cell r="Q79">
            <v>0.8</v>
          </cell>
          <cell r="R79">
            <v>7.5</v>
          </cell>
          <cell r="S79" t="str">
            <v>Forms colonies in perpetually dark places. Uses ultrasonic waves to identify and approach targets.</v>
          </cell>
          <cell r="T79" t="str">
            <v>https://raw.githubusercontent.com/PokeAPI/sprites/master/sprites/pokemon/other/official-artwork/41.png</v>
          </cell>
          <cell r="U79" t="str">
            <v>https://raw.githubusercontent.com/PokeAPI/sprites/master/sprites/pokemon/other/official-artwork/shiny/41.png</v>
          </cell>
        </row>
        <row r="80">
          <cell r="A80">
            <v>42</v>
          </cell>
          <cell r="C80" t="str">
            <v>Golbat</v>
          </cell>
          <cell r="D80" t="str">
            <v>Standard</v>
          </cell>
          <cell r="E80" t="str">
            <v>poison</v>
          </cell>
          <cell r="F80" t="str">
            <v>flying</v>
          </cell>
          <cell r="G80">
            <v>75</v>
          </cell>
          <cell r="H80">
            <v>80</v>
          </cell>
          <cell r="I80">
            <v>70</v>
          </cell>
          <cell r="J80">
            <v>65</v>
          </cell>
          <cell r="K80">
            <v>75</v>
          </cell>
          <cell r="L80">
            <v>90</v>
          </cell>
          <cell r="M80">
            <v>455</v>
          </cell>
          <cell r="N80" t="str">
            <v>inner-focus</v>
          </cell>
          <cell r="P80" t="str">
            <v>infiltrator</v>
          </cell>
          <cell r="Q80">
            <v>1.6</v>
          </cell>
          <cell r="R80">
            <v>55</v>
          </cell>
          <cell r="S80" t="str">
            <v>Once it strikes, it will not stop draining energy from the victim even if it gets too heavy to fly.</v>
          </cell>
          <cell r="T80" t="str">
            <v>https://raw.githubusercontent.com/PokeAPI/sprites/master/sprites/pokemon/other/official-artwork/42.png</v>
          </cell>
          <cell r="U80" t="str">
            <v>https://raw.githubusercontent.com/PokeAPI/sprites/master/sprites/pokemon/other/official-artwork/shiny/42.png</v>
          </cell>
        </row>
        <row r="81">
          <cell r="A81">
            <v>43</v>
          </cell>
          <cell r="C81" t="str">
            <v>Oddish</v>
          </cell>
          <cell r="D81" t="str">
            <v>Standard</v>
          </cell>
          <cell r="E81" t="str">
            <v>grass</v>
          </cell>
          <cell r="F81" t="str">
            <v>poison</v>
          </cell>
          <cell r="G81">
            <v>45</v>
          </cell>
          <cell r="H81">
            <v>50</v>
          </cell>
          <cell r="I81">
            <v>55</v>
          </cell>
          <cell r="J81">
            <v>75</v>
          </cell>
          <cell r="K81">
            <v>65</v>
          </cell>
          <cell r="L81">
            <v>30</v>
          </cell>
          <cell r="M81">
            <v>320</v>
          </cell>
          <cell r="N81" t="str">
            <v>chlorophyll</v>
          </cell>
          <cell r="P81" t="str">
            <v>run-away</v>
          </cell>
          <cell r="Q81">
            <v>0.5</v>
          </cell>
          <cell r="R81">
            <v>5.4</v>
          </cell>
          <cell r="S81" t="str">
            <v>During the day, it keeps its face buried in the ground. At night, it wanders around sowing its seeds.</v>
          </cell>
          <cell r="T81" t="str">
            <v>https://raw.githubusercontent.com/PokeAPI/sprites/master/sprites/pokemon/other/official-artwork/43.png</v>
          </cell>
          <cell r="U81" t="str">
            <v>https://raw.githubusercontent.com/PokeAPI/sprites/master/sprites/pokemon/other/official-artwork/shiny/43.png</v>
          </cell>
        </row>
        <row r="82">
          <cell r="A82">
            <v>44</v>
          </cell>
          <cell r="C82" t="str">
            <v>Gloom</v>
          </cell>
          <cell r="D82" t="str">
            <v>Standard</v>
          </cell>
          <cell r="E82" t="str">
            <v>grass</v>
          </cell>
          <cell r="F82" t="str">
            <v>poison</v>
          </cell>
          <cell r="G82">
            <v>60</v>
          </cell>
          <cell r="H82">
            <v>65</v>
          </cell>
          <cell r="I82">
            <v>70</v>
          </cell>
          <cell r="J82">
            <v>85</v>
          </cell>
          <cell r="K82">
            <v>75</v>
          </cell>
          <cell r="L82">
            <v>40</v>
          </cell>
          <cell r="M82">
            <v>395</v>
          </cell>
          <cell r="N82" t="str">
            <v>chlorophyll</v>
          </cell>
          <cell r="P82" t="str">
            <v>stench</v>
          </cell>
          <cell r="Q82">
            <v>0.8</v>
          </cell>
          <cell r="R82">
            <v>8.6</v>
          </cell>
          <cell r="S82" t="str">
            <v>The fluid that oozes from its mouth isn't drool. It is a nectar that is used to attract prey.</v>
          </cell>
          <cell r="T82" t="str">
            <v>https://raw.githubusercontent.com/PokeAPI/sprites/master/sprites/pokemon/other/official-artwork/44.png</v>
          </cell>
          <cell r="U82" t="str">
            <v>https://raw.githubusercontent.com/PokeAPI/sprites/master/sprites/pokemon/other/official-artwork/shiny/44.png</v>
          </cell>
        </row>
        <row r="83">
          <cell r="A83">
            <v>45</v>
          </cell>
          <cell r="C83" t="str">
            <v>Vileplume</v>
          </cell>
          <cell r="D83" t="str">
            <v>Standard</v>
          </cell>
          <cell r="E83" t="str">
            <v>grass</v>
          </cell>
          <cell r="F83" t="str">
            <v>poison</v>
          </cell>
          <cell r="G83">
            <v>75</v>
          </cell>
          <cell r="H83">
            <v>80</v>
          </cell>
          <cell r="I83">
            <v>85</v>
          </cell>
          <cell r="J83">
            <v>110</v>
          </cell>
          <cell r="K83">
            <v>90</v>
          </cell>
          <cell r="L83">
            <v>50</v>
          </cell>
          <cell r="M83">
            <v>490</v>
          </cell>
          <cell r="N83" t="str">
            <v>chlorophyll</v>
          </cell>
          <cell r="P83" t="str">
            <v>effect-spore</v>
          </cell>
          <cell r="Q83">
            <v>1.2</v>
          </cell>
          <cell r="R83">
            <v>18.600000000000001</v>
          </cell>
          <cell r="S83" t="str">
            <v>It has the world’s largest petals. With every step, the petals shake out heavy clouds of toxic pollen.</v>
          </cell>
          <cell r="T83" t="str">
            <v>https://raw.githubusercontent.com/PokeAPI/sprites/master/sprites/pokemon/other/official-artwork/45.png</v>
          </cell>
          <cell r="U83" t="str">
            <v>https://raw.githubusercontent.com/PokeAPI/sprites/master/sprites/pokemon/other/official-artwork/shiny/45.png</v>
          </cell>
        </row>
        <row r="84">
          <cell r="A84">
            <v>46</v>
          </cell>
          <cell r="C84" t="str">
            <v>Paras</v>
          </cell>
          <cell r="D84" t="str">
            <v>Standard</v>
          </cell>
          <cell r="E84" t="str">
            <v>bug</v>
          </cell>
          <cell r="F84" t="str">
            <v>grass</v>
          </cell>
          <cell r="G84">
            <v>35</v>
          </cell>
          <cell r="H84">
            <v>70</v>
          </cell>
          <cell r="I84">
            <v>55</v>
          </cell>
          <cell r="J84">
            <v>45</v>
          </cell>
          <cell r="K84">
            <v>55</v>
          </cell>
          <cell r="L84">
            <v>25</v>
          </cell>
          <cell r="M84">
            <v>285</v>
          </cell>
          <cell r="N84" t="str">
            <v>effect-spore</v>
          </cell>
          <cell r="O84" t="str">
            <v>dry-skin</v>
          </cell>
          <cell r="P84" t="str">
            <v>damp</v>
          </cell>
          <cell r="Q84">
            <v>0.3</v>
          </cell>
          <cell r="R84">
            <v>5.4</v>
          </cell>
          <cell r="S84" t="str">
            <v>Burrows to suck tree roots. The mushrooms on its back grow by draw­ ing nutrients from the bug host.</v>
          </cell>
          <cell r="T84" t="str">
            <v>https://raw.githubusercontent.com/PokeAPI/sprites/master/sprites/pokemon/other/official-artwork/46.png</v>
          </cell>
          <cell r="U84" t="str">
            <v>https://raw.githubusercontent.com/PokeAPI/sprites/master/sprites/pokemon/other/official-artwork/shiny/46.png</v>
          </cell>
        </row>
        <row r="85">
          <cell r="A85">
            <v>47</v>
          </cell>
          <cell r="C85" t="str">
            <v>Parasect</v>
          </cell>
          <cell r="D85" t="str">
            <v>Standard</v>
          </cell>
          <cell r="E85" t="str">
            <v>bug</v>
          </cell>
          <cell r="F85" t="str">
            <v>grass</v>
          </cell>
          <cell r="G85">
            <v>60</v>
          </cell>
          <cell r="H85">
            <v>95</v>
          </cell>
          <cell r="I85">
            <v>80</v>
          </cell>
          <cell r="J85">
            <v>60</v>
          </cell>
          <cell r="K85">
            <v>80</v>
          </cell>
          <cell r="L85">
            <v>30</v>
          </cell>
          <cell r="M85">
            <v>405</v>
          </cell>
          <cell r="N85" t="str">
            <v>effect-spore</v>
          </cell>
          <cell r="O85" t="str">
            <v>dry-skin</v>
          </cell>
          <cell r="P85" t="str">
            <v>damp</v>
          </cell>
          <cell r="Q85">
            <v>1</v>
          </cell>
          <cell r="R85">
            <v>29.5</v>
          </cell>
          <cell r="S85" t="str">
            <v>A host-parasite pair in which the parasite mushroom has taken over the host bug. Prefers damp places.</v>
          </cell>
          <cell r="T85" t="str">
            <v>https://raw.githubusercontent.com/PokeAPI/sprites/master/sprites/pokemon/other/official-artwork/47.png</v>
          </cell>
          <cell r="U85" t="str">
            <v>https://raw.githubusercontent.com/PokeAPI/sprites/master/sprites/pokemon/other/official-artwork/shiny/47.png</v>
          </cell>
        </row>
        <row r="86">
          <cell r="A86">
            <v>48</v>
          </cell>
          <cell r="C86" t="str">
            <v>Venonat</v>
          </cell>
          <cell r="D86" t="str">
            <v>Standard</v>
          </cell>
          <cell r="E86" t="str">
            <v>bug</v>
          </cell>
          <cell r="F86" t="str">
            <v>poison</v>
          </cell>
          <cell r="G86">
            <v>60</v>
          </cell>
          <cell r="H86">
            <v>55</v>
          </cell>
          <cell r="I86">
            <v>50</v>
          </cell>
          <cell r="J86">
            <v>40</v>
          </cell>
          <cell r="K86">
            <v>55</v>
          </cell>
          <cell r="L86">
            <v>45</v>
          </cell>
          <cell r="M86">
            <v>305</v>
          </cell>
          <cell r="N86" t="str">
            <v>compound-eyes</v>
          </cell>
          <cell r="O86" t="str">
            <v>tinted-lens</v>
          </cell>
          <cell r="P86" t="str">
            <v>run-away</v>
          </cell>
          <cell r="Q86">
            <v>1</v>
          </cell>
          <cell r="R86">
            <v>30</v>
          </cell>
          <cell r="S86" t="str">
            <v>Lives in the shadows of tall trees where it eats insects. It is attracted by light at night.</v>
          </cell>
          <cell r="T86" t="str">
            <v>https://raw.githubusercontent.com/PokeAPI/sprites/master/sprites/pokemon/other/official-artwork/48.png</v>
          </cell>
          <cell r="U86" t="str">
            <v>https://raw.githubusercontent.com/PokeAPI/sprites/master/sprites/pokemon/other/official-artwork/shiny/48.png</v>
          </cell>
        </row>
        <row r="87">
          <cell r="A87">
            <v>49</v>
          </cell>
          <cell r="C87" t="str">
            <v>Venomoth</v>
          </cell>
          <cell r="D87" t="str">
            <v>Standard</v>
          </cell>
          <cell r="E87" t="str">
            <v>bug</v>
          </cell>
          <cell r="F87" t="str">
            <v>poison</v>
          </cell>
          <cell r="G87">
            <v>70</v>
          </cell>
          <cell r="H87">
            <v>65</v>
          </cell>
          <cell r="I87">
            <v>60</v>
          </cell>
          <cell r="J87">
            <v>90</v>
          </cell>
          <cell r="K87">
            <v>75</v>
          </cell>
          <cell r="L87">
            <v>90</v>
          </cell>
          <cell r="M87">
            <v>450</v>
          </cell>
          <cell r="N87" t="str">
            <v>shield-dust</v>
          </cell>
          <cell r="O87" t="str">
            <v>tinted-lens</v>
          </cell>
          <cell r="P87" t="str">
            <v>wonder-skin</v>
          </cell>
          <cell r="Q87">
            <v>1.5</v>
          </cell>
          <cell r="R87">
            <v>12.5</v>
          </cell>
          <cell r="S87" t="str">
            <v>The dustlike scales covering its wings are color-coded to indicate the kinds of poison it has.</v>
          </cell>
          <cell r="T87" t="str">
            <v>https://raw.githubusercontent.com/PokeAPI/sprites/master/sprites/pokemon/other/official-artwork/49.png</v>
          </cell>
          <cell r="U87" t="str">
            <v>https://raw.githubusercontent.com/PokeAPI/sprites/master/sprites/pokemon/other/official-artwork/shiny/49.png</v>
          </cell>
        </row>
        <row r="88">
          <cell r="A88">
            <v>50</v>
          </cell>
          <cell r="C88" t="str">
            <v>Diglett</v>
          </cell>
          <cell r="D88" t="str">
            <v>Standard</v>
          </cell>
          <cell r="E88" t="str">
            <v>ground</v>
          </cell>
          <cell r="G88">
            <v>10</v>
          </cell>
          <cell r="H88">
            <v>55</v>
          </cell>
          <cell r="I88">
            <v>25</v>
          </cell>
          <cell r="J88">
            <v>35</v>
          </cell>
          <cell r="K88">
            <v>45</v>
          </cell>
          <cell r="L88">
            <v>95</v>
          </cell>
          <cell r="M88">
            <v>265</v>
          </cell>
          <cell r="N88" t="str">
            <v>sand-veil</v>
          </cell>
          <cell r="O88" t="str">
            <v>arena-trap</v>
          </cell>
          <cell r="P88" t="str">
            <v>sand-force</v>
          </cell>
          <cell r="Q88">
            <v>0.2</v>
          </cell>
          <cell r="R88">
            <v>0.8</v>
          </cell>
          <cell r="S88" t="str">
            <v>Lives about one yard underground where it feeds on plant roots. It sometimes appears above ground.</v>
          </cell>
          <cell r="T88" t="str">
            <v>https://raw.githubusercontent.com/PokeAPI/sprites/master/sprites/pokemon/other/official-artwork/50.png</v>
          </cell>
          <cell r="U88" t="str">
            <v>https://raw.githubusercontent.com/PokeAPI/sprites/master/sprites/pokemon/other/official-artwork/shiny/50.png</v>
          </cell>
        </row>
        <row r="89">
          <cell r="A89">
            <v>50</v>
          </cell>
          <cell r="C89" t="str">
            <v>Diglett Alola</v>
          </cell>
          <cell r="D89" t="str">
            <v>Regional</v>
          </cell>
          <cell r="E89" t="str">
            <v>ground</v>
          </cell>
          <cell r="F89" t="str">
            <v>steel</v>
          </cell>
          <cell r="G89">
            <v>10</v>
          </cell>
          <cell r="H89">
            <v>55</v>
          </cell>
          <cell r="I89">
            <v>30</v>
          </cell>
          <cell r="J89">
            <v>35</v>
          </cell>
          <cell r="K89">
            <v>45</v>
          </cell>
          <cell r="L89">
            <v>90</v>
          </cell>
          <cell r="M89">
            <v>265</v>
          </cell>
          <cell r="N89" t="str">
            <v>sand-veil</v>
          </cell>
          <cell r="O89" t="str">
            <v>tangling-hair</v>
          </cell>
          <cell r="P89" t="str">
            <v>sand-force</v>
          </cell>
          <cell r="Q89">
            <v>0.2</v>
          </cell>
          <cell r="R89">
            <v>1</v>
          </cell>
          <cell r="S89" t="str">
            <v>Lives about one yard underground where it feeds on plant roots. It sometimes appears above ground.</v>
          </cell>
          <cell r="T89" t="str">
            <v>https://raw.githubusercontent.com/PokeAPI/sprites/master/sprites/pokemon/other/official-artwork/10105.png</v>
          </cell>
          <cell r="U89" t="str">
            <v>https://raw.githubusercontent.com/PokeAPI/sprites/master/sprites/pokemon/other/official-artwork/shiny/10105.png</v>
          </cell>
        </row>
        <row r="90">
          <cell r="A90">
            <v>51</v>
          </cell>
          <cell r="C90" t="str">
            <v>Dugtrio</v>
          </cell>
          <cell r="D90" t="str">
            <v>Standard</v>
          </cell>
          <cell r="E90" t="str">
            <v>ground</v>
          </cell>
          <cell r="G90">
            <v>35</v>
          </cell>
          <cell r="H90">
            <v>100</v>
          </cell>
          <cell r="I90">
            <v>50</v>
          </cell>
          <cell r="J90">
            <v>50</v>
          </cell>
          <cell r="K90">
            <v>70</v>
          </cell>
          <cell r="L90">
            <v>120</v>
          </cell>
          <cell r="M90">
            <v>425</v>
          </cell>
          <cell r="N90" t="str">
            <v>sand-veil</v>
          </cell>
          <cell r="O90" t="str">
            <v>arena-trap</v>
          </cell>
          <cell r="P90" t="str">
            <v>sand-force</v>
          </cell>
          <cell r="Q90">
            <v>0.7</v>
          </cell>
          <cell r="R90">
            <v>33.299999999999997</v>
          </cell>
          <cell r="S90" t="str">
            <v>A team of DIGLETT triplets. It triggers huge earthquakes by burrowing 60 miles underground.</v>
          </cell>
          <cell r="T90" t="str">
            <v>https://raw.githubusercontent.com/PokeAPI/sprites/master/sprites/pokemon/other/official-artwork/51.png</v>
          </cell>
          <cell r="U90" t="str">
            <v>https://raw.githubusercontent.com/PokeAPI/sprites/master/sprites/pokemon/other/official-artwork/shiny/51.png</v>
          </cell>
        </row>
        <row r="91">
          <cell r="A91">
            <v>51</v>
          </cell>
          <cell r="C91" t="str">
            <v>Dugtrio Alola</v>
          </cell>
          <cell r="D91" t="str">
            <v>Regional</v>
          </cell>
          <cell r="E91" t="str">
            <v>ground</v>
          </cell>
          <cell r="F91" t="str">
            <v>steel</v>
          </cell>
          <cell r="G91">
            <v>35</v>
          </cell>
          <cell r="H91">
            <v>100</v>
          </cell>
          <cell r="I91">
            <v>60</v>
          </cell>
          <cell r="J91">
            <v>50</v>
          </cell>
          <cell r="K91">
            <v>70</v>
          </cell>
          <cell r="L91">
            <v>110</v>
          </cell>
          <cell r="M91">
            <v>425</v>
          </cell>
          <cell r="N91" t="str">
            <v>sand-veil</v>
          </cell>
          <cell r="O91" t="str">
            <v>tangling-hair</v>
          </cell>
          <cell r="P91" t="str">
            <v>sand-force</v>
          </cell>
          <cell r="Q91">
            <v>0.7</v>
          </cell>
          <cell r="R91">
            <v>66.599999999999994</v>
          </cell>
          <cell r="S91" t="str">
            <v>A team of DIGLETT triplets. It triggers huge earthquakes by burrowing 60 miles underground.</v>
          </cell>
          <cell r="T91" t="str">
            <v>https://raw.githubusercontent.com/PokeAPI/sprites/master/sprites/pokemon/other/official-artwork/10106.png</v>
          </cell>
          <cell r="U91" t="str">
            <v>https://raw.githubusercontent.com/PokeAPI/sprites/master/sprites/pokemon/other/official-artwork/shiny/10106.png</v>
          </cell>
        </row>
        <row r="92">
          <cell r="A92">
            <v>52</v>
          </cell>
          <cell r="C92" t="str">
            <v>Meowth</v>
          </cell>
          <cell r="D92" t="str">
            <v>Standard</v>
          </cell>
          <cell r="E92" t="str">
            <v>normal</v>
          </cell>
          <cell r="G92">
            <v>40</v>
          </cell>
          <cell r="H92">
            <v>45</v>
          </cell>
          <cell r="I92">
            <v>35</v>
          </cell>
          <cell r="J92">
            <v>40</v>
          </cell>
          <cell r="K92">
            <v>40</v>
          </cell>
          <cell r="L92">
            <v>90</v>
          </cell>
          <cell r="M92">
            <v>290</v>
          </cell>
          <cell r="N92" t="str">
            <v>pickup</v>
          </cell>
          <cell r="O92" t="str">
            <v>technician</v>
          </cell>
          <cell r="P92" t="str">
            <v>unnerve</v>
          </cell>
          <cell r="Q92">
            <v>0.4</v>
          </cell>
          <cell r="R92">
            <v>4.2</v>
          </cell>
          <cell r="S92" t="str">
            <v>It washes its face regularly to keep the coin on its forehead spotless. It doesn’t get along with Galarian Meowth.</v>
          </cell>
          <cell r="T92" t="str">
            <v>https://raw.githubusercontent.com/PokeAPI/sprites/master/sprites/pokemon/other/official-artwork/52.png</v>
          </cell>
          <cell r="U92" t="str">
            <v>https://raw.githubusercontent.com/PokeAPI/sprites/master/sprites/pokemon/other/official-artwork/shiny/52.png</v>
          </cell>
        </row>
        <row r="93">
          <cell r="A93">
            <v>52</v>
          </cell>
          <cell r="C93" t="str">
            <v>Meowth Alola</v>
          </cell>
          <cell r="D93" t="str">
            <v>Regional</v>
          </cell>
          <cell r="E93" t="str">
            <v>dark</v>
          </cell>
          <cell r="G93">
            <v>40</v>
          </cell>
          <cell r="H93">
            <v>35</v>
          </cell>
          <cell r="I93">
            <v>35</v>
          </cell>
          <cell r="J93">
            <v>50</v>
          </cell>
          <cell r="K93">
            <v>40</v>
          </cell>
          <cell r="L93">
            <v>90</v>
          </cell>
          <cell r="M93">
            <v>290</v>
          </cell>
          <cell r="N93" t="str">
            <v>pickup</v>
          </cell>
          <cell r="O93" t="str">
            <v>technician</v>
          </cell>
          <cell r="P93" t="str">
            <v>rattled</v>
          </cell>
          <cell r="Q93">
            <v>0.4</v>
          </cell>
          <cell r="R93">
            <v>4.2</v>
          </cell>
          <cell r="S93" t="str">
            <v>It washes its face regularly to keep the coin on its forehead spotless. It doesn’t get along with Galarian Meowth.</v>
          </cell>
          <cell r="T93" t="str">
            <v>https://raw.githubusercontent.com/PokeAPI/sprites/master/sprites/pokemon/other/official-artwork/10107.png</v>
          </cell>
          <cell r="U93" t="str">
            <v>https://raw.githubusercontent.com/PokeAPI/sprites/master/sprites/pokemon/other/official-artwork/shiny/10107.png</v>
          </cell>
        </row>
        <row r="94">
          <cell r="A94">
            <v>52</v>
          </cell>
          <cell r="C94" t="str">
            <v>Meowth Galar</v>
          </cell>
          <cell r="D94" t="str">
            <v>Regional</v>
          </cell>
          <cell r="E94" t="str">
            <v>steel</v>
          </cell>
          <cell r="G94">
            <v>50</v>
          </cell>
          <cell r="H94">
            <v>65</v>
          </cell>
          <cell r="I94">
            <v>55</v>
          </cell>
          <cell r="J94">
            <v>40</v>
          </cell>
          <cell r="K94">
            <v>40</v>
          </cell>
          <cell r="L94">
            <v>40</v>
          </cell>
          <cell r="M94">
            <v>290</v>
          </cell>
          <cell r="N94" t="str">
            <v>pickup</v>
          </cell>
          <cell r="O94" t="str">
            <v>tough-claws</v>
          </cell>
          <cell r="P94" t="str">
            <v>unnerve</v>
          </cell>
          <cell r="Q94">
            <v>0.4</v>
          </cell>
          <cell r="R94">
            <v>7.5</v>
          </cell>
          <cell r="S94" t="str">
            <v>It washes its face regularly to keep the coin on its forehead spotless. It doesn’t get along with Galarian Meowth.</v>
          </cell>
          <cell r="T94" t="str">
            <v>https://raw.githubusercontent.com/PokeAPI/sprites/master/sprites/pokemon/other/official-artwork/10161.png</v>
          </cell>
          <cell r="U94" t="str">
            <v>https://raw.githubusercontent.com/PokeAPI/sprites/master/sprites/pokemon/other/official-artwork/shiny/10161.png</v>
          </cell>
        </row>
        <row r="95">
          <cell r="A95">
            <v>52</v>
          </cell>
          <cell r="C95" t="str">
            <v>Meowth Gmax</v>
          </cell>
          <cell r="D95" t="str">
            <v>Gigantamax</v>
          </cell>
          <cell r="E95" t="str">
            <v>normal</v>
          </cell>
          <cell r="G95">
            <v>40</v>
          </cell>
          <cell r="H95">
            <v>45</v>
          </cell>
          <cell r="I95">
            <v>35</v>
          </cell>
          <cell r="J95">
            <v>40</v>
          </cell>
          <cell r="K95">
            <v>40</v>
          </cell>
          <cell r="L95">
            <v>90</v>
          </cell>
          <cell r="M95">
            <v>290</v>
          </cell>
          <cell r="N95" t="str">
            <v>pickup</v>
          </cell>
          <cell r="O95" t="str">
            <v>technician</v>
          </cell>
          <cell r="P95" t="str">
            <v>unnerve</v>
          </cell>
          <cell r="Q95">
            <v>33</v>
          </cell>
          <cell r="R95">
            <v>1000</v>
          </cell>
          <cell r="S95" t="str">
            <v>It washes its face regularly to keep the coin on its forehead spotless. It doesn’t get along with Galarian Meowth.</v>
          </cell>
          <cell r="T95" t="str">
            <v>https://raw.githubusercontent.com/PokeAPI/sprites/master/sprites/pokemon/other/official-artwork/10200.png</v>
          </cell>
          <cell r="U95" t="str">
            <v>https://raw.githubusercontent.com/PokeAPI/sprites/master/sprites/pokemon/other/official-artwork/shiny/10200.png</v>
          </cell>
        </row>
        <row r="96">
          <cell r="A96">
            <v>53</v>
          </cell>
          <cell r="C96" t="str">
            <v>Persian</v>
          </cell>
          <cell r="D96" t="str">
            <v>Standard</v>
          </cell>
          <cell r="E96" t="str">
            <v>normal</v>
          </cell>
          <cell r="G96">
            <v>65</v>
          </cell>
          <cell r="H96">
            <v>70</v>
          </cell>
          <cell r="I96">
            <v>60</v>
          </cell>
          <cell r="J96">
            <v>65</v>
          </cell>
          <cell r="K96">
            <v>65</v>
          </cell>
          <cell r="L96">
            <v>115</v>
          </cell>
          <cell r="M96">
            <v>440</v>
          </cell>
          <cell r="N96" t="str">
            <v>limber</v>
          </cell>
          <cell r="O96" t="str">
            <v>technician</v>
          </cell>
          <cell r="P96" t="str">
            <v>unnerve</v>
          </cell>
          <cell r="Q96">
            <v>1</v>
          </cell>
          <cell r="R96">
            <v>32</v>
          </cell>
          <cell r="S96" t="str">
            <v>Although its fur has many admirers, it is tough to raise as a pet because of its fickle meanness.</v>
          </cell>
          <cell r="T96" t="str">
            <v>https://raw.githubusercontent.com/PokeAPI/sprites/master/sprites/pokemon/other/official-artwork/53.png</v>
          </cell>
          <cell r="U96" t="str">
            <v>https://raw.githubusercontent.com/PokeAPI/sprites/master/sprites/pokemon/other/official-artwork/shiny/53.png</v>
          </cell>
        </row>
        <row r="97">
          <cell r="A97">
            <v>53</v>
          </cell>
          <cell r="C97" t="str">
            <v>Persian Alola</v>
          </cell>
          <cell r="D97" t="str">
            <v>Regional</v>
          </cell>
          <cell r="E97" t="str">
            <v>dark</v>
          </cell>
          <cell r="G97">
            <v>65</v>
          </cell>
          <cell r="H97">
            <v>60</v>
          </cell>
          <cell r="I97">
            <v>60</v>
          </cell>
          <cell r="J97">
            <v>75</v>
          </cell>
          <cell r="K97">
            <v>65</v>
          </cell>
          <cell r="L97">
            <v>115</v>
          </cell>
          <cell r="M97">
            <v>440</v>
          </cell>
          <cell r="N97" t="str">
            <v>fur-coat</v>
          </cell>
          <cell r="O97" t="str">
            <v>technician</v>
          </cell>
          <cell r="P97" t="str">
            <v>rattled</v>
          </cell>
          <cell r="Q97">
            <v>1.1000000000000001</v>
          </cell>
          <cell r="R97">
            <v>33</v>
          </cell>
          <cell r="S97" t="str">
            <v>Although its fur has many admirers, it is tough to raise as a pet because of its fickle meanness.</v>
          </cell>
          <cell r="T97" t="str">
            <v>https://raw.githubusercontent.com/PokeAPI/sprites/master/sprites/pokemon/other/official-artwork/10108.png</v>
          </cell>
          <cell r="U97" t="str">
            <v>https://raw.githubusercontent.com/PokeAPI/sprites/master/sprites/pokemon/other/official-artwork/shiny/10108.png</v>
          </cell>
        </row>
        <row r="98">
          <cell r="A98">
            <v>54</v>
          </cell>
          <cell r="C98" t="str">
            <v>Psyduck</v>
          </cell>
          <cell r="D98" t="str">
            <v>Standard</v>
          </cell>
          <cell r="E98" t="str">
            <v>water</v>
          </cell>
          <cell r="G98">
            <v>50</v>
          </cell>
          <cell r="H98">
            <v>52</v>
          </cell>
          <cell r="I98">
            <v>48</v>
          </cell>
          <cell r="J98">
            <v>65</v>
          </cell>
          <cell r="K98">
            <v>50</v>
          </cell>
          <cell r="L98">
            <v>55</v>
          </cell>
          <cell r="M98">
            <v>320</v>
          </cell>
          <cell r="N98" t="str">
            <v>damp</v>
          </cell>
          <cell r="O98" t="str">
            <v>cloud-nine</v>
          </cell>
          <cell r="P98" t="str">
            <v>swift-swim</v>
          </cell>
          <cell r="Q98">
            <v>0.8</v>
          </cell>
          <cell r="R98">
            <v>19.600000000000001</v>
          </cell>
          <cell r="S98" t="str">
            <v>While lulling its enemies with its vacant look, this wily POKéMON will use psychokinetic powers.</v>
          </cell>
          <cell r="T98" t="str">
            <v>https://raw.githubusercontent.com/PokeAPI/sprites/master/sprites/pokemon/other/official-artwork/54.png</v>
          </cell>
          <cell r="U98" t="str">
            <v>https://raw.githubusercontent.com/PokeAPI/sprites/master/sprites/pokemon/other/official-artwork/shiny/54.png</v>
          </cell>
        </row>
        <row r="99">
          <cell r="A99">
            <v>55</v>
          </cell>
          <cell r="C99" t="str">
            <v>Golduck</v>
          </cell>
          <cell r="D99" t="str">
            <v>Standard</v>
          </cell>
          <cell r="E99" t="str">
            <v>water</v>
          </cell>
          <cell r="G99">
            <v>80</v>
          </cell>
          <cell r="H99">
            <v>82</v>
          </cell>
          <cell r="I99">
            <v>78</v>
          </cell>
          <cell r="J99">
            <v>95</v>
          </cell>
          <cell r="K99">
            <v>80</v>
          </cell>
          <cell r="L99">
            <v>85</v>
          </cell>
          <cell r="M99">
            <v>500</v>
          </cell>
          <cell r="N99" t="str">
            <v>damp</v>
          </cell>
          <cell r="O99" t="str">
            <v>cloud-nine</v>
          </cell>
          <cell r="P99" t="str">
            <v>swift-swim</v>
          </cell>
          <cell r="Q99">
            <v>1.7</v>
          </cell>
          <cell r="R99">
            <v>76.599999999999994</v>
          </cell>
          <cell r="S99" t="str">
            <v>Often seen swim­ ming elegantly by lake shores. It is often mistaken for the Japanese monster, Kappa.</v>
          </cell>
          <cell r="T99" t="str">
            <v>https://raw.githubusercontent.com/PokeAPI/sprites/master/sprites/pokemon/other/official-artwork/55.png</v>
          </cell>
          <cell r="U99" t="str">
            <v>https://raw.githubusercontent.com/PokeAPI/sprites/master/sprites/pokemon/other/official-artwork/shiny/55.png</v>
          </cell>
        </row>
        <row r="100">
          <cell r="A100">
            <v>56</v>
          </cell>
          <cell r="C100" t="str">
            <v>Mankey</v>
          </cell>
          <cell r="D100" t="str">
            <v>Standard</v>
          </cell>
          <cell r="E100" t="str">
            <v>fighting</v>
          </cell>
          <cell r="G100">
            <v>40</v>
          </cell>
          <cell r="H100">
            <v>80</v>
          </cell>
          <cell r="I100">
            <v>35</v>
          </cell>
          <cell r="J100">
            <v>35</v>
          </cell>
          <cell r="K100">
            <v>45</v>
          </cell>
          <cell r="L100">
            <v>70</v>
          </cell>
          <cell r="M100">
            <v>305</v>
          </cell>
          <cell r="N100" t="str">
            <v>vital-spirit</v>
          </cell>
          <cell r="O100" t="str">
            <v>anger-point</v>
          </cell>
          <cell r="P100" t="str">
            <v>defiant</v>
          </cell>
          <cell r="Q100">
            <v>0.5</v>
          </cell>
          <cell r="R100">
            <v>28</v>
          </cell>
          <cell r="S100" t="str">
            <v>Extremely quick to anger. It could be docile one moment then thrashing away the next instant.</v>
          </cell>
          <cell r="T100" t="str">
            <v>https://raw.githubusercontent.com/PokeAPI/sprites/master/sprites/pokemon/other/official-artwork/56.png</v>
          </cell>
          <cell r="U100" t="str">
            <v>https://raw.githubusercontent.com/PokeAPI/sprites/master/sprites/pokemon/other/official-artwork/shiny/56.png</v>
          </cell>
        </row>
        <row r="101">
          <cell r="A101">
            <v>57</v>
          </cell>
          <cell r="C101" t="str">
            <v>Primeape</v>
          </cell>
          <cell r="D101" t="str">
            <v>Standard</v>
          </cell>
          <cell r="E101" t="str">
            <v>fighting</v>
          </cell>
          <cell r="G101">
            <v>65</v>
          </cell>
          <cell r="H101">
            <v>105</v>
          </cell>
          <cell r="I101">
            <v>60</v>
          </cell>
          <cell r="J101">
            <v>60</v>
          </cell>
          <cell r="K101">
            <v>70</v>
          </cell>
          <cell r="L101">
            <v>95</v>
          </cell>
          <cell r="M101">
            <v>455</v>
          </cell>
          <cell r="N101" t="str">
            <v>vital-spirit</v>
          </cell>
          <cell r="O101" t="str">
            <v>anger-point</v>
          </cell>
          <cell r="P101" t="str">
            <v>defiant</v>
          </cell>
          <cell r="Q101">
            <v>1</v>
          </cell>
          <cell r="R101">
            <v>32</v>
          </cell>
          <cell r="S101" t="str">
            <v>Always furious and tenacious to boot. It will not abandon chasing its quarry until it is caught.</v>
          </cell>
          <cell r="T101" t="str">
            <v>https://raw.githubusercontent.com/PokeAPI/sprites/master/sprites/pokemon/other/official-artwork/57.png</v>
          </cell>
          <cell r="U101" t="str">
            <v>https://raw.githubusercontent.com/PokeAPI/sprites/master/sprites/pokemon/other/official-artwork/shiny/57.png</v>
          </cell>
        </row>
        <row r="102">
          <cell r="A102">
            <v>58</v>
          </cell>
          <cell r="C102" t="str">
            <v>Growlithe</v>
          </cell>
          <cell r="D102" t="str">
            <v>Standard</v>
          </cell>
          <cell r="E102" t="str">
            <v>fire</v>
          </cell>
          <cell r="G102">
            <v>55</v>
          </cell>
          <cell r="H102">
            <v>70</v>
          </cell>
          <cell r="I102">
            <v>45</v>
          </cell>
          <cell r="J102">
            <v>70</v>
          </cell>
          <cell r="K102">
            <v>50</v>
          </cell>
          <cell r="L102">
            <v>60</v>
          </cell>
          <cell r="M102">
            <v>350</v>
          </cell>
          <cell r="N102" t="str">
            <v>intimidate</v>
          </cell>
          <cell r="O102" t="str">
            <v>flash-fire</v>
          </cell>
          <cell r="P102" t="str">
            <v>justified</v>
          </cell>
          <cell r="Q102">
            <v>0.7</v>
          </cell>
          <cell r="R102">
            <v>19</v>
          </cell>
          <cell r="S102" t="str">
            <v>Very protective of its territory. It will bark and bite to repel intruders from its space.</v>
          </cell>
          <cell r="T102" t="str">
            <v>https://raw.githubusercontent.com/PokeAPI/sprites/master/sprites/pokemon/other/official-artwork/58.png</v>
          </cell>
          <cell r="U102" t="str">
            <v>https://raw.githubusercontent.com/PokeAPI/sprites/master/sprites/pokemon/other/official-artwork/shiny/58.png</v>
          </cell>
        </row>
        <row r="103">
          <cell r="A103">
            <v>58</v>
          </cell>
          <cell r="C103" t="str">
            <v>Growlithe Hisui</v>
          </cell>
          <cell r="D103" t="str">
            <v>Regional</v>
          </cell>
          <cell r="E103" t="str">
            <v>fire</v>
          </cell>
          <cell r="F103" t="str">
            <v>rock</v>
          </cell>
          <cell r="G103">
            <v>60</v>
          </cell>
          <cell r="H103">
            <v>75</v>
          </cell>
          <cell r="I103">
            <v>45</v>
          </cell>
          <cell r="J103">
            <v>65</v>
          </cell>
          <cell r="K103">
            <v>50</v>
          </cell>
          <cell r="L103">
            <v>55</v>
          </cell>
          <cell r="M103">
            <v>350</v>
          </cell>
          <cell r="N103" t="str">
            <v>intimidate</v>
          </cell>
          <cell r="O103" t="str">
            <v>flash-fire</v>
          </cell>
          <cell r="P103" t="str">
            <v>rock-head</v>
          </cell>
          <cell r="Q103">
            <v>0.8</v>
          </cell>
          <cell r="R103">
            <v>22.7</v>
          </cell>
          <cell r="S103" t="str">
            <v>Very protective of its territory. It will bark and bite to repel intruders from its space.</v>
          </cell>
          <cell r="T103" t="str">
            <v>https://raw.githubusercontent.com/PokeAPI/sprites/master/sprites/pokemon/other/official-artwork/10229.png</v>
          </cell>
          <cell r="U103" t="str">
            <v>https://raw.githubusercontent.com/PokeAPI/sprites/master/sprites/pokemon/other/official-artwork/shiny/10229.png</v>
          </cell>
        </row>
        <row r="104">
          <cell r="A104">
            <v>59</v>
          </cell>
          <cell r="C104" t="str">
            <v>Arcanine</v>
          </cell>
          <cell r="D104" t="str">
            <v>Standard</v>
          </cell>
          <cell r="E104" t="str">
            <v>fire</v>
          </cell>
          <cell r="G104">
            <v>90</v>
          </cell>
          <cell r="H104">
            <v>110</v>
          </cell>
          <cell r="I104">
            <v>80</v>
          </cell>
          <cell r="J104">
            <v>100</v>
          </cell>
          <cell r="K104">
            <v>80</v>
          </cell>
          <cell r="L104">
            <v>95</v>
          </cell>
          <cell r="M104">
            <v>555</v>
          </cell>
          <cell r="N104" t="str">
            <v>intimidate</v>
          </cell>
          <cell r="O104" t="str">
            <v>flash-fire</v>
          </cell>
          <cell r="P104" t="str">
            <v>justified</v>
          </cell>
          <cell r="Q104">
            <v>1.9</v>
          </cell>
          <cell r="R104">
            <v>155</v>
          </cell>
          <cell r="S104" t="str">
            <v>A POKéMON that has been admired since the past for its beauty. It runs agilely as if on wings.</v>
          </cell>
          <cell r="T104" t="str">
            <v>https://raw.githubusercontent.com/PokeAPI/sprites/master/sprites/pokemon/other/official-artwork/59.png</v>
          </cell>
          <cell r="U104" t="str">
            <v>https://raw.githubusercontent.com/PokeAPI/sprites/master/sprites/pokemon/other/official-artwork/shiny/59.png</v>
          </cell>
        </row>
        <row r="105">
          <cell r="A105">
            <v>59</v>
          </cell>
          <cell r="C105" t="str">
            <v>Arcanine Hisui</v>
          </cell>
          <cell r="D105" t="str">
            <v>Regional</v>
          </cell>
          <cell r="E105" t="str">
            <v>fire</v>
          </cell>
          <cell r="F105" t="str">
            <v>rock</v>
          </cell>
          <cell r="G105">
            <v>95</v>
          </cell>
          <cell r="H105">
            <v>115</v>
          </cell>
          <cell r="I105">
            <v>80</v>
          </cell>
          <cell r="J105">
            <v>95</v>
          </cell>
          <cell r="K105">
            <v>80</v>
          </cell>
          <cell r="L105">
            <v>90</v>
          </cell>
          <cell r="M105">
            <v>555</v>
          </cell>
          <cell r="N105" t="str">
            <v>intimidate</v>
          </cell>
          <cell r="O105" t="str">
            <v>flash-fire</v>
          </cell>
          <cell r="P105" t="str">
            <v>rock-head</v>
          </cell>
          <cell r="Q105">
            <v>2</v>
          </cell>
          <cell r="R105">
            <v>168</v>
          </cell>
          <cell r="S105" t="str">
            <v>A POKéMON that has been admired since the past for its beauty. It runs agilely as if on wings.</v>
          </cell>
          <cell r="T105" t="str">
            <v>https://raw.githubusercontent.com/PokeAPI/sprites/master/sprites/pokemon/other/official-artwork/10230.png</v>
          </cell>
          <cell r="U105" t="str">
            <v>https://raw.githubusercontent.com/PokeAPI/sprites/master/sprites/pokemon/other/official-artwork/shiny/10230.png</v>
          </cell>
        </row>
        <row r="106">
          <cell r="A106">
            <v>60</v>
          </cell>
          <cell r="C106" t="str">
            <v>Poliwag</v>
          </cell>
          <cell r="D106" t="str">
            <v>Standard</v>
          </cell>
          <cell r="E106" t="str">
            <v>water</v>
          </cell>
          <cell r="G106">
            <v>40</v>
          </cell>
          <cell r="H106">
            <v>50</v>
          </cell>
          <cell r="I106">
            <v>40</v>
          </cell>
          <cell r="J106">
            <v>40</v>
          </cell>
          <cell r="K106">
            <v>40</v>
          </cell>
          <cell r="L106">
            <v>90</v>
          </cell>
          <cell r="M106">
            <v>300</v>
          </cell>
          <cell r="N106" t="str">
            <v>water-absorb</v>
          </cell>
          <cell r="O106" t="str">
            <v>damp</v>
          </cell>
          <cell r="P106" t="str">
            <v>swift-swim</v>
          </cell>
          <cell r="Q106">
            <v>0.6</v>
          </cell>
          <cell r="R106">
            <v>12.4</v>
          </cell>
          <cell r="S106" t="str">
            <v>Its newly grown legs prevent it from running. It appears to prefer swimming than trying to stand.</v>
          </cell>
          <cell r="T106" t="str">
            <v>https://raw.githubusercontent.com/PokeAPI/sprites/master/sprites/pokemon/other/official-artwork/60.png</v>
          </cell>
          <cell r="U106" t="str">
            <v>https://raw.githubusercontent.com/PokeAPI/sprites/master/sprites/pokemon/other/official-artwork/shiny/60.png</v>
          </cell>
        </row>
        <row r="107">
          <cell r="A107">
            <v>61</v>
          </cell>
          <cell r="C107" t="str">
            <v>Poliwhirl</v>
          </cell>
          <cell r="D107" t="str">
            <v>Standard</v>
          </cell>
          <cell r="E107" t="str">
            <v>water</v>
          </cell>
          <cell r="G107">
            <v>65</v>
          </cell>
          <cell r="H107">
            <v>65</v>
          </cell>
          <cell r="I107">
            <v>65</v>
          </cell>
          <cell r="J107">
            <v>50</v>
          </cell>
          <cell r="K107">
            <v>50</v>
          </cell>
          <cell r="L107">
            <v>90</v>
          </cell>
          <cell r="M107">
            <v>385</v>
          </cell>
          <cell r="N107" t="str">
            <v>water-absorb</v>
          </cell>
          <cell r="O107" t="str">
            <v>damp</v>
          </cell>
          <cell r="P107" t="str">
            <v>swift-swim</v>
          </cell>
          <cell r="Q107">
            <v>1</v>
          </cell>
          <cell r="R107">
            <v>20</v>
          </cell>
          <cell r="S107" t="str">
            <v>Capable of living in or out of water. When out of water, it sweats to keep its body slimy.</v>
          </cell>
          <cell r="T107" t="str">
            <v>https://raw.githubusercontent.com/PokeAPI/sprites/master/sprites/pokemon/other/official-artwork/61.png</v>
          </cell>
          <cell r="U107" t="str">
            <v>https://raw.githubusercontent.com/PokeAPI/sprites/master/sprites/pokemon/other/official-artwork/shiny/61.png</v>
          </cell>
        </row>
        <row r="108">
          <cell r="A108">
            <v>62</v>
          </cell>
          <cell r="C108" t="str">
            <v>Poliwrath</v>
          </cell>
          <cell r="D108" t="str">
            <v>Standard</v>
          </cell>
          <cell r="E108" t="str">
            <v>water</v>
          </cell>
          <cell r="F108" t="str">
            <v>fighting</v>
          </cell>
          <cell r="G108">
            <v>90</v>
          </cell>
          <cell r="H108">
            <v>95</v>
          </cell>
          <cell r="I108">
            <v>95</v>
          </cell>
          <cell r="J108">
            <v>70</v>
          </cell>
          <cell r="K108">
            <v>90</v>
          </cell>
          <cell r="L108">
            <v>70</v>
          </cell>
          <cell r="M108">
            <v>510</v>
          </cell>
          <cell r="N108" t="str">
            <v>water-absorb</v>
          </cell>
          <cell r="O108" t="str">
            <v>damp</v>
          </cell>
          <cell r="P108" t="str">
            <v>swift-swim</v>
          </cell>
          <cell r="Q108">
            <v>1.3</v>
          </cell>
          <cell r="R108">
            <v>54</v>
          </cell>
          <cell r="S108" t="str">
            <v>An adept swimmer at both the front crawl and breast stroke. Easily overtakes the best human swimmers.</v>
          </cell>
          <cell r="T108" t="str">
            <v>https://raw.githubusercontent.com/PokeAPI/sprites/master/sprites/pokemon/other/official-artwork/62.png</v>
          </cell>
          <cell r="U108" t="str">
            <v>https://raw.githubusercontent.com/PokeAPI/sprites/master/sprites/pokemon/other/official-artwork/shiny/62.png</v>
          </cell>
        </row>
        <row r="109">
          <cell r="A109">
            <v>63</v>
          </cell>
          <cell r="C109" t="str">
            <v>Abra</v>
          </cell>
          <cell r="D109" t="str">
            <v>Standard</v>
          </cell>
          <cell r="E109" t="str">
            <v>psychic</v>
          </cell>
          <cell r="G109">
            <v>25</v>
          </cell>
          <cell r="H109">
            <v>20</v>
          </cell>
          <cell r="I109">
            <v>15</v>
          </cell>
          <cell r="J109">
            <v>105</v>
          </cell>
          <cell r="K109">
            <v>55</v>
          </cell>
          <cell r="L109">
            <v>90</v>
          </cell>
          <cell r="M109">
            <v>310</v>
          </cell>
          <cell r="N109" t="str">
            <v>synchronize</v>
          </cell>
          <cell r="O109" t="str">
            <v>inner-focus</v>
          </cell>
          <cell r="P109" t="str">
            <v>magic-guard</v>
          </cell>
          <cell r="Q109">
            <v>0.9</v>
          </cell>
          <cell r="R109">
            <v>19.5</v>
          </cell>
          <cell r="S109" t="str">
            <v>Using its ability to read minds, it will identify impending danger and TELEPORT to safety.</v>
          </cell>
          <cell r="T109" t="str">
            <v>https://raw.githubusercontent.com/PokeAPI/sprites/master/sprites/pokemon/other/official-artwork/63.png</v>
          </cell>
          <cell r="U109" t="str">
            <v>https://raw.githubusercontent.com/PokeAPI/sprites/master/sprites/pokemon/other/official-artwork/shiny/63.png</v>
          </cell>
        </row>
        <row r="110">
          <cell r="A110">
            <v>64</v>
          </cell>
          <cell r="C110" t="str">
            <v>Kadabra</v>
          </cell>
          <cell r="D110" t="str">
            <v>Standard</v>
          </cell>
          <cell r="E110" t="str">
            <v>psychic</v>
          </cell>
          <cell r="G110">
            <v>40</v>
          </cell>
          <cell r="H110">
            <v>35</v>
          </cell>
          <cell r="I110">
            <v>30</v>
          </cell>
          <cell r="J110">
            <v>120</v>
          </cell>
          <cell r="K110">
            <v>70</v>
          </cell>
          <cell r="L110">
            <v>105</v>
          </cell>
          <cell r="M110">
            <v>400</v>
          </cell>
          <cell r="N110" t="str">
            <v>synchronize</v>
          </cell>
          <cell r="O110" t="str">
            <v>inner-focus</v>
          </cell>
          <cell r="P110" t="str">
            <v>magic-guard</v>
          </cell>
          <cell r="Q110">
            <v>1.3</v>
          </cell>
          <cell r="R110">
            <v>56.5</v>
          </cell>
          <cell r="S110" t="str">
            <v>It emits special alpha waves from its body that induce headaches just by being close by.</v>
          </cell>
          <cell r="T110" t="str">
            <v>https://raw.githubusercontent.com/PokeAPI/sprites/master/sprites/pokemon/other/official-artwork/64.png</v>
          </cell>
          <cell r="U110" t="str">
            <v>https://raw.githubusercontent.com/PokeAPI/sprites/master/sprites/pokemon/other/official-artwork/shiny/64.png</v>
          </cell>
        </row>
        <row r="111">
          <cell r="A111">
            <v>65</v>
          </cell>
          <cell r="C111" t="str">
            <v>Alakazam</v>
          </cell>
          <cell r="D111" t="str">
            <v>Standard</v>
          </cell>
          <cell r="E111" t="str">
            <v>psychic</v>
          </cell>
          <cell r="G111">
            <v>55</v>
          </cell>
          <cell r="H111">
            <v>50</v>
          </cell>
          <cell r="I111">
            <v>45</v>
          </cell>
          <cell r="J111">
            <v>135</v>
          </cell>
          <cell r="K111">
            <v>95</v>
          </cell>
          <cell r="L111">
            <v>120</v>
          </cell>
          <cell r="M111">
            <v>500</v>
          </cell>
          <cell r="N111" t="str">
            <v>synchronize</v>
          </cell>
          <cell r="O111" t="str">
            <v>inner-focus</v>
          </cell>
          <cell r="P111" t="str">
            <v>magic-guard</v>
          </cell>
          <cell r="Q111">
            <v>1.5</v>
          </cell>
          <cell r="R111">
            <v>48</v>
          </cell>
          <cell r="S111" t="str">
            <v>Its brain can out­ perform a super­ computer. Its intelligence quotient is said to be 5,000.</v>
          </cell>
          <cell r="T111" t="str">
            <v>https://raw.githubusercontent.com/PokeAPI/sprites/master/sprites/pokemon/other/official-artwork/65.png</v>
          </cell>
          <cell r="U111" t="str">
            <v>https://raw.githubusercontent.com/PokeAPI/sprites/master/sprites/pokemon/other/official-artwork/shiny/65.png</v>
          </cell>
        </row>
        <row r="112">
          <cell r="A112">
            <v>65</v>
          </cell>
          <cell r="C112" t="str">
            <v>Alakazam Mega</v>
          </cell>
          <cell r="D112" t="str">
            <v>Mega</v>
          </cell>
          <cell r="E112" t="str">
            <v>psychic</v>
          </cell>
          <cell r="G112">
            <v>55</v>
          </cell>
          <cell r="H112">
            <v>50</v>
          </cell>
          <cell r="I112">
            <v>65</v>
          </cell>
          <cell r="J112">
            <v>175</v>
          </cell>
          <cell r="K112">
            <v>105</v>
          </cell>
          <cell r="L112">
            <v>150</v>
          </cell>
          <cell r="M112">
            <v>600</v>
          </cell>
          <cell r="N112" t="str">
            <v>trace</v>
          </cell>
          <cell r="Q112">
            <v>1.2</v>
          </cell>
          <cell r="R112">
            <v>48</v>
          </cell>
          <cell r="S112" t="str">
            <v>Its brain can out­ perform a super­ computer. Its intelligence quotient is said to be 5,000.</v>
          </cell>
          <cell r="T112" t="str">
            <v>https://raw.githubusercontent.com/PokeAPI/sprites/master/sprites/pokemon/other/official-artwork/10037.png</v>
          </cell>
          <cell r="U112" t="str">
            <v>https://raw.githubusercontent.com/PokeAPI/sprites/master/sprites/pokemon/other/official-artwork/shiny/10037.png</v>
          </cell>
        </row>
        <row r="113">
          <cell r="A113">
            <v>66</v>
          </cell>
          <cell r="C113" t="str">
            <v>Machop</v>
          </cell>
          <cell r="D113" t="str">
            <v>Standard</v>
          </cell>
          <cell r="E113" t="str">
            <v>fighting</v>
          </cell>
          <cell r="G113">
            <v>70</v>
          </cell>
          <cell r="H113">
            <v>80</v>
          </cell>
          <cell r="I113">
            <v>50</v>
          </cell>
          <cell r="J113">
            <v>35</v>
          </cell>
          <cell r="K113">
            <v>35</v>
          </cell>
          <cell r="L113">
            <v>35</v>
          </cell>
          <cell r="M113">
            <v>305</v>
          </cell>
          <cell r="N113" t="str">
            <v>guts</v>
          </cell>
          <cell r="O113" t="str">
            <v>no-guard</v>
          </cell>
          <cell r="P113" t="str">
            <v>steadfast</v>
          </cell>
          <cell r="Q113">
            <v>0.8</v>
          </cell>
          <cell r="R113">
            <v>19.5</v>
          </cell>
          <cell r="S113" t="str">
            <v>Loves to build its muscles. It trains in all styles of martial arts to become even stronger.</v>
          </cell>
          <cell r="T113" t="str">
            <v>https://raw.githubusercontent.com/PokeAPI/sprites/master/sprites/pokemon/other/official-artwork/66.png</v>
          </cell>
          <cell r="U113" t="str">
            <v>https://raw.githubusercontent.com/PokeAPI/sprites/master/sprites/pokemon/other/official-artwork/shiny/66.png</v>
          </cell>
        </row>
        <row r="114">
          <cell r="A114">
            <v>67</v>
          </cell>
          <cell r="C114" t="str">
            <v>Machoke</v>
          </cell>
          <cell r="D114" t="str">
            <v>Standard</v>
          </cell>
          <cell r="E114" t="str">
            <v>fighting</v>
          </cell>
          <cell r="G114">
            <v>80</v>
          </cell>
          <cell r="H114">
            <v>100</v>
          </cell>
          <cell r="I114">
            <v>70</v>
          </cell>
          <cell r="J114">
            <v>50</v>
          </cell>
          <cell r="K114">
            <v>60</v>
          </cell>
          <cell r="L114">
            <v>45</v>
          </cell>
          <cell r="M114">
            <v>405</v>
          </cell>
          <cell r="N114" t="str">
            <v>guts</v>
          </cell>
          <cell r="O114" t="str">
            <v>no-guard</v>
          </cell>
          <cell r="P114" t="str">
            <v>steadfast</v>
          </cell>
          <cell r="Q114">
            <v>1.5</v>
          </cell>
          <cell r="R114">
            <v>70.5</v>
          </cell>
          <cell r="S114" t="str">
            <v>Its muscular body is so powerful, it must wear a power save belt to be able to regulate its motions.</v>
          </cell>
          <cell r="T114" t="str">
            <v>https://raw.githubusercontent.com/PokeAPI/sprites/master/sprites/pokemon/other/official-artwork/67.png</v>
          </cell>
          <cell r="U114" t="str">
            <v>https://raw.githubusercontent.com/PokeAPI/sprites/master/sprites/pokemon/other/official-artwork/shiny/67.png</v>
          </cell>
        </row>
        <row r="115">
          <cell r="A115">
            <v>68</v>
          </cell>
          <cell r="C115" t="str">
            <v>Machamp</v>
          </cell>
          <cell r="D115" t="str">
            <v>Standard</v>
          </cell>
          <cell r="E115" t="str">
            <v>fighting</v>
          </cell>
          <cell r="G115">
            <v>90</v>
          </cell>
          <cell r="H115">
            <v>130</v>
          </cell>
          <cell r="I115">
            <v>80</v>
          </cell>
          <cell r="J115">
            <v>65</v>
          </cell>
          <cell r="K115">
            <v>85</v>
          </cell>
          <cell r="L115">
            <v>55</v>
          </cell>
          <cell r="M115">
            <v>505</v>
          </cell>
          <cell r="N115" t="str">
            <v>guts</v>
          </cell>
          <cell r="O115" t="str">
            <v>no-guard</v>
          </cell>
          <cell r="P115" t="str">
            <v>steadfast</v>
          </cell>
          <cell r="Q115">
            <v>1.6</v>
          </cell>
          <cell r="R115">
            <v>130</v>
          </cell>
          <cell r="S115" t="str">
            <v>Using its heavy muscles, it throws powerful punches that can send the victim clear over the horizon.</v>
          </cell>
          <cell r="T115" t="str">
            <v>https://raw.githubusercontent.com/PokeAPI/sprites/master/sprites/pokemon/other/official-artwork/68.png</v>
          </cell>
          <cell r="U115" t="str">
            <v>https://raw.githubusercontent.com/PokeAPI/sprites/master/sprites/pokemon/other/official-artwork/shiny/68.png</v>
          </cell>
        </row>
        <row r="116">
          <cell r="A116">
            <v>68</v>
          </cell>
          <cell r="C116" t="str">
            <v>Machamp Gmax</v>
          </cell>
          <cell r="D116" t="str">
            <v>Gigantamax</v>
          </cell>
          <cell r="E116" t="str">
            <v>fighting</v>
          </cell>
          <cell r="G116">
            <v>90</v>
          </cell>
          <cell r="H116">
            <v>130</v>
          </cell>
          <cell r="I116">
            <v>80</v>
          </cell>
          <cell r="J116">
            <v>65</v>
          </cell>
          <cell r="K116">
            <v>85</v>
          </cell>
          <cell r="L116">
            <v>55</v>
          </cell>
          <cell r="M116">
            <v>505</v>
          </cell>
          <cell r="N116" t="str">
            <v>guts</v>
          </cell>
          <cell r="O116" t="str">
            <v>no-guard</v>
          </cell>
          <cell r="P116" t="str">
            <v>steadfast</v>
          </cell>
          <cell r="Q116">
            <v>25</v>
          </cell>
          <cell r="R116">
            <v>1000</v>
          </cell>
          <cell r="S116" t="str">
            <v>Using its heavy muscles, it throws powerful punches that can send the victim clear over the horizon.</v>
          </cell>
          <cell r="T116" t="str">
            <v>https://raw.githubusercontent.com/PokeAPI/sprites/master/sprites/pokemon/other/official-artwork/10201.png</v>
          </cell>
          <cell r="U116" t="str">
            <v>https://raw.githubusercontent.com/PokeAPI/sprites/master/sprites/pokemon/other/official-artwork/shiny/10201.png</v>
          </cell>
        </row>
        <row r="117">
          <cell r="A117">
            <v>69</v>
          </cell>
          <cell r="C117" t="str">
            <v>Bellsprout</v>
          </cell>
          <cell r="D117" t="str">
            <v>Standard</v>
          </cell>
          <cell r="E117" t="str">
            <v>grass</v>
          </cell>
          <cell r="F117" t="str">
            <v>poison</v>
          </cell>
          <cell r="G117">
            <v>50</v>
          </cell>
          <cell r="H117">
            <v>75</v>
          </cell>
          <cell r="I117">
            <v>35</v>
          </cell>
          <cell r="J117">
            <v>70</v>
          </cell>
          <cell r="K117">
            <v>30</v>
          </cell>
          <cell r="L117">
            <v>40</v>
          </cell>
          <cell r="M117">
            <v>300</v>
          </cell>
          <cell r="N117" t="str">
            <v>chlorophyll</v>
          </cell>
          <cell r="P117" t="str">
            <v>gluttony</v>
          </cell>
          <cell r="Q117">
            <v>0.7</v>
          </cell>
          <cell r="R117">
            <v>4</v>
          </cell>
          <cell r="S117" t="str">
            <v>A carnivorous POKéMON that traps and eats bugs. It uses its root feet to soak up needed moisture.</v>
          </cell>
          <cell r="T117" t="str">
            <v>https://raw.githubusercontent.com/PokeAPI/sprites/master/sprites/pokemon/other/official-artwork/69.png</v>
          </cell>
          <cell r="U117" t="str">
            <v>https://raw.githubusercontent.com/PokeAPI/sprites/master/sprites/pokemon/other/official-artwork/shiny/69.png</v>
          </cell>
        </row>
        <row r="118">
          <cell r="A118">
            <v>70</v>
          </cell>
          <cell r="C118" t="str">
            <v>Weepinbell</v>
          </cell>
          <cell r="D118" t="str">
            <v>Standard</v>
          </cell>
          <cell r="E118" t="str">
            <v>grass</v>
          </cell>
          <cell r="F118" t="str">
            <v>poison</v>
          </cell>
          <cell r="G118">
            <v>65</v>
          </cell>
          <cell r="H118">
            <v>90</v>
          </cell>
          <cell r="I118">
            <v>50</v>
          </cell>
          <cell r="J118">
            <v>85</v>
          </cell>
          <cell r="K118">
            <v>45</v>
          </cell>
          <cell r="L118">
            <v>55</v>
          </cell>
          <cell r="M118">
            <v>390</v>
          </cell>
          <cell r="N118" t="str">
            <v>chlorophyll</v>
          </cell>
          <cell r="P118" t="str">
            <v>gluttony</v>
          </cell>
          <cell r="Q118">
            <v>1</v>
          </cell>
          <cell r="R118">
            <v>6.4</v>
          </cell>
          <cell r="S118" t="str">
            <v>It spits out POISONPOWDER to immobilize the enemy and then finishes it with a spray of ACID.</v>
          </cell>
          <cell r="T118" t="str">
            <v>https://raw.githubusercontent.com/PokeAPI/sprites/master/sprites/pokemon/other/official-artwork/70.png</v>
          </cell>
          <cell r="U118" t="str">
            <v>https://raw.githubusercontent.com/PokeAPI/sprites/master/sprites/pokemon/other/official-artwork/shiny/70.png</v>
          </cell>
        </row>
        <row r="119">
          <cell r="A119">
            <v>71</v>
          </cell>
          <cell r="C119" t="str">
            <v>Victreebel</v>
          </cell>
          <cell r="D119" t="str">
            <v>Standard</v>
          </cell>
          <cell r="E119" t="str">
            <v>grass</v>
          </cell>
          <cell r="F119" t="str">
            <v>poison</v>
          </cell>
          <cell r="G119">
            <v>80</v>
          </cell>
          <cell r="H119">
            <v>105</v>
          </cell>
          <cell r="I119">
            <v>65</v>
          </cell>
          <cell r="J119">
            <v>100</v>
          </cell>
          <cell r="K119">
            <v>70</v>
          </cell>
          <cell r="L119">
            <v>70</v>
          </cell>
          <cell r="M119">
            <v>490</v>
          </cell>
          <cell r="N119" t="str">
            <v>chlorophyll</v>
          </cell>
          <cell r="P119" t="str">
            <v>gluttony</v>
          </cell>
          <cell r="Q119">
            <v>1.7</v>
          </cell>
          <cell r="R119">
            <v>15.5</v>
          </cell>
          <cell r="S119" t="str">
            <v>Said to live in huge colonies deep in jungles, although no one has ever returned from there.</v>
          </cell>
          <cell r="T119" t="str">
            <v>https://raw.githubusercontent.com/PokeAPI/sprites/master/sprites/pokemon/other/official-artwork/71.png</v>
          </cell>
          <cell r="U119" t="str">
            <v>https://raw.githubusercontent.com/PokeAPI/sprites/master/sprites/pokemon/other/official-artwork/shiny/71.png</v>
          </cell>
        </row>
        <row r="120">
          <cell r="A120">
            <v>71</v>
          </cell>
          <cell r="C120" t="str">
            <v>Victreebel Mega</v>
          </cell>
          <cell r="D120" t="str">
            <v>Mega</v>
          </cell>
          <cell r="E120" t="str">
            <v>grass</v>
          </cell>
          <cell r="F120" t="str">
            <v>poison</v>
          </cell>
          <cell r="G120">
            <v>80</v>
          </cell>
          <cell r="H120">
            <v>125</v>
          </cell>
          <cell r="I120">
            <v>85</v>
          </cell>
          <cell r="J120">
            <v>135</v>
          </cell>
          <cell r="K120">
            <v>95</v>
          </cell>
          <cell r="L120">
            <v>70</v>
          </cell>
          <cell r="M120">
            <v>590</v>
          </cell>
          <cell r="Q120">
            <v>4.5</v>
          </cell>
          <cell r="R120">
            <v>125.5</v>
          </cell>
          <cell r="S120" t="str">
            <v>Said to live in huge colonies deep in jungles, although no one has ever returned from there.</v>
          </cell>
          <cell r="T120" t="str">
            <v>https://raw.githubusercontent.com/PokeAPI/sprites/master/sprites/pokemon/10279.png</v>
          </cell>
          <cell r="U120" t="str">
            <v>https://raw.githubusercontent.com/PokeAPI/sprites/master/sprites/pokemon/other/showdown/shiny/10279.gif</v>
          </cell>
        </row>
        <row r="121">
          <cell r="A121">
            <v>72</v>
          </cell>
          <cell r="C121" t="str">
            <v>Tentacool</v>
          </cell>
          <cell r="D121" t="str">
            <v>Standard</v>
          </cell>
          <cell r="E121" t="str">
            <v>water</v>
          </cell>
          <cell r="F121" t="str">
            <v>poison</v>
          </cell>
          <cell r="G121">
            <v>40</v>
          </cell>
          <cell r="H121">
            <v>40</v>
          </cell>
          <cell r="I121">
            <v>35</v>
          </cell>
          <cell r="J121">
            <v>50</v>
          </cell>
          <cell r="K121">
            <v>100</v>
          </cell>
          <cell r="L121">
            <v>70</v>
          </cell>
          <cell r="M121">
            <v>335</v>
          </cell>
          <cell r="N121" t="str">
            <v>clear-body</v>
          </cell>
          <cell r="O121" t="str">
            <v>liquid-ooze</v>
          </cell>
          <cell r="P121" t="str">
            <v>rain-dish</v>
          </cell>
          <cell r="Q121">
            <v>0.9</v>
          </cell>
          <cell r="R121">
            <v>45.5</v>
          </cell>
          <cell r="S121" t="str">
            <v>Drifts in shallow seas. Anglers who hook them by accident are often punished by its stinging acid.</v>
          </cell>
          <cell r="T121" t="str">
            <v>https://raw.githubusercontent.com/PokeAPI/sprites/master/sprites/pokemon/other/official-artwork/72.png</v>
          </cell>
          <cell r="U121" t="str">
            <v>https://raw.githubusercontent.com/PokeAPI/sprites/master/sprites/pokemon/other/official-artwork/shiny/72.png</v>
          </cell>
        </row>
        <row r="122">
          <cell r="A122">
            <v>73</v>
          </cell>
          <cell r="C122" t="str">
            <v>Tentacruel</v>
          </cell>
          <cell r="D122" t="str">
            <v>Standard</v>
          </cell>
          <cell r="E122" t="str">
            <v>water</v>
          </cell>
          <cell r="F122" t="str">
            <v>poison</v>
          </cell>
          <cell r="G122">
            <v>80</v>
          </cell>
          <cell r="H122">
            <v>70</v>
          </cell>
          <cell r="I122">
            <v>65</v>
          </cell>
          <cell r="J122">
            <v>80</v>
          </cell>
          <cell r="K122">
            <v>120</v>
          </cell>
          <cell r="L122">
            <v>100</v>
          </cell>
          <cell r="M122">
            <v>515</v>
          </cell>
          <cell r="N122" t="str">
            <v>clear-body</v>
          </cell>
          <cell r="O122" t="str">
            <v>liquid-ooze</v>
          </cell>
          <cell r="P122" t="str">
            <v>rain-dish</v>
          </cell>
          <cell r="Q122">
            <v>1.6</v>
          </cell>
          <cell r="R122">
            <v>55</v>
          </cell>
          <cell r="S122" t="str">
            <v>The tentacles are normally kept short. On hunts, they are extended to ensnare and immobilize prey.</v>
          </cell>
          <cell r="T122" t="str">
            <v>https://raw.githubusercontent.com/PokeAPI/sprites/master/sprites/pokemon/other/official-artwork/73.png</v>
          </cell>
          <cell r="U122" t="str">
            <v>https://raw.githubusercontent.com/PokeAPI/sprites/master/sprites/pokemon/other/official-artwork/shiny/73.png</v>
          </cell>
        </row>
        <row r="123">
          <cell r="A123">
            <v>74</v>
          </cell>
          <cell r="C123" t="str">
            <v>Geodude</v>
          </cell>
          <cell r="D123" t="str">
            <v>Standard</v>
          </cell>
          <cell r="E123" t="str">
            <v>rock</v>
          </cell>
          <cell r="F123" t="str">
            <v>ground</v>
          </cell>
          <cell r="G123">
            <v>40</v>
          </cell>
          <cell r="H123">
            <v>80</v>
          </cell>
          <cell r="I123">
            <v>100</v>
          </cell>
          <cell r="J123">
            <v>30</v>
          </cell>
          <cell r="K123">
            <v>30</v>
          </cell>
          <cell r="L123">
            <v>20</v>
          </cell>
          <cell r="M123">
            <v>300</v>
          </cell>
          <cell r="N123" t="str">
            <v>rock-head</v>
          </cell>
          <cell r="O123" t="str">
            <v>sturdy</v>
          </cell>
          <cell r="P123" t="str">
            <v>sand-veil</v>
          </cell>
          <cell r="Q123">
            <v>0.4</v>
          </cell>
          <cell r="R123">
            <v>20</v>
          </cell>
          <cell r="S123" t="str">
            <v>Found in fields and mountains. Mistaking them for boulders, people often step or trip on them.</v>
          </cell>
          <cell r="T123" t="str">
            <v>https://raw.githubusercontent.com/PokeAPI/sprites/master/sprites/pokemon/other/official-artwork/74.png</v>
          </cell>
          <cell r="U123" t="str">
            <v>https://raw.githubusercontent.com/PokeAPI/sprites/master/sprites/pokemon/other/official-artwork/shiny/74.png</v>
          </cell>
        </row>
        <row r="124">
          <cell r="A124">
            <v>74</v>
          </cell>
          <cell r="C124" t="str">
            <v>Geodude Alola</v>
          </cell>
          <cell r="D124" t="str">
            <v>Regional</v>
          </cell>
          <cell r="E124" t="str">
            <v>rock</v>
          </cell>
          <cell r="F124" t="str">
            <v>electric</v>
          </cell>
          <cell r="G124">
            <v>40</v>
          </cell>
          <cell r="H124">
            <v>80</v>
          </cell>
          <cell r="I124">
            <v>100</v>
          </cell>
          <cell r="J124">
            <v>30</v>
          </cell>
          <cell r="K124">
            <v>30</v>
          </cell>
          <cell r="L124">
            <v>20</v>
          </cell>
          <cell r="M124">
            <v>300</v>
          </cell>
          <cell r="N124" t="str">
            <v>magnet-pull</v>
          </cell>
          <cell r="O124" t="str">
            <v>sturdy</v>
          </cell>
          <cell r="P124" t="str">
            <v>galvanize</v>
          </cell>
          <cell r="Q124">
            <v>0.4</v>
          </cell>
          <cell r="R124">
            <v>20.3</v>
          </cell>
          <cell r="S124" t="str">
            <v>Found in fields and mountains. Mistaking them for boulders, people often step or trip on them.</v>
          </cell>
          <cell r="T124" t="str">
            <v>https://raw.githubusercontent.com/PokeAPI/sprites/master/sprites/pokemon/other/official-artwork/10109.png</v>
          </cell>
          <cell r="U124" t="str">
            <v>https://raw.githubusercontent.com/PokeAPI/sprites/master/sprites/pokemon/other/official-artwork/shiny/10109.png</v>
          </cell>
        </row>
        <row r="125">
          <cell r="A125">
            <v>75</v>
          </cell>
          <cell r="C125" t="str">
            <v>Graveler</v>
          </cell>
          <cell r="D125" t="str">
            <v>Standard</v>
          </cell>
          <cell r="E125" t="str">
            <v>rock</v>
          </cell>
          <cell r="F125" t="str">
            <v>ground</v>
          </cell>
          <cell r="G125">
            <v>55</v>
          </cell>
          <cell r="H125">
            <v>95</v>
          </cell>
          <cell r="I125">
            <v>115</v>
          </cell>
          <cell r="J125">
            <v>45</v>
          </cell>
          <cell r="K125">
            <v>45</v>
          </cell>
          <cell r="L125">
            <v>35</v>
          </cell>
          <cell r="M125">
            <v>390</v>
          </cell>
          <cell r="N125" t="str">
            <v>rock-head</v>
          </cell>
          <cell r="O125" t="str">
            <v>sturdy</v>
          </cell>
          <cell r="P125" t="str">
            <v>sand-veil</v>
          </cell>
          <cell r="Q125">
            <v>1</v>
          </cell>
          <cell r="R125">
            <v>105</v>
          </cell>
          <cell r="S125" t="str">
            <v>Rolls down slopes to move. It rolls over any obstacle without slowing or changing its direction.</v>
          </cell>
          <cell r="T125" t="str">
            <v>https://raw.githubusercontent.com/PokeAPI/sprites/master/sprites/pokemon/other/official-artwork/75.png</v>
          </cell>
          <cell r="U125" t="str">
            <v>https://raw.githubusercontent.com/PokeAPI/sprites/master/sprites/pokemon/other/official-artwork/shiny/75.png</v>
          </cell>
        </row>
        <row r="126">
          <cell r="A126">
            <v>75</v>
          </cell>
          <cell r="C126" t="str">
            <v>Graveler Alola</v>
          </cell>
          <cell r="D126" t="str">
            <v>Regional</v>
          </cell>
          <cell r="E126" t="str">
            <v>rock</v>
          </cell>
          <cell r="F126" t="str">
            <v>electric</v>
          </cell>
          <cell r="G126">
            <v>55</v>
          </cell>
          <cell r="H126">
            <v>95</v>
          </cell>
          <cell r="I126">
            <v>115</v>
          </cell>
          <cell r="J126">
            <v>45</v>
          </cell>
          <cell r="K126">
            <v>45</v>
          </cell>
          <cell r="L126">
            <v>35</v>
          </cell>
          <cell r="M126">
            <v>390</v>
          </cell>
          <cell r="N126" t="str">
            <v>magnet-pull</v>
          </cell>
          <cell r="O126" t="str">
            <v>sturdy</v>
          </cell>
          <cell r="P126" t="str">
            <v>galvanize</v>
          </cell>
          <cell r="Q126">
            <v>1</v>
          </cell>
          <cell r="R126">
            <v>110</v>
          </cell>
          <cell r="S126" t="str">
            <v>Rolls down slopes to move. It rolls over any obstacle without slowing or changing its direction.</v>
          </cell>
          <cell r="T126" t="str">
            <v>https://raw.githubusercontent.com/PokeAPI/sprites/master/sprites/pokemon/other/official-artwork/10110.png</v>
          </cell>
          <cell r="U126" t="str">
            <v>https://raw.githubusercontent.com/PokeAPI/sprites/master/sprites/pokemon/other/official-artwork/shiny/10110.png</v>
          </cell>
        </row>
        <row r="127">
          <cell r="A127">
            <v>76</v>
          </cell>
          <cell r="C127" t="str">
            <v>Golem</v>
          </cell>
          <cell r="D127" t="str">
            <v>Standard</v>
          </cell>
          <cell r="E127" t="str">
            <v>rock</v>
          </cell>
          <cell r="F127" t="str">
            <v>ground</v>
          </cell>
          <cell r="G127">
            <v>80</v>
          </cell>
          <cell r="H127">
            <v>120</v>
          </cell>
          <cell r="I127">
            <v>130</v>
          </cell>
          <cell r="J127">
            <v>55</v>
          </cell>
          <cell r="K127">
            <v>65</v>
          </cell>
          <cell r="L127">
            <v>45</v>
          </cell>
          <cell r="M127">
            <v>495</v>
          </cell>
          <cell r="N127" t="str">
            <v>rock-head</v>
          </cell>
          <cell r="O127" t="str">
            <v>sturdy</v>
          </cell>
          <cell r="P127" t="str">
            <v>sand-veil</v>
          </cell>
          <cell r="Q127">
            <v>1.4</v>
          </cell>
          <cell r="R127">
            <v>300</v>
          </cell>
          <cell r="S127" t="str">
            <v>Its boulder-like body is extremely hard. It can easily withstand dynamite blasts without damage.</v>
          </cell>
          <cell r="T127" t="str">
            <v>https://raw.githubusercontent.com/PokeAPI/sprites/master/sprites/pokemon/other/official-artwork/76.png</v>
          </cell>
          <cell r="U127" t="str">
            <v>https://raw.githubusercontent.com/PokeAPI/sprites/master/sprites/pokemon/other/official-artwork/shiny/76.png</v>
          </cell>
        </row>
        <row r="128">
          <cell r="A128">
            <v>76</v>
          </cell>
          <cell r="C128" t="str">
            <v>Golem Alola</v>
          </cell>
          <cell r="D128" t="str">
            <v>Regional</v>
          </cell>
          <cell r="E128" t="str">
            <v>rock</v>
          </cell>
          <cell r="F128" t="str">
            <v>electric</v>
          </cell>
          <cell r="G128">
            <v>80</v>
          </cell>
          <cell r="H128">
            <v>120</v>
          </cell>
          <cell r="I128">
            <v>130</v>
          </cell>
          <cell r="J128">
            <v>55</v>
          </cell>
          <cell r="K128">
            <v>65</v>
          </cell>
          <cell r="L128">
            <v>45</v>
          </cell>
          <cell r="M128">
            <v>495</v>
          </cell>
          <cell r="N128" t="str">
            <v>magnet-pull</v>
          </cell>
          <cell r="O128" t="str">
            <v>sturdy</v>
          </cell>
          <cell r="P128" t="str">
            <v>galvanize</v>
          </cell>
          <cell r="Q128">
            <v>1.7</v>
          </cell>
          <cell r="R128">
            <v>316</v>
          </cell>
          <cell r="S128" t="str">
            <v>Its boulder-like body is extremely hard. It can easily withstand dynamite blasts without damage.</v>
          </cell>
          <cell r="T128" t="str">
            <v>https://raw.githubusercontent.com/PokeAPI/sprites/master/sprites/pokemon/other/official-artwork/10111.png</v>
          </cell>
          <cell r="U128" t="str">
            <v>https://raw.githubusercontent.com/PokeAPI/sprites/master/sprites/pokemon/other/official-artwork/shiny/10111.png</v>
          </cell>
        </row>
        <row r="129">
          <cell r="A129">
            <v>77</v>
          </cell>
          <cell r="C129" t="str">
            <v>Ponyta</v>
          </cell>
          <cell r="D129" t="str">
            <v>Standard</v>
          </cell>
          <cell r="E129" t="str">
            <v>fire</v>
          </cell>
          <cell r="G129">
            <v>50</v>
          </cell>
          <cell r="H129">
            <v>85</v>
          </cell>
          <cell r="I129">
            <v>55</v>
          </cell>
          <cell r="J129">
            <v>65</v>
          </cell>
          <cell r="K129">
            <v>65</v>
          </cell>
          <cell r="L129">
            <v>90</v>
          </cell>
          <cell r="M129">
            <v>410</v>
          </cell>
          <cell r="N129" t="str">
            <v>run-away</v>
          </cell>
          <cell r="O129" t="str">
            <v>flash-fire</v>
          </cell>
          <cell r="P129" t="str">
            <v>flame-body</v>
          </cell>
          <cell r="Q129">
            <v>1</v>
          </cell>
          <cell r="R129">
            <v>30</v>
          </cell>
          <cell r="S129" t="str">
            <v>Its hooves are 10 times harder than diamonds. It can trample anything completely flat in little time.</v>
          </cell>
          <cell r="T129" t="str">
            <v>https://raw.githubusercontent.com/PokeAPI/sprites/master/sprites/pokemon/other/official-artwork/77.png</v>
          </cell>
          <cell r="U129" t="str">
            <v>https://raw.githubusercontent.com/PokeAPI/sprites/master/sprites/pokemon/other/official-artwork/shiny/77.png</v>
          </cell>
        </row>
        <row r="130">
          <cell r="A130">
            <v>77</v>
          </cell>
          <cell r="C130" t="str">
            <v>Ponyta Galar</v>
          </cell>
          <cell r="D130" t="str">
            <v>Regional</v>
          </cell>
          <cell r="E130" t="str">
            <v>psychic</v>
          </cell>
          <cell r="G130">
            <v>50</v>
          </cell>
          <cell r="H130">
            <v>85</v>
          </cell>
          <cell r="I130">
            <v>55</v>
          </cell>
          <cell r="J130">
            <v>65</v>
          </cell>
          <cell r="K130">
            <v>65</v>
          </cell>
          <cell r="L130">
            <v>90</v>
          </cell>
          <cell r="M130">
            <v>410</v>
          </cell>
          <cell r="N130" t="str">
            <v>run-away</v>
          </cell>
          <cell r="O130" t="str">
            <v>pastel-veil</v>
          </cell>
          <cell r="P130" t="str">
            <v>anticipation</v>
          </cell>
          <cell r="Q130">
            <v>0.8</v>
          </cell>
          <cell r="R130">
            <v>24</v>
          </cell>
          <cell r="S130" t="str">
            <v>Its hooves are 10 times harder than diamonds. It can trample anything completely flat in little time.</v>
          </cell>
          <cell r="T130" t="str">
            <v>https://raw.githubusercontent.com/PokeAPI/sprites/master/sprites/pokemon/other/official-artwork/10162.png</v>
          </cell>
          <cell r="U130" t="str">
            <v>https://raw.githubusercontent.com/PokeAPI/sprites/master/sprites/pokemon/other/official-artwork/shiny/10162.png</v>
          </cell>
        </row>
        <row r="131">
          <cell r="A131">
            <v>78</v>
          </cell>
          <cell r="C131" t="str">
            <v>Rapidash</v>
          </cell>
          <cell r="D131" t="str">
            <v>Standard</v>
          </cell>
          <cell r="E131" t="str">
            <v>fire</v>
          </cell>
          <cell r="G131">
            <v>65</v>
          </cell>
          <cell r="H131">
            <v>100</v>
          </cell>
          <cell r="I131">
            <v>70</v>
          </cell>
          <cell r="J131">
            <v>80</v>
          </cell>
          <cell r="K131">
            <v>80</v>
          </cell>
          <cell r="L131">
            <v>105</v>
          </cell>
          <cell r="M131">
            <v>500</v>
          </cell>
          <cell r="N131" t="str">
            <v>run-away</v>
          </cell>
          <cell r="O131" t="str">
            <v>flash-fire</v>
          </cell>
          <cell r="P131" t="str">
            <v>flame-body</v>
          </cell>
          <cell r="Q131">
            <v>1.7</v>
          </cell>
          <cell r="R131">
            <v>95</v>
          </cell>
          <cell r="S131" t="str">
            <v>Very competitive, this POKéMON will chase anything that moves fast in the hopes of racing it.</v>
          </cell>
          <cell r="T131" t="str">
            <v>https://raw.githubusercontent.com/PokeAPI/sprites/master/sprites/pokemon/other/official-artwork/78.png</v>
          </cell>
          <cell r="U131" t="str">
            <v>https://raw.githubusercontent.com/PokeAPI/sprites/master/sprites/pokemon/other/official-artwork/shiny/78.png</v>
          </cell>
        </row>
        <row r="132">
          <cell r="A132">
            <v>78</v>
          </cell>
          <cell r="C132" t="str">
            <v>Rapidash Galar</v>
          </cell>
          <cell r="D132" t="str">
            <v>Regional</v>
          </cell>
          <cell r="E132" t="str">
            <v>psychic</v>
          </cell>
          <cell r="F132" t="str">
            <v>fairy</v>
          </cell>
          <cell r="G132">
            <v>65</v>
          </cell>
          <cell r="H132">
            <v>100</v>
          </cell>
          <cell r="I132">
            <v>70</v>
          </cell>
          <cell r="J132">
            <v>80</v>
          </cell>
          <cell r="K132">
            <v>80</v>
          </cell>
          <cell r="L132">
            <v>105</v>
          </cell>
          <cell r="M132">
            <v>500</v>
          </cell>
          <cell r="N132" t="str">
            <v>run-away</v>
          </cell>
          <cell r="O132" t="str">
            <v>pastel-veil</v>
          </cell>
          <cell r="P132" t="str">
            <v>anticipation</v>
          </cell>
          <cell r="Q132">
            <v>1.7</v>
          </cell>
          <cell r="R132">
            <v>80</v>
          </cell>
          <cell r="S132" t="str">
            <v>Very competitive, this POKéMON will chase anything that moves fast in the hopes of racing it.</v>
          </cell>
          <cell r="T132" t="str">
            <v>https://raw.githubusercontent.com/PokeAPI/sprites/master/sprites/pokemon/other/official-artwork/10163.png</v>
          </cell>
          <cell r="U132" t="str">
            <v>https://raw.githubusercontent.com/PokeAPI/sprites/master/sprites/pokemon/other/official-artwork/shiny/10163.png</v>
          </cell>
        </row>
        <row r="133">
          <cell r="A133">
            <v>79</v>
          </cell>
          <cell r="C133" t="str">
            <v>Slowpoke</v>
          </cell>
          <cell r="D133" t="str">
            <v>Standard</v>
          </cell>
          <cell r="E133" t="str">
            <v>water</v>
          </cell>
          <cell r="F133" t="str">
            <v>psychic</v>
          </cell>
          <cell r="G133">
            <v>90</v>
          </cell>
          <cell r="H133">
            <v>65</v>
          </cell>
          <cell r="I133">
            <v>65</v>
          </cell>
          <cell r="J133">
            <v>40</v>
          </cell>
          <cell r="K133">
            <v>40</v>
          </cell>
          <cell r="L133">
            <v>15</v>
          </cell>
          <cell r="M133">
            <v>315</v>
          </cell>
          <cell r="N133" t="str">
            <v>oblivious</v>
          </cell>
          <cell r="O133" t="str">
            <v>own-tempo</v>
          </cell>
          <cell r="P133" t="str">
            <v>regenerator</v>
          </cell>
          <cell r="Q133">
            <v>1.2</v>
          </cell>
          <cell r="R133">
            <v>36</v>
          </cell>
          <cell r="S133" t="str">
            <v>Incredibly slow and dopey. It takes 5 seconds for it to feel pain when under attack.</v>
          </cell>
          <cell r="T133" t="str">
            <v>https://raw.githubusercontent.com/PokeAPI/sprites/master/sprites/pokemon/other/official-artwork/79.png</v>
          </cell>
          <cell r="U133" t="str">
            <v>https://raw.githubusercontent.com/PokeAPI/sprites/master/sprites/pokemon/other/official-artwork/shiny/79.png</v>
          </cell>
        </row>
        <row r="134">
          <cell r="A134">
            <v>79</v>
          </cell>
          <cell r="C134" t="str">
            <v>Slowpoke Galar</v>
          </cell>
          <cell r="D134" t="str">
            <v>Regional</v>
          </cell>
          <cell r="E134" t="str">
            <v>psychic</v>
          </cell>
          <cell r="G134">
            <v>90</v>
          </cell>
          <cell r="H134">
            <v>65</v>
          </cell>
          <cell r="I134">
            <v>65</v>
          </cell>
          <cell r="J134">
            <v>40</v>
          </cell>
          <cell r="K134">
            <v>40</v>
          </cell>
          <cell r="L134">
            <v>15</v>
          </cell>
          <cell r="M134">
            <v>315</v>
          </cell>
          <cell r="N134" t="str">
            <v>gluttony</v>
          </cell>
          <cell r="O134" t="str">
            <v>own-tempo</v>
          </cell>
          <cell r="P134" t="str">
            <v>regenerator</v>
          </cell>
          <cell r="Q134">
            <v>1.2</v>
          </cell>
          <cell r="R134">
            <v>36</v>
          </cell>
          <cell r="S134" t="str">
            <v>Incredibly slow and dopey. It takes 5 seconds for it to feel pain when under attack.</v>
          </cell>
          <cell r="T134" t="str">
            <v>https://raw.githubusercontent.com/PokeAPI/sprites/master/sprites/pokemon/other/official-artwork/10164.png</v>
          </cell>
          <cell r="U134" t="str">
            <v>https://raw.githubusercontent.com/PokeAPI/sprites/master/sprites/pokemon/other/official-artwork/shiny/10164.png</v>
          </cell>
        </row>
        <row r="135">
          <cell r="A135">
            <v>80</v>
          </cell>
          <cell r="C135" t="str">
            <v>Slowbro</v>
          </cell>
          <cell r="D135" t="str">
            <v>Standard</v>
          </cell>
          <cell r="E135" t="str">
            <v>water</v>
          </cell>
          <cell r="F135" t="str">
            <v>psychic</v>
          </cell>
          <cell r="G135">
            <v>95</v>
          </cell>
          <cell r="H135">
            <v>75</v>
          </cell>
          <cell r="I135">
            <v>110</v>
          </cell>
          <cell r="J135">
            <v>100</v>
          </cell>
          <cell r="K135">
            <v>80</v>
          </cell>
          <cell r="L135">
            <v>30</v>
          </cell>
          <cell r="M135">
            <v>490</v>
          </cell>
          <cell r="N135" t="str">
            <v>oblivious</v>
          </cell>
          <cell r="O135" t="str">
            <v>own-tempo</v>
          </cell>
          <cell r="P135" t="str">
            <v>regenerator</v>
          </cell>
          <cell r="Q135">
            <v>1.6</v>
          </cell>
          <cell r="R135">
            <v>78.5</v>
          </cell>
          <cell r="S135" t="str">
            <v>The SHELLDER that is latched onto SLOWPOKE's tail is said to feed on the host's left over scraps.</v>
          </cell>
          <cell r="T135" t="str">
            <v>https://raw.githubusercontent.com/PokeAPI/sprites/master/sprites/pokemon/other/official-artwork/80.png</v>
          </cell>
          <cell r="U135" t="str">
            <v>https://raw.githubusercontent.com/PokeAPI/sprites/master/sprites/pokemon/other/official-artwork/shiny/80.png</v>
          </cell>
        </row>
        <row r="136">
          <cell r="A136">
            <v>80</v>
          </cell>
          <cell r="C136" t="str">
            <v>Slowbro Galar</v>
          </cell>
          <cell r="D136" t="str">
            <v>Regional</v>
          </cell>
          <cell r="E136" t="str">
            <v>poison</v>
          </cell>
          <cell r="F136" t="str">
            <v>psychic</v>
          </cell>
          <cell r="G136">
            <v>95</v>
          </cell>
          <cell r="H136">
            <v>100</v>
          </cell>
          <cell r="I136">
            <v>95</v>
          </cell>
          <cell r="J136">
            <v>100</v>
          </cell>
          <cell r="K136">
            <v>70</v>
          </cell>
          <cell r="L136">
            <v>30</v>
          </cell>
          <cell r="M136">
            <v>490</v>
          </cell>
          <cell r="N136" t="str">
            <v>quick-draw</v>
          </cell>
          <cell r="O136" t="str">
            <v>own-tempo</v>
          </cell>
          <cell r="P136" t="str">
            <v>regenerator</v>
          </cell>
          <cell r="Q136">
            <v>1.6</v>
          </cell>
          <cell r="R136">
            <v>70.5</v>
          </cell>
          <cell r="S136" t="str">
            <v>The SHELLDER that is latched onto SLOWPOKE's tail is said to feed on the host's left over scraps.</v>
          </cell>
          <cell r="T136" t="str">
            <v>https://raw.githubusercontent.com/PokeAPI/sprites/master/sprites/pokemon/other/official-artwork/10165.png</v>
          </cell>
          <cell r="U136" t="str">
            <v>https://raw.githubusercontent.com/PokeAPI/sprites/master/sprites/pokemon/other/official-artwork/shiny/10165.png</v>
          </cell>
        </row>
        <row r="137">
          <cell r="A137">
            <v>80</v>
          </cell>
          <cell r="C137" t="str">
            <v>Slowbro Mega</v>
          </cell>
          <cell r="D137" t="str">
            <v>Mega</v>
          </cell>
          <cell r="E137" t="str">
            <v>water</v>
          </cell>
          <cell r="F137" t="str">
            <v>psychic</v>
          </cell>
          <cell r="G137">
            <v>95</v>
          </cell>
          <cell r="H137">
            <v>75</v>
          </cell>
          <cell r="I137">
            <v>180</v>
          </cell>
          <cell r="J137">
            <v>130</v>
          </cell>
          <cell r="K137">
            <v>80</v>
          </cell>
          <cell r="L137">
            <v>30</v>
          </cell>
          <cell r="M137">
            <v>590</v>
          </cell>
          <cell r="N137" t="str">
            <v>shell-armor</v>
          </cell>
          <cell r="Q137">
            <v>2</v>
          </cell>
          <cell r="R137">
            <v>120</v>
          </cell>
          <cell r="S137" t="str">
            <v>The SHELLDER that is latched onto SLOWPOKE's tail is said to feed on the host's left over scraps.</v>
          </cell>
          <cell r="T137" t="str">
            <v>https://raw.githubusercontent.com/PokeAPI/sprites/master/sprites/pokemon/other/official-artwork/10071.png</v>
          </cell>
          <cell r="U137" t="str">
            <v>https://raw.githubusercontent.com/PokeAPI/sprites/master/sprites/pokemon/other/official-artwork/shiny/10071.png</v>
          </cell>
        </row>
        <row r="138">
          <cell r="A138">
            <v>81</v>
          </cell>
          <cell r="C138" t="str">
            <v>Magnemite</v>
          </cell>
          <cell r="D138" t="str">
            <v>Standard</v>
          </cell>
          <cell r="E138" t="str">
            <v>electric</v>
          </cell>
          <cell r="F138" t="str">
            <v>steel</v>
          </cell>
          <cell r="G138">
            <v>25</v>
          </cell>
          <cell r="H138">
            <v>35</v>
          </cell>
          <cell r="I138">
            <v>70</v>
          </cell>
          <cell r="J138">
            <v>95</v>
          </cell>
          <cell r="K138">
            <v>55</v>
          </cell>
          <cell r="L138">
            <v>45</v>
          </cell>
          <cell r="M138">
            <v>325</v>
          </cell>
          <cell r="N138" t="str">
            <v>magnet-pull</v>
          </cell>
          <cell r="O138" t="str">
            <v>sturdy</v>
          </cell>
          <cell r="P138" t="str">
            <v>analytic</v>
          </cell>
          <cell r="Q138">
            <v>0.3</v>
          </cell>
          <cell r="R138">
            <v>6</v>
          </cell>
          <cell r="S138" t="str">
            <v>Uses anti-gravity to stay suspended. Appears without warning and uses THUNDER WAVE and similar moves.</v>
          </cell>
          <cell r="T138" t="str">
            <v>https://raw.githubusercontent.com/PokeAPI/sprites/master/sprites/pokemon/other/official-artwork/81.png</v>
          </cell>
          <cell r="U138" t="str">
            <v>https://raw.githubusercontent.com/PokeAPI/sprites/master/sprites/pokemon/other/official-artwork/shiny/81.png</v>
          </cell>
        </row>
        <row r="139">
          <cell r="A139">
            <v>82</v>
          </cell>
          <cell r="C139" t="str">
            <v>Magneton</v>
          </cell>
          <cell r="D139" t="str">
            <v>Standard</v>
          </cell>
          <cell r="E139" t="str">
            <v>electric</v>
          </cell>
          <cell r="F139" t="str">
            <v>steel</v>
          </cell>
          <cell r="G139">
            <v>50</v>
          </cell>
          <cell r="H139">
            <v>60</v>
          </cell>
          <cell r="I139">
            <v>95</v>
          </cell>
          <cell r="J139">
            <v>120</v>
          </cell>
          <cell r="K139">
            <v>70</v>
          </cell>
          <cell r="L139">
            <v>70</v>
          </cell>
          <cell r="M139">
            <v>465</v>
          </cell>
          <cell r="N139" t="str">
            <v>magnet-pull</v>
          </cell>
          <cell r="O139" t="str">
            <v>sturdy</v>
          </cell>
          <cell r="P139" t="str">
            <v>analytic</v>
          </cell>
          <cell r="Q139">
            <v>1</v>
          </cell>
          <cell r="R139">
            <v>60</v>
          </cell>
          <cell r="S139" t="str">
            <v>Formed by several MAGNEMITEs linked together. They frequently appear when sunspots flare up.</v>
          </cell>
          <cell r="T139" t="str">
            <v>https://raw.githubusercontent.com/PokeAPI/sprites/master/sprites/pokemon/other/official-artwork/82.png</v>
          </cell>
          <cell r="U139" t="str">
            <v>https://raw.githubusercontent.com/PokeAPI/sprites/master/sprites/pokemon/other/official-artwork/shiny/82.png</v>
          </cell>
        </row>
        <row r="140">
          <cell r="A140">
            <v>83</v>
          </cell>
          <cell r="C140" t="str">
            <v>Farfetchd</v>
          </cell>
          <cell r="D140" t="str">
            <v>Standard</v>
          </cell>
          <cell r="E140" t="str">
            <v>normal</v>
          </cell>
          <cell r="F140" t="str">
            <v>flying</v>
          </cell>
          <cell r="G140">
            <v>52</v>
          </cell>
          <cell r="H140">
            <v>90</v>
          </cell>
          <cell r="I140">
            <v>55</v>
          </cell>
          <cell r="J140">
            <v>58</v>
          </cell>
          <cell r="K140">
            <v>62</v>
          </cell>
          <cell r="L140">
            <v>60</v>
          </cell>
          <cell r="M140">
            <v>377</v>
          </cell>
          <cell r="N140" t="str">
            <v>keen-eye</v>
          </cell>
          <cell r="O140" t="str">
            <v>inner-focus</v>
          </cell>
          <cell r="P140" t="str">
            <v>defiant</v>
          </cell>
          <cell r="Q140">
            <v>0.8</v>
          </cell>
          <cell r="R140">
            <v>15</v>
          </cell>
          <cell r="S140" t="str">
            <v>The sprig of green onions it holds is its weapon. It is used much like a metal sword.</v>
          </cell>
          <cell r="T140" t="str">
            <v>https://raw.githubusercontent.com/PokeAPI/sprites/master/sprites/pokemon/other/official-artwork/83.png</v>
          </cell>
          <cell r="U140" t="str">
            <v>https://raw.githubusercontent.com/PokeAPI/sprites/master/sprites/pokemon/other/official-artwork/shiny/83.png</v>
          </cell>
        </row>
        <row r="141">
          <cell r="A141">
            <v>83</v>
          </cell>
          <cell r="C141" t="str">
            <v>Farfetchd Galar</v>
          </cell>
          <cell r="D141" t="str">
            <v>Regional</v>
          </cell>
          <cell r="E141" t="str">
            <v>fighting</v>
          </cell>
          <cell r="G141">
            <v>52</v>
          </cell>
          <cell r="H141">
            <v>95</v>
          </cell>
          <cell r="I141">
            <v>55</v>
          </cell>
          <cell r="J141">
            <v>58</v>
          </cell>
          <cell r="K141">
            <v>62</v>
          </cell>
          <cell r="L141">
            <v>55</v>
          </cell>
          <cell r="M141">
            <v>377</v>
          </cell>
          <cell r="N141" t="str">
            <v>steadfast</v>
          </cell>
          <cell r="P141" t="str">
            <v>scrappy</v>
          </cell>
          <cell r="Q141">
            <v>0.8</v>
          </cell>
          <cell r="R141">
            <v>42</v>
          </cell>
          <cell r="S141" t="str">
            <v>The sprig of green onions it holds is its weapon. It is used much like a metal sword.</v>
          </cell>
          <cell r="T141" t="str">
            <v>https://raw.githubusercontent.com/PokeAPI/sprites/master/sprites/pokemon/other/official-artwork/10166.png</v>
          </cell>
          <cell r="U141" t="str">
            <v>https://raw.githubusercontent.com/PokeAPI/sprites/master/sprites/pokemon/other/official-artwork/shiny/10166.png</v>
          </cell>
        </row>
        <row r="142">
          <cell r="A142">
            <v>84</v>
          </cell>
          <cell r="C142" t="str">
            <v>Doduo</v>
          </cell>
          <cell r="D142" t="str">
            <v>Standard</v>
          </cell>
          <cell r="E142" t="str">
            <v>normal</v>
          </cell>
          <cell r="F142" t="str">
            <v>flying</v>
          </cell>
          <cell r="G142">
            <v>35</v>
          </cell>
          <cell r="H142">
            <v>85</v>
          </cell>
          <cell r="I142">
            <v>45</v>
          </cell>
          <cell r="J142">
            <v>35</v>
          </cell>
          <cell r="K142">
            <v>35</v>
          </cell>
          <cell r="L142">
            <v>75</v>
          </cell>
          <cell r="M142">
            <v>310</v>
          </cell>
          <cell r="N142" t="str">
            <v>run-away</v>
          </cell>
          <cell r="O142" t="str">
            <v>early-bird</v>
          </cell>
          <cell r="P142" t="str">
            <v>tangled-feet</v>
          </cell>
          <cell r="Q142">
            <v>1.4</v>
          </cell>
          <cell r="R142">
            <v>39.200000000000003</v>
          </cell>
          <cell r="S142" t="str">
            <v>A bird that makes up for its poor flying with its fast foot speed. Leaves giant footprints.</v>
          </cell>
          <cell r="T142" t="str">
            <v>https://raw.githubusercontent.com/PokeAPI/sprites/master/sprites/pokemon/other/official-artwork/84.png</v>
          </cell>
          <cell r="U142" t="str">
            <v>https://raw.githubusercontent.com/PokeAPI/sprites/master/sprites/pokemon/other/official-artwork/shiny/84.png</v>
          </cell>
        </row>
        <row r="143">
          <cell r="A143">
            <v>85</v>
          </cell>
          <cell r="C143" t="str">
            <v>Dodrio</v>
          </cell>
          <cell r="D143" t="str">
            <v>Standard</v>
          </cell>
          <cell r="E143" t="str">
            <v>normal</v>
          </cell>
          <cell r="F143" t="str">
            <v>flying</v>
          </cell>
          <cell r="G143">
            <v>60</v>
          </cell>
          <cell r="H143">
            <v>110</v>
          </cell>
          <cell r="I143">
            <v>70</v>
          </cell>
          <cell r="J143">
            <v>60</v>
          </cell>
          <cell r="K143">
            <v>60</v>
          </cell>
          <cell r="L143">
            <v>110</v>
          </cell>
          <cell r="M143">
            <v>470</v>
          </cell>
          <cell r="N143" t="str">
            <v>run-away</v>
          </cell>
          <cell r="O143" t="str">
            <v>early-bird</v>
          </cell>
          <cell r="P143" t="str">
            <v>tangled-feet</v>
          </cell>
          <cell r="Q143">
            <v>1.8</v>
          </cell>
          <cell r="R143">
            <v>85.2</v>
          </cell>
          <cell r="S143" t="str">
            <v>Uses its three brains to execute complex plans. While two heads sleep, one head stays awake.</v>
          </cell>
          <cell r="T143" t="str">
            <v>https://raw.githubusercontent.com/PokeAPI/sprites/master/sprites/pokemon/other/official-artwork/85.png</v>
          </cell>
          <cell r="U143" t="str">
            <v>https://raw.githubusercontent.com/PokeAPI/sprites/master/sprites/pokemon/other/official-artwork/shiny/85.png</v>
          </cell>
        </row>
        <row r="144">
          <cell r="A144">
            <v>86</v>
          </cell>
          <cell r="C144" t="str">
            <v>Seel</v>
          </cell>
          <cell r="D144" t="str">
            <v>Standard</v>
          </cell>
          <cell r="E144" t="str">
            <v>water</v>
          </cell>
          <cell r="G144">
            <v>65</v>
          </cell>
          <cell r="H144">
            <v>45</v>
          </cell>
          <cell r="I144">
            <v>55</v>
          </cell>
          <cell r="J144">
            <v>45</v>
          </cell>
          <cell r="K144">
            <v>70</v>
          </cell>
          <cell r="L144">
            <v>45</v>
          </cell>
          <cell r="M144">
            <v>325</v>
          </cell>
          <cell r="N144" t="str">
            <v>thick-fat</v>
          </cell>
          <cell r="O144" t="str">
            <v>hydration</v>
          </cell>
          <cell r="P144" t="str">
            <v>ice-body</v>
          </cell>
          <cell r="Q144">
            <v>1.1000000000000001</v>
          </cell>
          <cell r="R144">
            <v>90</v>
          </cell>
          <cell r="S144" t="str">
            <v>The protruding horn on its head is very hard. It is used for bashing through thick ice.</v>
          </cell>
          <cell r="T144" t="str">
            <v>https://raw.githubusercontent.com/PokeAPI/sprites/master/sprites/pokemon/other/official-artwork/86.png</v>
          </cell>
          <cell r="U144" t="str">
            <v>https://raw.githubusercontent.com/PokeAPI/sprites/master/sprites/pokemon/other/official-artwork/shiny/86.png</v>
          </cell>
        </row>
        <row r="145">
          <cell r="A145">
            <v>87</v>
          </cell>
          <cell r="C145" t="str">
            <v>Dewgong</v>
          </cell>
          <cell r="D145" t="str">
            <v>Standard</v>
          </cell>
          <cell r="E145" t="str">
            <v>water</v>
          </cell>
          <cell r="F145" t="str">
            <v>ice</v>
          </cell>
          <cell r="G145">
            <v>90</v>
          </cell>
          <cell r="H145">
            <v>70</v>
          </cell>
          <cell r="I145">
            <v>80</v>
          </cell>
          <cell r="J145">
            <v>70</v>
          </cell>
          <cell r="K145">
            <v>95</v>
          </cell>
          <cell r="L145">
            <v>70</v>
          </cell>
          <cell r="M145">
            <v>475</v>
          </cell>
          <cell r="N145" t="str">
            <v>thick-fat</v>
          </cell>
          <cell r="O145" t="str">
            <v>hydration</v>
          </cell>
          <cell r="P145" t="str">
            <v>ice-body</v>
          </cell>
          <cell r="Q145">
            <v>1.7</v>
          </cell>
          <cell r="R145">
            <v>120</v>
          </cell>
          <cell r="S145" t="str">
            <v>Stores thermal energy in its body. Swims at a steady 8 knots even in intensely cold waters.</v>
          </cell>
          <cell r="T145" t="str">
            <v>https://raw.githubusercontent.com/PokeAPI/sprites/master/sprites/pokemon/other/official-artwork/87.png</v>
          </cell>
          <cell r="U145" t="str">
            <v>https://raw.githubusercontent.com/PokeAPI/sprites/master/sprites/pokemon/other/official-artwork/shiny/87.png</v>
          </cell>
        </row>
        <row r="146">
          <cell r="A146">
            <v>88</v>
          </cell>
          <cell r="C146" t="str">
            <v>Grimer</v>
          </cell>
          <cell r="D146" t="str">
            <v>Standard</v>
          </cell>
          <cell r="E146" t="str">
            <v>poison</v>
          </cell>
          <cell r="G146">
            <v>80</v>
          </cell>
          <cell r="H146">
            <v>80</v>
          </cell>
          <cell r="I146">
            <v>50</v>
          </cell>
          <cell r="J146">
            <v>40</v>
          </cell>
          <cell r="K146">
            <v>50</v>
          </cell>
          <cell r="L146">
            <v>25</v>
          </cell>
          <cell r="M146">
            <v>325</v>
          </cell>
          <cell r="N146" t="str">
            <v>stench</v>
          </cell>
          <cell r="O146" t="str">
            <v>sticky-hold</v>
          </cell>
          <cell r="P146" t="str">
            <v>poison-touch</v>
          </cell>
          <cell r="Q146">
            <v>0.9</v>
          </cell>
          <cell r="R146">
            <v>30</v>
          </cell>
          <cell r="S146" t="str">
            <v>Appears in filthy areas. Thrives by sucking up polluted sludge that is pumped out of factories.</v>
          </cell>
          <cell r="T146" t="str">
            <v>https://raw.githubusercontent.com/PokeAPI/sprites/master/sprites/pokemon/other/official-artwork/88.png</v>
          </cell>
          <cell r="U146" t="str">
            <v>https://raw.githubusercontent.com/PokeAPI/sprites/master/sprites/pokemon/other/official-artwork/shiny/88.png</v>
          </cell>
        </row>
        <row r="147">
          <cell r="A147">
            <v>88</v>
          </cell>
          <cell r="C147" t="str">
            <v>Grimer Alola</v>
          </cell>
          <cell r="D147" t="str">
            <v>Regional</v>
          </cell>
          <cell r="E147" t="str">
            <v>poison</v>
          </cell>
          <cell r="F147" t="str">
            <v>dark</v>
          </cell>
          <cell r="G147">
            <v>80</v>
          </cell>
          <cell r="H147">
            <v>80</v>
          </cell>
          <cell r="I147">
            <v>50</v>
          </cell>
          <cell r="J147">
            <v>40</v>
          </cell>
          <cell r="K147">
            <v>50</v>
          </cell>
          <cell r="L147">
            <v>25</v>
          </cell>
          <cell r="M147">
            <v>325</v>
          </cell>
          <cell r="N147" t="str">
            <v>poison-touch</v>
          </cell>
          <cell r="O147" t="str">
            <v>gluttony</v>
          </cell>
          <cell r="P147" t="str">
            <v>power-of-alchemy</v>
          </cell>
          <cell r="Q147">
            <v>0.7</v>
          </cell>
          <cell r="R147">
            <v>42</v>
          </cell>
          <cell r="S147" t="str">
            <v>Appears in filthy areas. Thrives by sucking up polluted sludge that is pumped out of factories.</v>
          </cell>
          <cell r="T147" t="str">
            <v>https://raw.githubusercontent.com/PokeAPI/sprites/master/sprites/pokemon/other/official-artwork/10112.png</v>
          </cell>
          <cell r="U147" t="str">
            <v>https://raw.githubusercontent.com/PokeAPI/sprites/master/sprites/pokemon/other/official-artwork/shiny/10112.png</v>
          </cell>
        </row>
        <row r="148">
          <cell r="A148">
            <v>89</v>
          </cell>
          <cell r="C148" t="str">
            <v>Muk</v>
          </cell>
          <cell r="D148" t="str">
            <v>Standard</v>
          </cell>
          <cell r="E148" t="str">
            <v>poison</v>
          </cell>
          <cell r="G148">
            <v>105</v>
          </cell>
          <cell r="H148">
            <v>105</v>
          </cell>
          <cell r="I148">
            <v>75</v>
          </cell>
          <cell r="J148">
            <v>65</v>
          </cell>
          <cell r="K148">
            <v>100</v>
          </cell>
          <cell r="L148">
            <v>50</v>
          </cell>
          <cell r="M148">
            <v>500</v>
          </cell>
          <cell r="N148" t="str">
            <v>stench</v>
          </cell>
          <cell r="O148" t="str">
            <v>sticky-hold</v>
          </cell>
          <cell r="P148" t="str">
            <v>poison-touch</v>
          </cell>
          <cell r="Q148">
            <v>1.2</v>
          </cell>
          <cell r="R148">
            <v>30</v>
          </cell>
          <cell r="S148" t="str">
            <v>Thickly covered with a filthy, vile sludge. It is so toxic, even its footprints contain poison.</v>
          </cell>
          <cell r="T148" t="str">
            <v>https://raw.githubusercontent.com/PokeAPI/sprites/master/sprites/pokemon/other/official-artwork/89.png</v>
          </cell>
          <cell r="U148" t="str">
            <v>https://raw.githubusercontent.com/PokeAPI/sprites/master/sprites/pokemon/other/official-artwork/shiny/89.png</v>
          </cell>
        </row>
        <row r="149">
          <cell r="A149">
            <v>89</v>
          </cell>
          <cell r="C149" t="str">
            <v>Muk Alola</v>
          </cell>
          <cell r="D149" t="str">
            <v>Regional</v>
          </cell>
          <cell r="E149" t="str">
            <v>poison</v>
          </cell>
          <cell r="F149" t="str">
            <v>dark</v>
          </cell>
          <cell r="G149">
            <v>105</v>
          </cell>
          <cell r="H149">
            <v>105</v>
          </cell>
          <cell r="I149">
            <v>75</v>
          </cell>
          <cell r="J149">
            <v>65</v>
          </cell>
          <cell r="K149">
            <v>100</v>
          </cell>
          <cell r="L149">
            <v>50</v>
          </cell>
          <cell r="M149">
            <v>500</v>
          </cell>
          <cell r="N149" t="str">
            <v>poison-touch</v>
          </cell>
          <cell r="O149" t="str">
            <v>gluttony</v>
          </cell>
          <cell r="P149" t="str">
            <v>power-of-alchemy</v>
          </cell>
          <cell r="Q149">
            <v>1</v>
          </cell>
          <cell r="R149">
            <v>52</v>
          </cell>
          <cell r="S149" t="str">
            <v>Thickly covered with a filthy, vile sludge. It is so toxic, even its footprints contain poison.</v>
          </cell>
          <cell r="T149" t="str">
            <v>https://raw.githubusercontent.com/PokeAPI/sprites/master/sprites/pokemon/other/official-artwork/10113.png</v>
          </cell>
          <cell r="U149" t="str">
            <v>https://raw.githubusercontent.com/PokeAPI/sprites/master/sprites/pokemon/other/official-artwork/shiny/10113.png</v>
          </cell>
        </row>
        <row r="150">
          <cell r="A150">
            <v>90</v>
          </cell>
          <cell r="C150" t="str">
            <v>Shellder</v>
          </cell>
          <cell r="D150" t="str">
            <v>Standard</v>
          </cell>
          <cell r="E150" t="str">
            <v>water</v>
          </cell>
          <cell r="G150">
            <v>30</v>
          </cell>
          <cell r="H150">
            <v>65</v>
          </cell>
          <cell r="I150">
            <v>100</v>
          </cell>
          <cell r="J150">
            <v>45</v>
          </cell>
          <cell r="K150">
            <v>25</v>
          </cell>
          <cell r="L150">
            <v>40</v>
          </cell>
          <cell r="M150">
            <v>305</v>
          </cell>
          <cell r="N150" t="str">
            <v>shell-armor</v>
          </cell>
          <cell r="O150" t="str">
            <v>skill-link</v>
          </cell>
          <cell r="P150" t="str">
            <v>overcoat</v>
          </cell>
          <cell r="Q150">
            <v>0.3</v>
          </cell>
          <cell r="R150">
            <v>4</v>
          </cell>
          <cell r="S150" t="str">
            <v>Its hard shell repels any kind of attack. It is vulnerable only when its shell is open.</v>
          </cell>
          <cell r="T150" t="str">
            <v>https://raw.githubusercontent.com/PokeAPI/sprites/master/sprites/pokemon/other/official-artwork/90.png</v>
          </cell>
          <cell r="U150" t="str">
            <v>https://raw.githubusercontent.com/PokeAPI/sprites/master/sprites/pokemon/other/official-artwork/shiny/90.png</v>
          </cell>
        </row>
        <row r="151">
          <cell r="A151">
            <v>91</v>
          </cell>
          <cell r="C151" t="str">
            <v>Cloyster</v>
          </cell>
          <cell r="D151" t="str">
            <v>Standard</v>
          </cell>
          <cell r="E151" t="str">
            <v>water</v>
          </cell>
          <cell r="F151" t="str">
            <v>ice</v>
          </cell>
          <cell r="G151">
            <v>50</v>
          </cell>
          <cell r="H151">
            <v>95</v>
          </cell>
          <cell r="I151">
            <v>180</v>
          </cell>
          <cell r="J151">
            <v>85</v>
          </cell>
          <cell r="K151">
            <v>45</v>
          </cell>
          <cell r="L151">
            <v>70</v>
          </cell>
          <cell r="M151">
            <v>525</v>
          </cell>
          <cell r="N151" t="str">
            <v>shell-armor</v>
          </cell>
          <cell r="O151" t="str">
            <v>skill-link</v>
          </cell>
          <cell r="P151" t="str">
            <v>overcoat</v>
          </cell>
          <cell r="Q151">
            <v>1.5</v>
          </cell>
          <cell r="R151">
            <v>132.5</v>
          </cell>
          <cell r="S151" t="str">
            <v>When attacked, it launches its horns in quick volleys. Its innards have never been seen.</v>
          </cell>
          <cell r="T151" t="str">
            <v>https://raw.githubusercontent.com/PokeAPI/sprites/master/sprites/pokemon/other/official-artwork/91.png</v>
          </cell>
          <cell r="U151" t="str">
            <v>https://raw.githubusercontent.com/PokeAPI/sprites/master/sprites/pokemon/other/official-artwork/shiny/91.png</v>
          </cell>
        </row>
        <row r="152">
          <cell r="A152">
            <v>92</v>
          </cell>
          <cell r="C152" t="str">
            <v>Gastly</v>
          </cell>
          <cell r="D152" t="str">
            <v>Standard</v>
          </cell>
          <cell r="E152" t="str">
            <v>ghost</v>
          </cell>
          <cell r="F152" t="str">
            <v>poison</v>
          </cell>
          <cell r="G152">
            <v>30</v>
          </cell>
          <cell r="H152">
            <v>35</v>
          </cell>
          <cell r="I152">
            <v>30</v>
          </cell>
          <cell r="J152">
            <v>100</v>
          </cell>
          <cell r="K152">
            <v>35</v>
          </cell>
          <cell r="L152">
            <v>80</v>
          </cell>
          <cell r="M152">
            <v>310</v>
          </cell>
          <cell r="N152" t="str">
            <v>levitate</v>
          </cell>
          <cell r="Q152">
            <v>1.3</v>
          </cell>
          <cell r="R152">
            <v>0.1</v>
          </cell>
          <cell r="S152" t="str">
            <v>Almost invisible, this gaseous POKéMON cloaks the target and puts it to sleep without notice.</v>
          </cell>
          <cell r="T152" t="str">
            <v>https://raw.githubusercontent.com/PokeAPI/sprites/master/sprites/pokemon/other/official-artwork/92.png</v>
          </cell>
          <cell r="U152" t="str">
            <v>https://raw.githubusercontent.com/PokeAPI/sprites/master/sprites/pokemon/other/official-artwork/shiny/92.png</v>
          </cell>
        </row>
        <row r="153">
          <cell r="A153">
            <v>93</v>
          </cell>
          <cell r="C153" t="str">
            <v>Haunter</v>
          </cell>
          <cell r="D153" t="str">
            <v>Standard</v>
          </cell>
          <cell r="E153" t="str">
            <v>ghost</v>
          </cell>
          <cell r="F153" t="str">
            <v>poison</v>
          </cell>
          <cell r="G153">
            <v>45</v>
          </cell>
          <cell r="H153">
            <v>50</v>
          </cell>
          <cell r="I153">
            <v>45</v>
          </cell>
          <cell r="J153">
            <v>115</v>
          </cell>
          <cell r="K153">
            <v>55</v>
          </cell>
          <cell r="L153">
            <v>95</v>
          </cell>
          <cell r="M153">
            <v>405</v>
          </cell>
          <cell r="N153" t="str">
            <v>levitate</v>
          </cell>
          <cell r="Q153">
            <v>1.6</v>
          </cell>
          <cell r="R153">
            <v>0.1</v>
          </cell>
          <cell r="S153" t="str">
            <v>Because of its ability to slip through block walls, it is said to be from an­ other dimension.</v>
          </cell>
          <cell r="T153" t="str">
            <v>https://raw.githubusercontent.com/PokeAPI/sprites/master/sprites/pokemon/other/official-artwork/93.png</v>
          </cell>
          <cell r="U153" t="str">
            <v>https://raw.githubusercontent.com/PokeAPI/sprites/master/sprites/pokemon/other/official-artwork/shiny/93.png</v>
          </cell>
        </row>
        <row r="154">
          <cell r="A154">
            <v>94</v>
          </cell>
          <cell r="C154" t="str">
            <v>Gengar</v>
          </cell>
          <cell r="D154" t="str">
            <v>Standard</v>
          </cell>
          <cell r="E154" t="str">
            <v>ghost</v>
          </cell>
          <cell r="F154" t="str">
            <v>poison</v>
          </cell>
          <cell r="G154">
            <v>60</v>
          </cell>
          <cell r="H154">
            <v>65</v>
          </cell>
          <cell r="I154">
            <v>60</v>
          </cell>
          <cell r="J154">
            <v>130</v>
          </cell>
          <cell r="K154">
            <v>75</v>
          </cell>
          <cell r="L154">
            <v>110</v>
          </cell>
          <cell r="M154">
            <v>500</v>
          </cell>
          <cell r="N154" t="str">
            <v>cursed-body</v>
          </cell>
          <cell r="Q154">
            <v>1.5</v>
          </cell>
          <cell r="R154">
            <v>40.5</v>
          </cell>
          <cell r="S154" t="str">
            <v>Under a full moon, this POKéMON likes to mimic the shadows of people and laugh at their fright.</v>
          </cell>
          <cell r="T154" t="str">
            <v>https://raw.githubusercontent.com/PokeAPI/sprites/master/sprites/pokemon/other/official-artwork/94.png</v>
          </cell>
          <cell r="U154" t="str">
            <v>https://raw.githubusercontent.com/PokeAPI/sprites/master/sprites/pokemon/other/official-artwork/shiny/94.png</v>
          </cell>
        </row>
        <row r="155">
          <cell r="A155">
            <v>94</v>
          </cell>
          <cell r="C155" t="str">
            <v>Gengar Gmax</v>
          </cell>
          <cell r="D155" t="str">
            <v>Gigantamax</v>
          </cell>
          <cell r="E155" t="str">
            <v>ghost</v>
          </cell>
          <cell r="F155" t="str">
            <v>poison</v>
          </cell>
          <cell r="G155">
            <v>60</v>
          </cell>
          <cell r="H155">
            <v>65</v>
          </cell>
          <cell r="I155">
            <v>60</v>
          </cell>
          <cell r="J155">
            <v>130</v>
          </cell>
          <cell r="K155">
            <v>75</v>
          </cell>
          <cell r="L155">
            <v>110</v>
          </cell>
          <cell r="M155">
            <v>500</v>
          </cell>
          <cell r="N155" t="str">
            <v>cursed-body</v>
          </cell>
          <cell r="Q155">
            <v>20</v>
          </cell>
          <cell r="R155">
            <v>1000</v>
          </cell>
          <cell r="S155" t="str">
            <v>Under a full moon, this POKéMON likes to mimic the shadows of people and laugh at their fright.</v>
          </cell>
          <cell r="T155" t="str">
            <v>https://raw.githubusercontent.com/PokeAPI/sprites/master/sprites/pokemon/other/official-artwork/10202.png</v>
          </cell>
          <cell r="U155" t="str">
            <v>https://raw.githubusercontent.com/PokeAPI/sprites/master/sprites/pokemon/other/official-artwork/shiny/10202.png</v>
          </cell>
        </row>
        <row r="156">
          <cell r="A156">
            <v>94</v>
          </cell>
          <cell r="C156" t="str">
            <v>Gengar Mega</v>
          </cell>
          <cell r="D156" t="str">
            <v>Mega</v>
          </cell>
          <cell r="E156" t="str">
            <v>ghost</v>
          </cell>
          <cell r="F156" t="str">
            <v>poison</v>
          </cell>
          <cell r="G156">
            <v>60</v>
          </cell>
          <cell r="H156">
            <v>65</v>
          </cell>
          <cell r="I156">
            <v>80</v>
          </cell>
          <cell r="J156">
            <v>170</v>
          </cell>
          <cell r="K156">
            <v>95</v>
          </cell>
          <cell r="L156">
            <v>130</v>
          </cell>
          <cell r="M156">
            <v>600</v>
          </cell>
          <cell r="N156" t="str">
            <v>shadow-tag</v>
          </cell>
          <cell r="Q156">
            <v>1.4</v>
          </cell>
          <cell r="R156">
            <v>40.5</v>
          </cell>
          <cell r="S156" t="str">
            <v>Under a full moon, this POKéMON likes to mimic the shadows of people and laugh at their fright.</v>
          </cell>
          <cell r="T156" t="str">
            <v>https://raw.githubusercontent.com/PokeAPI/sprites/master/sprites/pokemon/other/official-artwork/10038.png</v>
          </cell>
          <cell r="U156" t="str">
            <v>https://raw.githubusercontent.com/PokeAPI/sprites/master/sprites/pokemon/other/official-artwork/shiny/10038.png</v>
          </cell>
        </row>
        <row r="157">
          <cell r="A157">
            <v>95</v>
          </cell>
          <cell r="C157" t="str">
            <v>Onix</v>
          </cell>
          <cell r="D157" t="str">
            <v>Standard</v>
          </cell>
          <cell r="E157" t="str">
            <v>rock</v>
          </cell>
          <cell r="F157" t="str">
            <v>ground</v>
          </cell>
          <cell r="G157">
            <v>35</v>
          </cell>
          <cell r="H157">
            <v>45</v>
          </cell>
          <cell r="I157">
            <v>160</v>
          </cell>
          <cell r="J157">
            <v>30</v>
          </cell>
          <cell r="K157">
            <v>45</v>
          </cell>
          <cell r="L157">
            <v>70</v>
          </cell>
          <cell r="M157">
            <v>385</v>
          </cell>
          <cell r="N157" t="str">
            <v>rock-head</v>
          </cell>
          <cell r="O157" t="str">
            <v>sturdy</v>
          </cell>
          <cell r="P157" t="str">
            <v>weak-armor</v>
          </cell>
          <cell r="Q157">
            <v>8.8000000000000007</v>
          </cell>
          <cell r="R157">
            <v>210</v>
          </cell>
          <cell r="S157" t="str">
            <v>As it grows, the stone portions of its body harden to become similar to a diamond, but colored black.</v>
          </cell>
          <cell r="T157" t="str">
            <v>https://raw.githubusercontent.com/PokeAPI/sprites/master/sprites/pokemon/other/official-artwork/95.png</v>
          </cell>
          <cell r="U157" t="str">
            <v>https://raw.githubusercontent.com/PokeAPI/sprites/master/sprites/pokemon/other/official-artwork/shiny/95.png</v>
          </cell>
        </row>
        <row r="158">
          <cell r="A158">
            <v>96</v>
          </cell>
          <cell r="C158" t="str">
            <v>Drowzee</v>
          </cell>
          <cell r="D158" t="str">
            <v>Standard</v>
          </cell>
          <cell r="E158" t="str">
            <v>psychic</v>
          </cell>
          <cell r="G158">
            <v>60</v>
          </cell>
          <cell r="H158">
            <v>48</v>
          </cell>
          <cell r="I158">
            <v>45</v>
          </cell>
          <cell r="J158">
            <v>43</v>
          </cell>
          <cell r="K158">
            <v>90</v>
          </cell>
          <cell r="L158">
            <v>42</v>
          </cell>
          <cell r="M158">
            <v>328</v>
          </cell>
          <cell r="N158" t="str">
            <v>insomnia</v>
          </cell>
          <cell r="O158" t="str">
            <v>forewarn</v>
          </cell>
          <cell r="P158" t="str">
            <v>inner-focus</v>
          </cell>
          <cell r="Q158">
            <v>1</v>
          </cell>
          <cell r="R158">
            <v>32.4</v>
          </cell>
          <cell r="S158" t="str">
            <v>Puts enemies to sleep then eats their dreams. Occasionally gets sick from eating bad dreams.</v>
          </cell>
          <cell r="T158" t="str">
            <v>https://raw.githubusercontent.com/PokeAPI/sprites/master/sprites/pokemon/other/official-artwork/96.png</v>
          </cell>
          <cell r="U158" t="str">
            <v>https://raw.githubusercontent.com/PokeAPI/sprites/master/sprites/pokemon/other/official-artwork/shiny/96.png</v>
          </cell>
        </row>
        <row r="159">
          <cell r="A159">
            <v>97</v>
          </cell>
          <cell r="C159" t="str">
            <v>Hypno</v>
          </cell>
          <cell r="D159" t="str">
            <v>Standard</v>
          </cell>
          <cell r="E159" t="str">
            <v>psychic</v>
          </cell>
          <cell r="G159">
            <v>85</v>
          </cell>
          <cell r="H159">
            <v>73</v>
          </cell>
          <cell r="I159">
            <v>70</v>
          </cell>
          <cell r="J159">
            <v>73</v>
          </cell>
          <cell r="K159">
            <v>115</v>
          </cell>
          <cell r="L159">
            <v>67</v>
          </cell>
          <cell r="M159">
            <v>483</v>
          </cell>
          <cell r="N159" t="str">
            <v>insomnia</v>
          </cell>
          <cell r="O159" t="str">
            <v>forewarn</v>
          </cell>
          <cell r="P159" t="str">
            <v>inner-focus</v>
          </cell>
          <cell r="Q159">
            <v>1.6</v>
          </cell>
          <cell r="R159">
            <v>75.599999999999994</v>
          </cell>
          <cell r="S159" t="str">
            <v>When it locks eyes with an enemy, it will use a mix of PSI moves such as HYPNOSIS and CONFUSION.</v>
          </cell>
          <cell r="T159" t="str">
            <v>https://raw.githubusercontent.com/PokeAPI/sprites/master/sprites/pokemon/other/official-artwork/97.png</v>
          </cell>
          <cell r="U159" t="str">
            <v>https://raw.githubusercontent.com/PokeAPI/sprites/master/sprites/pokemon/other/official-artwork/shiny/97.png</v>
          </cell>
        </row>
        <row r="160">
          <cell r="A160">
            <v>98</v>
          </cell>
          <cell r="C160" t="str">
            <v>Krabby</v>
          </cell>
          <cell r="D160" t="str">
            <v>Standard</v>
          </cell>
          <cell r="E160" t="str">
            <v>water</v>
          </cell>
          <cell r="G160">
            <v>30</v>
          </cell>
          <cell r="H160">
            <v>105</v>
          </cell>
          <cell r="I160">
            <v>90</v>
          </cell>
          <cell r="J160">
            <v>25</v>
          </cell>
          <cell r="K160">
            <v>25</v>
          </cell>
          <cell r="L160">
            <v>50</v>
          </cell>
          <cell r="M160">
            <v>325</v>
          </cell>
          <cell r="N160" t="str">
            <v>hyper-cutter</v>
          </cell>
          <cell r="O160" t="str">
            <v>shell-armor</v>
          </cell>
          <cell r="P160" t="str">
            <v>sheer-force</v>
          </cell>
          <cell r="Q160">
            <v>0.4</v>
          </cell>
          <cell r="R160">
            <v>6.5</v>
          </cell>
          <cell r="S160" t="str">
            <v>Its pincers are not only powerful weapons, they are used for balance when walking sideways.</v>
          </cell>
          <cell r="T160" t="str">
            <v>https://raw.githubusercontent.com/PokeAPI/sprites/master/sprites/pokemon/other/official-artwork/98.png</v>
          </cell>
          <cell r="U160" t="str">
            <v>https://raw.githubusercontent.com/PokeAPI/sprites/master/sprites/pokemon/other/official-artwork/shiny/98.png</v>
          </cell>
        </row>
        <row r="161">
          <cell r="A161">
            <v>99</v>
          </cell>
          <cell r="C161" t="str">
            <v>Kingler</v>
          </cell>
          <cell r="D161" t="str">
            <v>Standard</v>
          </cell>
          <cell r="E161" t="str">
            <v>water</v>
          </cell>
          <cell r="G161">
            <v>55</v>
          </cell>
          <cell r="H161">
            <v>130</v>
          </cell>
          <cell r="I161">
            <v>115</v>
          </cell>
          <cell r="J161">
            <v>50</v>
          </cell>
          <cell r="K161">
            <v>50</v>
          </cell>
          <cell r="L161">
            <v>75</v>
          </cell>
          <cell r="M161">
            <v>475</v>
          </cell>
          <cell r="N161" t="str">
            <v>hyper-cutter</v>
          </cell>
          <cell r="O161" t="str">
            <v>shell-armor</v>
          </cell>
          <cell r="P161" t="str">
            <v>sheer-force</v>
          </cell>
          <cell r="Q161">
            <v>1.3</v>
          </cell>
          <cell r="R161">
            <v>60</v>
          </cell>
          <cell r="S161" t="str">
            <v>The large pincer has 10000 hp of crushing power. However, its huge size makes it unwieldy to use.</v>
          </cell>
          <cell r="T161" t="str">
            <v>https://raw.githubusercontent.com/PokeAPI/sprites/master/sprites/pokemon/other/official-artwork/99.png</v>
          </cell>
          <cell r="U161" t="str">
            <v>https://raw.githubusercontent.com/PokeAPI/sprites/master/sprites/pokemon/other/official-artwork/shiny/99.png</v>
          </cell>
        </row>
        <row r="162">
          <cell r="A162">
            <v>99</v>
          </cell>
          <cell r="C162" t="str">
            <v>Kingler Gmax</v>
          </cell>
          <cell r="D162" t="str">
            <v>Gigantamax</v>
          </cell>
          <cell r="E162" t="str">
            <v>water</v>
          </cell>
          <cell r="G162">
            <v>55</v>
          </cell>
          <cell r="H162">
            <v>130</v>
          </cell>
          <cell r="I162">
            <v>115</v>
          </cell>
          <cell r="J162">
            <v>50</v>
          </cell>
          <cell r="K162">
            <v>50</v>
          </cell>
          <cell r="L162">
            <v>75</v>
          </cell>
          <cell r="M162">
            <v>475</v>
          </cell>
          <cell r="N162" t="str">
            <v>hyper-cutter</v>
          </cell>
          <cell r="O162" t="str">
            <v>shell-armor</v>
          </cell>
          <cell r="P162" t="str">
            <v>sheer-force</v>
          </cell>
          <cell r="Q162">
            <v>19</v>
          </cell>
          <cell r="R162">
            <v>1000</v>
          </cell>
          <cell r="S162" t="str">
            <v>The large pincer has 10000 hp of crushing power. However, its huge size makes it unwieldy to use.</v>
          </cell>
          <cell r="T162" t="str">
            <v>https://raw.githubusercontent.com/PokeAPI/sprites/master/sprites/pokemon/other/official-artwork/10203.png</v>
          </cell>
          <cell r="U162" t="str">
            <v>https://raw.githubusercontent.com/PokeAPI/sprites/master/sprites/pokemon/other/official-artwork/shiny/10203.png</v>
          </cell>
        </row>
        <row r="163">
          <cell r="A163">
            <v>100</v>
          </cell>
          <cell r="C163" t="str">
            <v>Voltorb</v>
          </cell>
          <cell r="D163" t="str">
            <v>Standard</v>
          </cell>
          <cell r="E163" t="str">
            <v>electric</v>
          </cell>
          <cell r="G163">
            <v>40</v>
          </cell>
          <cell r="H163">
            <v>30</v>
          </cell>
          <cell r="I163">
            <v>50</v>
          </cell>
          <cell r="J163">
            <v>55</v>
          </cell>
          <cell r="K163">
            <v>55</v>
          </cell>
          <cell r="L163">
            <v>100</v>
          </cell>
          <cell r="M163">
            <v>330</v>
          </cell>
          <cell r="N163" t="str">
            <v>soundproof</v>
          </cell>
          <cell r="O163" t="str">
            <v>static</v>
          </cell>
          <cell r="P163" t="str">
            <v>aftermath</v>
          </cell>
          <cell r="Q163">
            <v>0.5</v>
          </cell>
          <cell r="R163">
            <v>10.4</v>
          </cell>
          <cell r="S163" t="str">
            <v>Usually found in power plants. Easily mistaken for a POKé BALL, they have zapped many people.</v>
          </cell>
          <cell r="T163" t="str">
            <v>https://raw.githubusercontent.com/PokeAPI/sprites/master/sprites/pokemon/other/official-artwork/100.png</v>
          </cell>
          <cell r="U163" t="str">
            <v>https://raw.githubusercontent.com/PokeAPI/sprites/master/sprites/pokemon/other/official-artwork/shiny/100.png</v>
          </cell>
        </row>
        <row r="164">
          <cell r="A164">
            <v>100</v>
          </cell>
          <cell r="C164" t="str">
            <v>Voltorb Hisui</v>
          </cell>
          <cell r="D164" t="str">
            <v>Regional</v>
          </cell>
          <cell r="E164" t="str">
            <v>electric</v>
          </cell>
          <cell r="F164" t="str">
            <v>grass</v>
          </cell>
          <cell r="G164">
            <v>40</v>
          </cell>
          <cell r="H164">
            <v>30</v>
          </cell>
          <cell r="I164">
            <v>50</v>
          </cell>
          <cell r="J164">
            <v>55</v>
          </cell>
          <cell r="K164">
            <v>55</v>
          </cell>
          <cell r="L164">
            <v>100</v>
          </cell>
          <cell r="M164">
            <v>330</v>
          </cell>
          <cell r="N164" t="str">
            <v>soundproof</v>
          </cell>
          <cell r="O164" t="str">
            <v>static</v>
          </cell>
          <cell r="P164" t="str">
            <v>aftermath</v>
          </cell>
          <cell r="Q164">
            <v>0.5</v>
          </cell>
          <cell r="R164">
            <v>13</v>
          </cell>
          <cell r="S164" t="str">
            <v>Usually found in power plants. Easily mistaken for a POKé BALL, they have zapped many people.</v>
          </cell>
          <cell r="T164" t="str">
            <v>https://raw.githubusercontent.com/PokeAPI/sprites/master/sprites/pokemon/other/official-artwork/10231.png</v>
          </cell>
          <cell r="U164" t="str">
            <v>https://raw.githubusercontent.com/PokeAPI/sprites/master/sprites/pokemon/other/official-artwork/shiny/10231.png</v>
          </cell>
        </row>
        <row r="165">
          <cell r="A165">
            <v>101</v>
          </cell>
          <cell r="C165" t="str">
            <v>Electrode</v>
          </cell>
          <cell r="D165" t="str">
            <v>Standard</v>
          </cell>
          <cell r="E165" t="str">
            <v>electric</v>
          </cell>
          <cell r="G165">
            <v>60</v>
          </cell>
          <cell r="H165">
            <v>50</v>
          </cell>
          <cell r="I165">
            <v>70</v>
          </cell>
          <cell r="J165">
            <v>80</v>
          </cell>
          <cell r="K165">
            <v>80</v>
          </cell>
          <cell r="L165">
            <v>150</v>
          </cell>
          <cell r="M165">
            <v>490</v>
          </cell>
          <cell r="N165" t="str">
            <v>soundproof</v>
          </cell>
          <cell r="O165" t="str">
            <v>static</v>
          </cell>
          <cell r="P165" t="str">
            <v>aftermath</v>
          </cell>
          <cell r="Q165">
            <v>1.2</v>
          </cell>
          <cell r="R165">
            <v>66.599999999999994</v>
          </cell>
          <cell r="S165" t="str">
            <v>It stores electric energy under very high pressure. It often explodes with little or no provocation.</v>
          </cell>
          <cell r="T165" t="str">
            <v>https://raw.githubusercontent.com/PokeAPI/sprites/master/sprites/pokemon/other/official-artwork/101.png</v>
          </cell>
          <cell r="U165" t="str">
            <v>https://raw.githubusercontent.com/PokeAPI/sprites/master/sprites/pokemon/other/official-artwork/shiny/101.png</v>
          </cell>
        </row>
        <row r="166">
          <cell r="A166">
            <v>101</v>
          </cell>
          <cell r="C166" t="str">
            <v>Electrode Hisui</v>
          </cell>
          <cell r="D166" t="str">
            <v>Regional</v>
          </cell>
          <cell r="E166" t="str">
            <v>electric</v>
          </cell>
          <cell r="F166" t="str">
            <v>grass</v>
          </cell>
          <cell r="G166">
            <v>60</v>
          </cell>
          <cell r="H166">
            <v>50</v>
          </cell>
          <cell r="I166">
            <v>70</v>
          </cell>
          <cell r="J166">
            <v>80</v>
          </cell>
          <cell r="K166">
            <v>80</v>
          </cell>
          <cell r="L166">
            <v>150</v>
          </cell>
          <cell r="M166">
            <v>490</v>
          </cell>
          <cell r="N166" t="str">
            <v>soundproof</v>
          </cell>
          <cell r="O166" t="str">
            <v>static</v>
          </cell>
          <cell r="P166" t="str">
            <v>aftermath</v>
          </cell>
          <cell r="Q166">
            <v>1.2</v>
          </cell>
          <cell r="R166">
            <v>71</v>
          </cell>
          <cell r="S166" t="str">
            <v>It stores electric energy under very high pressure. It often explodes with little or no provocation.</v>
          </cell>
          <cell r="T166" t="str">
            <v>https://raw.githubusercontent.com/PokeAPI/sprites/master/sprites/pokemon/other/official-artwork/10232.png</v>
          </cell>
          <cell r="U166" t="str">
            <v>https://raw.githubusercontent.com/PokeAPI/sprites/master/sprites/pokemon/other/official-artwork/shiny/10232.png</v>
          </cell>
        </row>
        <row r="167">
          <cell r="A167">
            <v>102</v>
          </cell>
          <cell r="C167" t="str">
            <v>Exeggcute</v>
          </cell>
          <cell r="D167" t="str">
            <v>Standard</v>
          </cell>
          <cell r="E167" t="str">
            <v>grass</v>
          </cell>
          <cell r="F167" t="str">
            <v>psychic</v>
          </cell>
          <cell r="G167">
            <v>60</v>
          </cell>
          <cell r="H167">
            <v>40</v>
          </cell>
          <cell r="I167">
            <v>80</v>
          </cell>
          <cell r="J167">
            <v>60</v>
          </cell>
          <cell r="K167">
            <v>45</v>
          </cell>
          <cell r="L167">
            <v>40</v>
          </cell>
          <cell r="M167">
            <v>325</v>
          </cell>
          <cell r="N167" t="str">
            <v>chlorophyll</v>
          </cell>
          <cell r="P167" t="str">
            <v>harvest</v>
          </cell>
          <cell r="Q167">
            <v>0.4</v>
          </cell>
          <cell r="R167">
            <v>2.5</v>
          </cell>
          <cell r="S167" t="str">
            <v>Often mistaken for eggs. When disturbed, they quickly gather and attack in swarms.</v>
          </cell>
          <cell r="T167" t="str">
            <v>https://raw.githubusercontent.com/PokeAPI/sprites/master/sprites/pokemon/other/official-artwork/102.png</v>
          </cell>
          <cell r="U167" t="str">
            <v>https://raw.githubusercontent.com/PokeAPI/sprites/master/sprites/pokemon/other/official-artwork/shiny/102.png</v>
          </cell>
        </row>
        <row r="168">
          <cell r="A168">
            <v>103</v>
          </cell>
          <cell r="C168" t="str">
            <v>Exeggutor</v>
          </cell>
          <cell r="D168" t="str">
            <v>Standard</v>
          </cell>
          <cell r="E168" t="str">
            <v>grass</v>
          </cell>
          <cell r="F168" t="str">
            <v>psychic</v>
          </cell>
          <cell r="G168">
            <v>95</v>
          </cell>
          <cell r="H168">
            <v>95</v>
          </cell>
          <cell r="I168">
            <v>85</v>
          </cell>
          <cell r="J168">
            <v>125</v>
          </cell>
          <cell r="K168">
            <v>75</v>
          </cell>
          <cell r="L168">
            <v>55</v>
          </cell>
          <cell r="M168">
            <v>530</v>
          </cell>
          <cell r="N168" t="str">
            <v>chlorophyll</v>
          </cell>
          <cell r="P168" t="str">
            <v>harvest</v>
          </cell>
          <cell r="Q168">
            <v>2</v>
          </cell>
          <cell r="R168">
            <v>120</v>
          </cell>
          <cell r="S168" t="str">
            <v>Legend has it that on rare occasions, one of its heads will drop off and continue on as an EXEGGCUTE.</v>
          </cell>
          <cell r="T168" t="str">
            <v>https://raw.githubusercontent.com/PokeAPI/sprites/master/sprites/pokemon/other/official-artwork/103.png</v>
          </cell>
          <cell r="U168" t="str">
            <v>https://raw.githubusercontent.com/PokeAPI/sprites/master/sprites/pokemon/other/official-artwork/shiny/103.png</v>
          </cell>
        </row>
        <row r="169">
          <cell r="A169">
            <v>103</v>
          </cell>
          <cell r="C169" t="str">
            <v>Exeggutor Alola</v>
          </cell>
          <cell r="D169" t="str">
            <v>Regional</v>
          </cell>
          <cell r="E169" t="str">
            <v>grass</v>
          </cell>
          <cell r="F169" t="str">
            <v>dragon</v>
          </cell>
          <cell r="G169">
            <v>95</v>
          </cell>
          <cell r="H169">
            <v>105</v>
          </cell>
          <cell r="I169">
            <v>85</v>
          </cell>
          <cell r="J169">
            <v>125</v>
          </cell>
          <cell r="K169">
            <v>75</v>
          </cell>
          <cell r="L169">
            <v>45</v>
          </cell>
          <cell r="M169">
            <v>530</v>
          </cell>
          <cell r="N169" t="str">
            <v>frisk</v>
          </cell>
          <cell r="P169" t="str">
            <v>harvest</v>
          </cell>
          <cell r="Q169">
            <v>10.9</v>
          </cell>
          <cell r="R169">
            <v>415.6</v>
          </cell>
          <cell r="S169" t="str">
            <v>Legend has it that on rare occasions, one of its heads will drop off and continue on as an EXEGGCUTE.</v>
          </cell>
          <cell r="T169" t="str">
            <v>https://raw.githubusercontent.com/PokeAPI/sprites/master/sprites/pokemon/other/official-artwork/10114.png</v>
          </cell>
          <cell r="U169" t="str">
            <v>https://raw.githubusercontent.com/PokeAPI/sprites/master/sprites/pokemon/other/official-artwork/shiny/10114.png</v>
          </cell>
        </row>
        <row r="170">
          <cell r="A170">
            <v>104</v>
          </cell>
          <cell r="C170" t="str">
            <v>Cubone</v>
          </cell>
          <cell r="D170" t="str">
            <v>Standard</v>
          </cell>
          <cell r="E170" t="str">
            <v>ground</v>
          </cell>
          <cell r="G170">
            <v>50</v>
          </cell>
          <cell r="H170">
            <v>50</v>
          </cell>
          <cell r="I170">
            <v>95</v>
          </cell>
          <cell r="J170">
            <v>40</v>
          </cell>
          <cell r="K170">
            <v>50</v>
          </cell>
          <cell r="L170">
            <v>35</v>
          </cell>
          <cell r="M170">
            <v>320</v>
          </cell>
          <cell r="N170" t="str">
            <v>rock-head</v>
          </cell>
          <cell r="O170" t="str">
            <v>lightning-rod</v>
          </cell>
          <cell r="P170" t="str">
            <v>battle-armor</v>
          </cell>
          <cell r="Q170">
            <v>0.4</v>
          </cell>
          <cell r="R170">
            <v>6.5</v>
          </cell>
          <cell r="S170" t="str">
            <v>Because it never removes its skull helmet, no one has ever seen this POKéMON's real face.</v>
          </cell>
          <cell r="T170" t="str">
            <v>https://raw.githubusercontent.com/PokeAPI/sprites/master/sprites/pokemon/other/official-artwork/104.png</v>
          </cell>
          <cell r="U170" t="str">
            <v>https://raw.githubusercontent.com/PokeAPI/sprites/master/sprites/pokemon/other/official-artwork/shiny/104.png</v>
          </cell>
        </row>
        <row r="171">
          <cell r="A171">
            <v>105</v>
          </cell>
          <cell r="C171" t="str">
            <v>Marowak</v>
          </cell>
          <cell r="D171" t="str">
            <v>Standard</v>
          </cell>
          <cell r="E171" t="str">
            <v>ground</v>
          </cell>
          <cell r="G171">
            <v>60</v>
          </cell>
          <cell r="H171">
            <v>80</v>
          </cell>
          <cell r="I171">
            <v>110</v>
          </cell>
          <cell r="J171">
            <v>50</v>
          </cell>
          <cell r="K171">
            <v>80</v>
          </cell>
          <cell r="L171">
            <v>45</v>
          </cell>
          <cell r="M171">
            <v>425</v>
          </cell>
          <cell r="N171" t="str">
            <v>rock-head</v>
          </cell>
          <cell r="O171" t="str">
            <v>lightning-rod</v>
          </cell>
          <cell r="P171" t="str">
            <v>battle-armor</v>
          </cell>
          <cell r="Q171">
            <v>1</v>
          </cell>
          <cell r="R171">
            <v>45</v>
          </cell>
          <cell r="S171" t="str">
            <v>The bone it holds is its key weapon. It throws the bone skillfully like a boomerang to KO targets.</v>
          </cell>
          <cell r="T171" t="str">
            <v>https://raw.githubusercontent.com/PokeAPI/sprites/master/sprites/pokemon/other/official-artwork/105.png</v>
          </cell>
          <cell r="U171" t="str">
            <v>https://raw.githubusercontent.com/PokeAPI/sprites/master/sprites/pokemon/other/official-artwork/shiny/105.png</v>
          </cell>
        </row>
        <row r="172">
          <cell r="A172">
            <v>105</v>
          </cell>
          <cell r="C172" t="str">
            <v>Marowak Alola</v>
          </cell>
          <cell r="D172" t="str">
            <v>Regional</v>
          </cell>
          <cell r="E172" t="str">
            <v>fire</v>
          </cell>
          <cell r="F172" t="str">
            <v>ghost</v>
          </cell>
          <cell r="G172">
            <v>60</v>
          </cell>
          <cell r="H172">
            <v>80</v>
          </cell>
          <cell r="I172">
            <v>110</v>
          </cell>
          <cell r="J172">
            <v>50</v>
          </cell>
          <cell r="K172">
            <v>80</v>
          </cell>
          <cell r="L172">
            <v>45</v>
          </cell>
          <cell r="M172">
            <v>425</v>
          </cell>
          <cell r="N172" t="str">
            <v>cursed-body</v>
          </cell>
          <cell r="O172" t="str">
            <v>lightning-rod</v>
          </cell>
          <cell r="P172" t="str">
            <v>rock-head</v>
          </cell>
          <cell r="Q172">
            <v>1</v>
          </cell>
          <cell r="R172">
            <v>34</v>
          </cell>
          <cell r="S172" t="str">
            <v>The bone it holds is its key weapon. It throws the bone skillfully like a boomerang to KO targets.</v>
          </cell>
          <cell r="T172" t="str">
            <v>https://raw.githubusercontent.com/PokeAPI/sprites/master/sprites/pokemon/other/official-artwork/10115.png</v>
          </cell>
          <cell r="U172" t="str">
            <v>https://raw.githubusercontent.com/PokeAPI/sprites/master/sprites/pokemon/other/official-artwork/shiny/10115.png</v>
          </cell>
        </row>
        <row r="173">
          <cell r="A173">
            <v>105</v>
          </cell>
          <cell r="C173" t="str">
            <v>Marowak Totem</v>
          </cell>
          <cell r="D173" t="str">
            <v>Other</v>
          </cell>
          <cell r="E173" t="str">
            <v>fire</v>
          </cell>
          <cell r="F173" t="str">
            <v>ghost</v>
          </cell>
          <cell r="G173">
            <v>60</v>
          </cell>
          <cell r="H173">
            <v>80</v>
          </cell>
          <cell r="I173">
            <v>110</v>
          </cell>
          <cell r="J173">
            <v>50</v>
          </cell>
          <cell r="K173">
            <v>80</v>
          </cell>
          <cell r="L173">
            <v>45</v>
          </cell>
          <cell r="M173">
            <v>425</v>
          </cell>
          <cell r="N173" t="str">
            <v>cursed-body</v>
          </cell>
          <cell r="O173" t="str">
            <v>lightning-rod</v>
          </cell>
          <cell r="P173" t="str">
            <v>rock-head</v>
          </cell>
          <cell r="Q173">
            <v>1.7</v>
          </cell>
          <cell r="R173">
            <v>98</v>
          </cell>
          <cell r="S173" t="str">
            <v>The bone it holds is its key weapon. It throws the bone skillfully like a boomerang to KO targets.</v>
          </cell>
          <cell r="T173" t="str">
            <v>https://raw.githubusercontent.com/PokeAPI/sprites/master/sprites/pokemon/other/official-artwork/10149.png</v>
          </cell>
          <cell r="U173" t="str">
            <v>https://raw.githubusercontent.com/PokeAPI/sprites/master/sprites/pokemon/other/official-artwork/shiny/10149.png</v>
          </cell>
        </row>
        <row r="174">
          <cell r="A174">
            <v>106</v>
          </cell>
          <cell r="C174" t="str">
            <v>Hitmonlee</v>
          </cell>
          <cell r="D174" t="str">
            <v>Standard</v>
          </cell>
          <cell r="E174" t="str">
            <v>fighting</v>
          </cell>
          <cell r="G174">
            <v>50</v>
          </cell>
          <cell r="H174">
            <v>120</v>
          </cell>
          <cell r="I174">
            <v>53</v>
          </cell>
          <cell r="J174">
            <v>35</v>
          </cell>
          <cell r="K174">
            <v>110</v>
          </cell>
          <cell r="L174">
            <v>87</v>
          </cell>
          <cell r="M174">
            <v>455</v>
          </cell>
          <cell r="N174" t="str">
            <v>limber</v>
          </cell>
          <cell r="O174" t="str">
            <v>reckless</v>
          </cell>
          <cell r="P174" t="str">
            <v>unburden</v>
          </cell>
          <cell r="Q174">
            <v>1.5</v>
          </cell>
          <cell r="R174">
            <v>49.8</v>
          </cell>
          <cell r="S174" t="str">
            <v>When in a hurry, its legs lengthen progressively. It runs smoothly with extra long, loping strides.</v>
          </cell>
          <cell r="T174" t="str">
            <v>https://raw.githubusercontent.com/PokeAPI/sprites/master/sprites/pokemon/other/official-artwork/106.png</v>
          </cell>
          <cell r="U174" t="str">
            <v>https://raw.githubusercontent.com/PokeAPI/sprites/master/sprites/pokemon/other/official-artwork/shiny/106.png</v>
          </cell>
        </row>
        <row r="175">
          <cell r="A175">
            <v>107</v>
          </cell>
          <cell r="C175" t="str">
            <v>Hitmonchan</v>
          </cell>
          <cell r="D175" t="str">
            <v>Standard</v>
          </cell>
          <cell r="E175" t="str">
            <v>fighting</v>
          </cell>
          <cell r="G175">
            <v>50</v>
          </cell>
          <cell r="H175">
            <v>105</v>
          </cell>
          <cell r="I175">
            <v>79</v>
          </cell>
          <cell r="J175">
            <v>35</v>
          </cell>
          <cell r="K175">
            <v>110</v>
          </cell>
          <cell r="L175">
            <v>76</v>
          </cell>
          <cell r="M175">
            <v>455</v>
          </cell>
          <cell r="N175" t="str">
            <v>keen-eye</v>
          </cell>
          <cell r="O175" t="str">
            <v>iron-fist</v>
          </cell>
          <cell r="P175" t="str">
            <v>inner-focus</v>
          </cell>
          <cell r="Q175">
            <v>1.4</v>
          </cell>
          <cell r="R175">
            <v>50.2</v>
          </cell>
          <cell r="S175" t="str">
            <v>While apparently doing nothing, it fires punches in lightning fast volleys that are impossible to see.</v>
          </cell>
          <cell r="T175" t="str">
            <v>https://raw.githubusercontent.com/PokeAPI/sprites/master/sprites/pokemon/other/official-artwork/107.png</v>
          </cell>
          <cell r="U175" t="str">
            <v>https://raw.githubusercontent.com/PokeAPI/sprites/master/sprites/pokemon/other/official-artwork/shiny/107.png</v>
          </cell>
        </row>
        <row r="176">
          <cell r="A176">
            <v>108</v>
          </cell>
          <cell r="C176" t="str">
            <v>Lickitung</v>
          </cell>
          <cell r="D176" t="str">
            <v>Standard</v>
          </cell>
          <cell r="E176" t="str">
            <v>normal</v>
          </cell>
          <cell r="G176">
            <v>90</v>
          </cell>
          <cell r="H176">
            <v>55</v>
          </cell>
          <cell r="I176">
            <v>75</v>
          </cell>
          <cell r="J176">
            <v>60</v>
          </cell>
          <cell r="K176">
            <v>75</v>
          </cell>
          <cell r="L176">
            <v>30</v>
          </cell>
          <cell r="M176">
            <v>385</v>
          </cell>
          <cell r="N176" t="str">
            <v>own-tempo</v>
          </cell>
          <cell r="O176" t="str">
            <v>oblivious</v>
          </cell>
          <cell r="P176" t="str">
            <v>cloud-nine</v>
          </cell>
          <cell r="Q176">
            <v>1.2</v>
          </cell>
          <cell r="R176">
            <v>65.5</v>
          </cell>
          <cell r="S176" t="str">
            <v>Its tongue can be extended like a chameleon's. It leaves a tingling sensation when it licks enemies.</v>
          </cell>
          <cell r="T176" t="str">
            <v>https://raw.githubusercontent.com/PokeAPI/sprites/master/sprites/pokemon/other/official-artwork/108.png</v>
          </cell>
          <cell r="U176" t="str">
            <v>https://raw.githubusercontent.com/PokeAPI/sprites/master/sprites/pokemon/other/official-artwork/shiny/108.png</v>
          </cell>
        </row>
        <row r="177">
          <cell r="A177">
            <v>109</v>
          </cell>
          <cell r="C177" t="str">
            <v>Koffing</v>
          </cell>
          <cell r="D177" t="str">
            <v>Standard</v>
          </cell>
          <cell r="E177" t="str">
            <v>poison</v>
          </cell>
          <cell r="G177">
            <v>40</v>
          </cell>
          <cell r="H177">
            <v>65</v>
          </cell>
          <cell r="I177">
            <v>95</v>
          </cell>
          <cell r="J177">
            <v>60</v>
          </cell>
          <cell r="K177">
            <v>45</v>
          </cell>
          <cell r="L177">
            <v>35</v>
          </cell>
          <cell r="M177">
            <v>340</v>
          </cell>
          <cell r="N177" t="str">
            <v>levitate</v>
          </cell>
          <cell r="O177" t="str">
            <v>neutralizing-gas</v>
          </cell>
          <cell r="P177" t="str">
            <v>stench</v>
          </cell>
          <cell r="Q177">
            <v>0.6</v>
          </cell>
          <cell r="R177">
            <v>1</v>
          </cell>
          <cell r="S177" t="str">
            <v>Because it stores several kinds of toxic gases in its body, it is prone to exploding without warning.</v>
          </cell>
          <cell r="T177" t="str">
            <v>https://raw.githubusercontent.com/PokeAPI/sprites/master/sprites/pokemon/other/official-artwork/109.png</v>
          </cell>
          <cell r="U177" t="str">
            <v>https://raw.githubusercontent.com/PokeAPI/sprites/master/sprites/pokemon/other/official-artwork/shiny/109.png</v>
          </cell>
        </row>
        <row r="178">
          <cell r="A178">
            <v>110</v>
          </cell>
          <cell r="C178" t="str">
            <v>Weezing</v>
          </cell>
          <cell r="D178" t="str">
            <v>Standard</v>
          </cell>
          <cell r="E178" t="str">
            <v>poison</v>
          </cell>
          <cell r="G178">
            <v>65</v>
          </cell>
          <cell r="H178">
            <v>90</v>
          </cell>
          <cell r="I178">
            <v>120</v>
          </cell>
          <cell r="J178">
            <v>85</v>
          </cell>
          <cell r="K178">
            <v>70</v>
          </cell>
          <cell r="L178">
            <v>60</v>
          </cell>
          <cell r="M178">
            <v>490</v>
          </cell>
          <cell r="N178" t="str">
            <v>levitate</v>
          </cell>
          <cell r="O178" t="str">
            <v>neutralizing-gas</v>
          </cell>
          <cell r="P178" t="str">
            <v>stench</v>
          </cell>
          <cell r="Q178">
            <v>1.2</v>
          </cell>
          <cell r="R178">
            <v>9.5</v>
          </cell>
          <cell r="S178" t="str">
            <v>Where two kinds of poison gases meet, 2 KOFFINGs can fuse into a WEEZING over many years.</v>
          </cell>
          <cell r="T178" t="str">
            <v>https://raw.githubusercontent.com/PokeAPI/sprites/master/sprites/pokemon/other/official-artwork/110.png</v>
          </cell>
          <cell r="U178" t="str">
            <v>https://raw.githubusercontent.com/PokeAPI/sprites/master/sprites/pokemon/other/official-artwork/shiny/110.png</v>
          </cell>
        </row>
        <row r="179">
          <cell r="A179">
            <v>110</v>
          </cell>
          <cell r="C179" t="str">
            <v>Weezing Galar</v>
          </cell>
          <cell r="D179" t="str">
            <v>Regional</v>
          </cell>
          <cell r="E179" t="str">
            <v>poison</v>
          </cell>
          <cell r="F179" t="str">
            <v>fairy</v>
          </cell>
          <cell r="G179">
            <v>65</v>
          </cell>
          <cell r="H179">
            <v>90</v>
          </cell>
          <cell r="I179">
            <v>120</v>
          </cell>
          <cell r="J179">
            <v>85</v>
          </cell>
          <cell r="K179">
            <v>70</v>
          </cell>
          <cell r="L179">
            <v>60</v>
          </cell>
          <cell r="M179">
            <v>490</v>
          </cell>
          <cell r="N179" t="str">
            <v>levitate</v>
          </cell>
          <cell r="O179" t="str">
            <v>neutralizing-gas</v>
          </cell>
          <cell r="P179" t="str">
            <v>misty-surge</v>
          </cell>
          <cell r="Q179">
            <v>3</v>
          </cell>
          <cell r="R179">
            <v>16</v>
          </cell>
          <cell r="S179" t="str">
            <v>Where two kinds of poison gases meet, 2 KOFFINGs can fuse into a WEEZING over many years.</v>
          </cell>
          <cell r="T179" t="str">
            <v>https://raw.githubusercontent.com/PokeAPI/sprites/master/sprites/pokemon/other/official-artwork/10167.png</v>
          </cell>
          <cell r="U179" t="str">
            <v>https://raw.githubusercontent.com/PokeAPI/sprites/master/sprites/pokemon/other/official-artwork/shiny/10167.png</v>
          </cell>
        </row>
        <row r="180">
          <cell r="A180">
            <v>111</v>
          </cell>
          <cell r="C180" t="str">
            <v>Rhyhorn</v>
          </cell>
          <cell r="D180" t="str">
            <v>Standard</v>
          </cell>
          <cell r="E180" t="str">
            <v>ground</v>
          </cell>
          <cell r="F180" t="str">
            <v>rock</v>
          </cell>
          <cell r="G180">
            <v>80</v>
          </cell>
          <cell r="H180">
            <v>85</v>
          </cell>
          <cell r="I180">
            <v>95</v>
          </cell>
          <cell r="J180">
            <v>30</v>
          </cell>
          <cell r="K180">
            <v>30</v>
          </cell>
          <cell r="L180">
            <v>25</v>
          </cell>
          <cell r="M180">
            <v>345</v>
          </cell>
          <cell r="N180" t="str">
            <v>lightning-rod</v>
          </cell>
          <cell r="O180" t="str">
            <v>rock-head</v>
          </cell>
          <cell r="P180" t="str">
            <v>reckless</v>
          </cell>
          <cell r="Q180">
            <v>1</v>
          </cell>
          <cell r="R180">
            <v>115</v>
          </cell>
          <cell r="S180" t="str">
            <v>A POKéMON with a one-track mind. Once it charges, it won't stop running until it falls asleep.</v>
          </cell>
          <cell r="T180" t="str">
            <v>https://raw.githubusercontent.com/PokeAPI/sprites/master/sprites/pokemon/other/official-artwork/111.png</v>
          </cell>
          <cell r="U180" t="str">
            <v>https://raw.githubusercontent.com/PokeAPI/sprites/master/sprites/pokemon/other/official-artwork/shiny/111.png</v>
          </cell>
        </row>
        <row r="181">
          <cell r="A181">
            <v>112</v>
          </cell>
          <cell r="C181" t="str">
            <v>Rhydon</v>
          </cell>
          <cell r="D181" t="str">
            <v>Standard</v>
          </cell>
          <cell r="E181" t="str">
            <v>ground</v>
          </cell>
          <cell r="F181" t="str">
            <v>rock</v>
          </cell>
          <cell r="G181">
            <v>105</v>
          </cell>
          <cell r="H181">
            <v>130</v>
          </cell>
          <cell r="I181">
            <v>120</v>
          </cell>
          <cell r="J181">
            <v>45</v>
          </cell>
          <cell r="K181">
            <v>45</v>
          </cell>
          <cell r="L181">
            <v>40</v>
          </cell>
          <cell r="M181">
            <v>485</v>
          </cell>
          <cell r="N181" t="str">
            <v>lightning-rod</v>
          </cell>
          <cell r="O181" t="str">
            <v>rock-head</v>
          </cell>
          <cell r="P181" t="str">
            <v>reckless</v>
          </cell>
          <cell r="Q181">
            <v>1.9</v>
          </cell>
          <cell r="R181">
            <v>120</v>
          </cell>
          <cell r="S181" t="str">
            <v>Protected by an armor-like hide, it is capable of living in molten lava of 3,600 degrees.</v>
          </cell>
          <cell r="T181" t="str">
            <v>https://raw.githubusercontent.com/PokeAPI/sprites/master/sprites/pokemon/other/official-artwork/112.png</v>
          </cell>
          <cell r="U181" t="str">
            <v>https://raw.githubusercontent.com/PokeAPI/sprites/master/sprites/pokemon/other/official-artwork/shiny/112.png</v>
          </cell>
        </row>
        <row r="182">
          <cell r="A182">
            <v>113</v>
          </cell>
          <cell r="C182" t="str">
            <v>Chansey</v>
          </cell>
          <cell r="D182" t="str">
            <v>Standard</v>
          </cell>
          <cell r="E182" t="str">
            <v>normal</v>
          </cell>
          <cell r="G182">
            <v>250</v>
          </cell>
          <cell r="H182">
            <v>5</v>
          </cell>
          <cell r="I182">
            <v>5</v>
          </cell>
          <cell r="J182">
            <v>35</v>
          </cell>
          <cell r="K182">
            <v>105</v>
          </cell>
          <cell r="L182">
            <v>50</v>
          </cell>
          <cell r="M182">
            <v>450</v>
          </cell>
          <cell r="N182" t="str">
            <v>natural-cure</v>
          </cell>
          <cell r="O182" t="str">
            <v>serene-grace</v>
          </cell>
          <cell r="P182" t="str">
            <v>healer</v>
          </cell>
          <cell r="Q182">
            <v>1.1000000000000001</v>
          </cell>
          <cell r="R182">
            <v>34.6</v>
          </cell>
          <cell r="S182" t="str">
            <v>A rare and elusive POKéMON that is said to bring happiness to those who manage to get it.</v>
          </cell>
          <cell r="T182" t="str">
            <v>https://raw.githubusercontent.com/PokeAPI/sprites/master/sprites/pokemon/other/official-artwork/113.png</v>
          </cell>
          <cell r="U182" t="str">
            <v>https://raw.githubusercontent.com/PokeAPI/sprites/master/sprites/pokemon/other/official-artwork/shiny/113.png</v>
          </cell>
        </row>
        <row r="183">
          <cell r="A183">
            <v>114</v>
          </cell>
          <cell r="C183" t="str">
            <v>Tangela</v>
          </cell>
          <cell r="D183" t="str">
            <v>Standard</v>
          </cell>
          <cell r="E183" t="str">
            <v>grass</v>
          </cell>
          <cell r="G183">
            <v>65</v>
          </cell>
          <cell r="H183">
            <v>55</v>
          </cell>
          <cell r="I183">
            <v>115</v>
          </cell>
          <cell r="J183">
            <v>100</v>
          </cell>
          <cell r="K183">
            <v>40</v>
          </cell>
          <cell r="L183">
            <v>60</v>
          </cell>
          <cell r="M183">
            <v>435</v>
          </cell>
          <cell r="N183" t="str">
            <v>chlorophyll</v>
          </cell>
          <cell r="O183" t="str">
            <v>leaf-guard</v>
          </cell>
          <cell r="P183" t="str">
            <v>regenerator</v>
          </cell>
          <cell r="Q183">
            <v>1</v>
          </cell>
          <cell r="R183">
            <v>35</v>
          </cell>
          <cell r="S183" t="str">
            <v>The whole body is swathed with wide vines that are similar to sea­ weed. Its vines shake as it walks.</v>
          </cell>
          <cell r="T183" t="str">
            <v>https://raw.githubusercontent.com/PokeAPI/sprites/master/sprites/pokemon/other/official-artwork/114.png</v>
          </cell>
          <cell r="U183" t="str">
            <v>https://raw.githubusercontent.com/PokeAPI/sprites/master/sprites/pokemon/other/official-artwork/shiny/114.png</v>
          </cell>
        </row>
        <row r="184">
          <cell r="A184">
            <v>115</v>
          </cell>
          <cell r="C184" t="str">
            <v>Kangaskhan</v>
          </cell>
          <cell r="D184" t="str">
            <v>Standard</v>
          </cell>
          <cell r="E184" t="str">
            <v>normal</v>
          </cell>
          <cell r="G184">
            <v>105</v>
          </cell>
          <cell r="H184">
            <v>95</v>
          </cell>
          <cell r="I184">
            <v>80</v>
          </cell>
          <cell r="J184">
            <v>40</v>
          </cell>
          <cell r="K184">
            <v>80</v>
          </cell>
          <cell r="L184">
            <v>90</v>
          </cell>
          <cell r="M184">
            <v>490</v>
          </cell>
          <cell r="N184" t="str">
            <v>early-bird</v>
          </cell>
          <cell r="O184" t="str">
            <v>scrappy</v>
          </cell>
          <cell r="P184" t="str">
            <v>inner-focus</v>
          </cell>
          <cell r="Q184">
            <v>2.2000000000000002</v>
          </cell>
          <cell r="R184">
            <v>80</v>
          </cell>
          <cell r="S184" t="str">
            <v>The infant rarely ventures out of its mother's protective pouch until it is 3 years old.</v>
          </cell>
          <cell r="T184" t="str">
            <v>https://raw.githubusercontent.com/PokeAPI/sprites/master/sprites/pokemon/other/official-artwork/115.png</v>
          </cell>
          <cell r="U184" t="str">
            <v>https://raw.githubusercontent.com/PokeAPI/sprites/master/sprites/pokemon/other/official-artwork/shiny/115.png</v>
          </cell>
        </row>
        <row r="185">
          <cell r="A185">
            <v>115</v>
          </cell>
          <cell r="C185" t="str">
            <v>Kangaskhan Mega</v>
          </cell>
          <cell r="D185" t="str">
            <v>Mega</v>
          </cell>
          <cell r="E185" t="str">
            <v>normal</v>
          </cell>
          <cell r="G185">
            <v>105</v>
          </cell>
          <cell r="H185">
            <v>125</v>
          </cell>
          <cell r="I185">
            <v>100</v>
          </cell>
          <cell r="J185">
            <v>60</v>
          </cell>
          <cell r="K185">
            <v>100</v>
          </cell>
          <cell r="L185">
            <v>100</v>
          </cell>
          <cell r="M185">
            <v>590</v>
          </cell>
          <cell r="N185" t="str">
            <v>parental-bond</v>
          </cell>
          <cell r="Q185">
            <v>2.2000000000000002</v>
          </cell>
          <cell r="R185">
            <v>100</v>
          </cell>
          <cell r="S185" t="str">
            <v>The infant rarely ventures out of its mother's protective pouch until it is 3 years old.</v>
          </cell>
          <cell r="T185" t="str">
            <v>https://raw.githubusercontent.com/PokeAPI/sprites/master/sprites/pokemon/other/official-artwork/10039.png</v>
          </cell>
          <cell r="U185" t="str">
            <v>https://raw.githubusercontent.com/PokeAPI/sprites/master/sprites/pokemon/other/official-artwork/shiny/10039.png</v>
          </cell>
        </row>
        <row r="186">
          <cell r="A186">
            <v>116</v>
          </cell>
          <cell r="C186" t="str">
            <v>Horsea</v>
          </cell>
          <cell r="D186" t="str">
            <v>Standard</v>
          </cell>
          <cell r="E186" t="str">
            <v>water</v>
          </cell>
          <cell r="G186">
            <v>30</v>
          </cell>
          <cell r="H186">
            <v>40</v>
          </cell>
          <cell r="I186">
            <v>70</v>
          </cell>
          <cell r="J186">
            <v>70</v>
          </cell>
          <cell r="K186">
            <v>25</v>
          </cell>
          <cell r="L186">
            <v>60</v>
          </cell>
          <cell r="M186">
            <v>295</v>
          </cell>
          <cell r="N186" t="str">
            <v>swift-swim</v>
          </cell>
          <cell r="O186" t="str">
            <v>sniper</v>
          </cell>
          <cell r="P186" t="str">
            <v>damp</v>
          </cell>
          <cell r="Q186">
            <v>0.4</v>
          </cell>
          <cell r="R186">
            <v>8</v>
          </cell>
          <cell r="S186" t="str">
            <v>Known to shoot down flying bugs with precision blasts of ink from the surface of the water.</v>
          </cell>
          <cell r="T186" t="str">
            <v>https://raw.githubusercontent.com/PokeAPI/sprites/master/sprites/pokemon/other/official-artwork/116.png</v>
          </cell>
          <cell r="U186" t="str">
            <v>https://raw.githubusercontent.com/PokeAPI/sprites/master/sprites/pokemon/other/official-artwork/shiny/116.png</v>
          </cell>
        </row>
        <row r="187">
          <cell r="A187">
            <v>117</v>
          </cell>
          <cell r="C187" t="str">
            <v>Seadra</v>
          </cell>
          <cell r="D187" t="str">
            <v>Standard</v>
          </cell>
          <cell r="E187" t="str">
            <v>water</v>
          </cell>
          <cell r="G187">
            <v>55</v>
          </cell>
          <cell r="H187">
            <v>65</v>
          </cell>
          <cell r="I187">
            <v>95</v>
          </cell>
          <cell r="J187">
            <v>95</v>
          </cell>
          <cell r="K187">
            <v>45</v>
          </cell>
          <cell r="L187">
            <v>85</v>
          </cell>
          <cell r="M187">
            <v>440</v>
          </cell>
          <cell r="N187" t="str">
            <v>poison-point</v>
          </cell>
          <cell r="O187" t="str">
            <v>sniper</v>
          </cell>
          <cell r="P187" t="str">
            <v>damp</v>
          </cell>
          <cell r="Q187">
            <v>1.2</v>
          </cell>
          <cell r="R187">
            <v>25</v>
          </cell>
          <cell r="S187" t="str">
            <v>Capable of swim­ ming backwards by rapidly flapping its wing-like pectoral fins and stout tail.</v>
          </cell>
          <cell r="T187" t="str">
            <v>https://raw.githubusercontent.com/PokeAPI/sprites/master/sprites/pokemon/other/official-artwork/117.png</v>
          </cell>
          <cell r="U187" t="str">
            <v>https://raw.githubusercontent.com/PokeAPI/sprites/master/sprites/pokemon/other/official-artwork/shiny/117.png</v>
          </cell>
        </row>
        <row r="188">
          <cell r="A188">
            <v>118</v>
          </cell>
          <cell r="C188" t="str">
            <v>Goldeen</v>
          </cell>
          <cell r="D188" t="str">
            <v>Standard</v>
          </cell>
          <cell r="E188" t="str">
            <v>water</v>
          </cell>
          <cell r="G188">
            <v>45</v>
          </cell>
          <cell r="H188">
            <v>67</v>
          </cell>
          <cell r="I188">
            <v>60</v>
          </cell>
          <cell r="J188">
            <v>35</v>
          </cell>
          <cell r="K188">
            <v>50</v>
          </cell>
          <cell r="L188">
            <v>63</v>
          </cell>
          <cell r="M188">
            <v>320</v>
          </cell>
          <cell r="N188" t="str">
            <v>swift-swim</v>
          </cell>
          <cell r="O188" t="str">
            <v>water-veil</v>
          </cell>
          <cell r="P188" t="str">
            <v>lightning-rod</v>
          </cell>
          <cell r="Q188">
            <v>0.6</v>
          </cell>
          <cell r="R188">
            <v>15</v>
          </cell>
          <cell r="S188" t="str">
            <v>Its tail fin billows like an elegant ballroom dress, giving it the nickname of the Water Queen.</v>
          </cell>
          <cell r="T188" t="str">
            <v>https://raw.githubusercontent.com/PokeAPI/sprites/master/sprites/pokemon/other/official-artwork/118.png</v>
          </cell>
          <cell r="U188" t="str">
            <v>https://raw.githubusercontent.com/PokeAPI/sprites/master/sprites/pokemon/other/official-artwork/shiny/118.png</v>
          </cell>
        </row>
        <row r="189">
          <cell r="A189">
            <v>119</v>
          </cell>
          <cell r="C189" t="str">
            <v>Seaking</v>
          </cell>
          <cell r="D189" t="str">
            <v>Standard</v>
          </cell>
          <cell r="E189" t="str">
            <v>water</v>
          </cell>
          <cell r="G189">
            <v>80</v>
          </cell>
          <cell r="H189">
            <v>92</v>
          </cell>
          <cell r="I189">
            <v>65</v>
          </cell>
          <cell r="J189">
            <v>65</v>
          </cell>
          <cell r="K189">
            <v>80</v>
          </cell>
          <cell r="L189">
            <v>68</v>
          </cell>
          <cell r="M189">
            <v>450</v>
          </cell>
          <cell r="N189" t="str">
            <v>swift-swim</v>
          </cell>
          <cell r="O189" t="str">
            <v>water-veil</v>
          </cell>
          <cell r="P189" t="str">
            <v>lightning-rod</v>
          </cell>
          <cell r="Q189">
            <v>1.3</v>
          </cell>
          <cell r="R189">
            <v>39</v>
          </cell>
          <cell r="S189" t="str">
            <v>In the autumn spawning season, they can be seen swimming powerfully up rivers and creeks.</v>
          </cell>
          <cell r="T189" t="str">
            <v>https://raw.githubusercontent.com/PokeAPI/sprites/master/sprites/pokemon/other/official-artwork/119.png</v>
          </cell>
          <cell r="U189" t="str">
            <v>https://raw.githubusercontent.com/PokeAPI/sprites/master/sprites/pokemon/other/official-artwork/shiny/119.png</v>
          </cell>
        </row>
        <row r="190">
          <cell r="A190">
            <v>120</v>
          </cell>
          <cell r="C190" t="str">
            <v>Staryu</v>
          </cell>
          <cell r="D190" t="str">
            <v>Standard</v>
          </cell>
          <cell r="E190" t="str">
            <v>water</v>
          </cell>
          <cell r="G190">
            <v>30</v>
          </cell>
          <cell r="H190">
            <v>45</v>
          </cell>
          <cell r="I190">
            <v>55</v>
          </cell>
          <cell r="J190">
            <v>70</v>
          </cell>
          <cell r="K190">
            <v>55</v>
          </cell>
          <cell r="L190">
            <v>85</v>
          </cell>
          <cell r="M190">
            <v>340</v>
          </cell>
          <cell r="N190" t="str">
            <v>illuminate</v>
          </cell>
          <cell r="O190" t="str">
            <v>natural-cure</v>
          </cell>
          <cell r="P190" t="str">
            <v>analytic</v>
          </cell>
          <cell r="Q190">
            <v>0.8</v>
          </cell>
          <cell r="R190">
            <v>34.5</v>
          </cell>
          <cell r="S190" t="str">
            <v>If its body is torn, it can grow back if the red core remains. The core flashes at midnight.</v>
          </cell>
          <cell r="T190" t="str">
            <v>https://raw.githubusercontent.com/PokeAPI/sprites/master/sprites/pokemon/other/official-artwork/120.png</v>
          </cell>
          <cell r="U190" t="str">
            <v>https://raw.githubusercontent.com/PokeAPI/sprites/master/sprites/pokemon/other/official-artwork/shiny/120.png</v>
          </cell>
        </row>
        <row r="191">
          <cell r="A191">
            <v>121</v>
          </cell>
          <cell r="C191" t="str">
            <v>Starmie</v>
          </cell>
          <cell r="D191" t="str">
            <v>Standard</v>
          </cell>
          <cell r="E191" t="str">
            <v>water</v>
          </cell>
          <cell r="F191" t="str">
            <v>psychic</v>
          </cell>
          <cell r="G191">
            <v>60</v>
          </cell>
          <cell r="H191">
            <v>75</v>
          </cell>
          <cell r="I191">
            <v>85</v>
          </cell>
          <cell r="J191">
            <v>100</v>
          </cell>
          <cell r="K191">
            <v>85</v>
          </cell>
          <cell r="L191">
            <v>115</v>
          </cell>
          <cell r="M191">
            <v>520</v>
          </cell>
          <cell r="N191" t="str">
            <v>illuminate</v>
          </cell>
          <cell r="O191" t="str">
            <v>natural-cure</v>
          </cell>
          <cell r="P191" t="str">
            <v>analytic</v>
          </cell>
          <cell r="Q191">
            <v>1.1000000000000001</v>
          </cell>
          <cell r="R191">
            <v>80</v>
          </cell>
          <cell r="S191" t="str">
            <v>Its central core glows with the seven colors of the rainbow. Some people value the core as a gem.</v>
          </cell>
          <cell r="T191" t="str">
            <v>https://raw.githubusercontent.com/PokeAPI/sprites/master/sprites/pokemon/other/official-artwork/121.png</v>
          </cell>
          <cell r="U191" t="str">
            <v>https://raw.githubusercontent.com/PokeAPI/sprites/master/sprites/pokemon/other/official-artwork/shiny/121.png</v>
          </cell>
        </row>
        <row r="192">
          <cell r="A192">
            <v>121</v>
          </cell>
          <cell r="C192" t="str">
            <v>Starmie Mega</v>
          </cell>
          <cell r="D192" t="str">
            <v>Mega</v>
          </cell>
          <cell r="E192" t="str">
            <v>water</v>
          </cell>
          <cell r="F192" t="str">
            <v>psychic</v>
          </cell>
          <cell r="G192">
            <v>60</v>
          </cell>
          <cell r="H192">
            <v>140</v>
          </cell>
          <cell r="I192">
            <v>105</v>
          </cell>
          <cell r="J192">
            <v>130</v>
          </cell>
          <cell r="K192">
            <v>105</v>
          </cell>
          <cell r="L192">
            <v>120</v>
          </cell>
          <cell r="M192">
            <v>660</v>
          </cell>
          <cell r="Q192">
            <v>2.2999999999999998</v>
          </cell>
          <cell r="R192">
            <v>80</v>
          </cell>
          <cell r="S192" t="str">
            <v>Its central core glows with the seven colors of the rainbow. Some people value the core as a gem.</v>
          </cell>
          <cell r="T192" t="str">
            <v>https://raw.githubusercontent.com/PokeAPI/sprites/master/sprites/pokemon/other/showdown/10280.gif</v>
          </cell>
          <cell r="U192" t="str">
            <v>https://raw.githubusercontent.com/PokeAPI/sprites/master/sprites/pokemon/other/showdown/shiny/10280.gif</v>
          </cell>
        </row>
        <row r="193">
          <cell r="A193">
            <v>122</v>
          </cell>
          <cell r="C193" t="str">
            <v>Mr Mime</v>
          </cell>
          <cell r="D193" t="str">
            <v>Other</v>
          </cell>
          <cell r="E193" t="str">
            <v>psychic</v>
          </cell>
          <cell r="F193" t="str">
            <v>fairy</v>
          </cell>
          <cell r="G193">
            <v>40</v>
          </cell>
          <cell r="H193">
            <v>45</v>
          </cell>
          <cell r="I193">
            <v>65</v>
          </cell>
          <cell r="J193">
            <v>100</v>
          </cell>
          <cell r="K193">
            <v>120</v>
          </cell>
          <cell r="L193">
            <v>90</v>
          </cell>
          <cell r="M193">
            <v>460</v>
          </cell>
          <cell r="N193" t="str">
            <v>soundproof</v>
          </cell>
          <cell r="O193" t="str">
            <v>filter</v>
          </cell>
          <cell r="P193" t="str">
            <v>technician</v>
          </cell>
          <cell r="Q193">
            <v>1.3</v>
          </cell>
          <cell r="R193">
            <v>54.5</v>
          </cell>
          <cell r="S193" t="str">
            <v>If interrupted while it is miming, it will slap around the offender with its broad hands.</v>
          </cell>
          <cell r="T193" t="str">
            <v>https://raw.githubusercontent.com/PokeAPI/sprites/master/sprites/pokemon/other/official-artwork/122.png</v>
          </cell>
          <cell r="U193" t="str">
            <v>https://raw.githubusercontent.com/PokeAPI/sprites/master/sprites/pokemon/other/official-artwork/shiny/122.png</v>
          </cell>
        </row>
        <row r="194">
          <cell r="A194">
            <v>122</v>
          </cell>
          <cell r="C194" t="str">
            <v>Mr Mime Galar</v>
          </cell>
          <cell r="D194" t="str">
            <v>Regional</v>
          </cell>
          <cell r="E194" t="str">
            <v>ice</v>
          </cell>
          <cell r="F194" t="str">
            <v>psychic</v>
          </cell>
          <cell r="G194">
            <v>50</v>
          </cell>
          <cell r="H194">
            <v>65</v>
          </cell>
          <cell r="I194">
            <v>65</v>
          </cell>
          <cell r="J194">
            <v>90</v>
          </cell>
          <cell r="K194">
            <v>90</v>
          </cell>
          <cell r="L194">
            <v>100</v>
          </cell>
          <cell r="M194">
            <v>460</v>
          </cell>
          <cell r="N194" t="str">
            <v>vital-spirit</v>
          </cell>
          <cell r="O194" t="str">
            <v>screen-cleaner</v>
          </cell>
          <cell r="P194" t="str">
            <v>ice-body</v>
          </cell>
          <cell r="Q194">
            <v>1.4</v>
          </cell>
          <cell r="R194">
            <v>56.8</v>
          </cell>
          <cell r="S194" t="str">
            <v>If interrupted while it is miming, it will slap around the offender with its broad hands.</v>
          </cell>
          <cell r="T194" t="str">
            <v>https://raw.githubusercontent.com/PokeAPI/sprites/master/sprites/pokemon/other/official-artwork/10168.png</v>
          </cell>
          <cell r="U194" t="str">
            <v>https://raw.githubusercontent.com/PokeAPI/sprites/master/sprites/pokemon/other/official-artwork/shiny/10168.png</v>
          </cell>
        </row>
        <row r="195">
          <cell r="A195">
            <v>123</v>
          </cell>
          <cell r="C195" t="str">
            <v>Scyther</v>
          </cell>
          <cell r="D195" t="str">
            <v>Standard</v>
          </cell>
          <cell r="E195" t="str">
            <v>bug</v>
          </cell>
          <cell r="F195" t="str">
            <v>flying</v>
          </cell>
          <cell r="G195">
            <v>70</v>
          </cell>
          <cell r="H195">
            <v>110</v>
          </cell>
          <cell r="I195">
            <v>80</v>
          </cell>
          <cell r="J195">
            <v>55</v>
          </cell>
          <cell r="K195">
            <v>80</v>
          </cell>
          <cell r="L195">
            <v>105</v>
          </cell>
          <cell r="M195">
            <v>500</v>
          </cell>
          <cell r="N195" t="str">
            <v>swarm</v>
          </cell>
          <cell r="O195" t="str">
            <v>technician</v>
          </cell>
          <cell r="P195" t="str">
            <v>steadfast</v>
          </cell>
          <cell r="Q195">
            <v>1.5</v>
          </cell>
          <cell r="R195">
            <v>56</v>
          </cell>
          <cell r="S195" t="str">
            <v>With ninja-like agility and speed, it can create the illusion that there is more than one.</v>
          </cell>
          <cell r="T195" t="str">
            <v>https://raw.githubusercontent.com/PokeAPI/sprites/master/sprites/pokemon/other/official-artwork/123.png</v>
          </cell>
          <cell r="U195" t="str">
            <v>https://raw.githubusercontent.com/PokeAPI/sprites/master/sprites/pokemon/other/official-artwork/shiny/123.png</v>
          </cell>
        </row>
        <row r="196">
          <cell r="A196">
            <v>124</v>
          </cell>
          <cell r="C196" t="str">
            <v>Jynx</v>
          </cell>
          <cell r="D196" t="str">
            <v>Standard</v>
          </cell>
          <cell r="E196" t="str">
            <v>ice</v>
          </cell>
          <cell r="F196" t="str">
            <v>psychic</v>
          </cell>
          <cell r="G196">
            <v>65</v>
          </cell>
          <cell r="H196">
            <v>50</v>
          </cell>
          <cell r="I196">
            <v>35</v>
          </cell>
          <cell r="J196">
            <v>115</v>
          </cell>
          <cell r="K196">
            <v>95</v>
          </cell>
          <cell r="L196">
            <v>95</v>
          </cell>
          <cell r="M196">
            <v>455</v>
          </cell>
          <cell r="N196" t="str">
            <v>oblivious</v>
          </cell>
          <cell r="O196" t="str">
            <v>forewarn</v>
          </cell>
          <cell r="P196" t="str">
            <v>dry-skin</v>
          </cell>
          <cell r="Q196">
            <v>1.4</v>
          </cell>
          <cell r="R196">
            <v>40.6</v>
          </cell>
          <cell r="S196" t="str">
            <v>It seductively wiggles its hips as it walks. It can cause people to dance in unison with it.</v>
          </cell>
          <cell r="T196" t="str">
            <v>https://raw.githubusercontent.com/PokeAPI/sprites/master/sprites/pokemon/other/official-artwork/124.png</v>
          </cell>
          <cell r="U196" t="str">
            <v>https://raw.githubusercontent.com/PokeAPI/sprites/master/sprites/pokemon/other/official-artwork/shiny/124.png</v>
          </cell>
        </row>
        <row r="197">
          <cell r="A197">
            <v>125</v>
          </cell>
          <cell r="C197" t="str">
            <v>Electabuzz</v>
          </cell>
          <cell r="D197" t="str">
            <v>Standard</v>
          </cell>
          <cell r="E197" t="str">
            <v>electric</v>
          </cell>
          <cell r="G197">
            <v>65</v>
          </cell>
          <cell r="H197">
            <v>83</v>
          </cell>
          <cell r="I197">
            <v>57</v>
          </cell>
          <cell r="J197">
            <v>95</v>
          </cell>
          <cell r="K197">
            <v>85</v>
          </cell>
          <cell r="L197">
            <v>105</v>
          </cell>
          <cell r="M197">
            <v>490</v>
          </cell>
          <cell r="N197" t="str">
            <v>static</v>
          </cell>
          <cell r="P197" t="str">
            <v>vital-spirit</v>
          </cell>
          <cell r="Q197">
            <v>1.1000000000000001</v>
          </cell>
          <cell r="R197">
            <v>30</v>
          </cell>
          <cell r="S197" t="str">
            <v>Normally found near power plants, they can wander away and cause major blackouts in cities.</v>
          </cell>
          <cell r="T197" t="str">
            <v>https://raw.githubusercontent.com/PokeAPI/sprites/master/sprites/pokemon/other/official-artwork/125.png</v>
          </cell>
          <cell r="U197" t="str">
            <v>https://raw.githubusercontent.com/PokeAPI/sprites/master/sprites/pokemon/other/official-artwork/shiny/125.png</v>
          </cell>
        </row>
        <row r="198">
          <cell r="A198">
            <v>126</v>
          </cell>
          <cell r="C198" t="str">
            <v>Magmar</v>
          </cell>
          <cell r="D198" t="str">
            <v>Standard</v>
          </cell>
          <cell r="E198" t="str">
            <v>fire</v>
          </cell>
          <cell r="G198">
            <v>65</v>
          </cell>
          <cell r="H198">
            <v>95</v>
          </cell>
          <cell r="I198">
            <v>57</v>
          </cell>
          <cell r="J198">
            <v>100</v>
          </cell>
          <cell r="K198">
            <v>85</v>
          </cell>
          <cell r="L198">
            <v>93</v>
          </cell>
          <cell r="M198">
            <v>495</v>
          </cell>
          <cell r="N198" t="str">
            <v>flame-body</v>
          </cell>
          <cell r="P198" t="str">
            <v>vital-spirit</v>
          </cell>
          <cell r="Q198">
            <v>1.3</v>
          </cell>
          <cell r="R198">
            <v>44.5</v>
          </cell>
          <cell r="S198" t="str">
            <v>Its body always burns with an orange glow that enables it to hide perfectly among flames.</v>
          </cell>
          <cell r="T198" t="str">
            <v>https://raw.githubusercontent.com/PokeAPI/sprites/master/sprites/pokemon/other/official-artwork/126.png</v>
          </cell>
          <cell r="U198" t="str">
            <v>https://raw.githubusercontent.com/PokeAPI/sprites/master/sprites/pokemon/other/official-artwork/shiny/126.png</v>
          </cell>
        </row>
        <row r="199">
          <cell r="A199">
            <v>127</v>
          </cell>
          <cell r="C199" t="str">
            <v>Pinsir</v>
          </cell>
          <cell r="D199" t="str">
            <v>Standard</v>
          </cell>
          <cell r="E199" t="str">
            <v>bug</v>
          </cell>
          <cell r="G199">
            <v>65</v>
          </cell>
          <cell r="H199">
            <v>125</v>
          </cell>
          <cell r="I199">
            <v>100</v>
          </cell>
          <cell r="J199">
            <v>55</v>
          </cell>
          <cell r="K199">
            <v>70</v>
          </cell>
          <cell r="L199">
            <v>85</v>
          </cell>
          <cell r="M199">
            <v>500</v>
          </cell>
          <cell r="N199" t="str">
            <v>hyper-cutter</v>
          </cell>
          <cell r="O199" t="str">
            <v>mold-breaker</v>
          </cell>
          <cell r="P199" t="str">
            <v>moxie</v>
          </cell>
          <cell r="Q199">
            <v>1.5</v>
          </cell>
          <cell r="R199">
            <v>55</v>
          </cell>
          <cell r="S199" t="str">
            <v>If it fails to crush the victim in its pincers, it will swing it around and toss it hard.</v>
          </cell>
          <cell r="T199" t="str">
            <v>https://raw.githubusercontent.com/PokeAPI/sprites/master/sprites/pokemon/other/official-artwork/127.png</v>
          </cell>
          <cell r="U199" t="str">
            <v>https://raw.githubusercontent.com/PokeAPI/sprites/master/sprites/pokemon/other/official-artwork/shiny/127.png</v>
          </cell>
        </row>
        <row r="200">
          <cell r="A200">
            <v>127</v>
          </cell>
          <cell r="C200" t="str">
            <v>Pinsir Mega</v>
          </cell>
          <cell r="D200" t="str">
            <v>Mega</v>
          </cell>
          <cell r="E200" t="str">
            <v>bug</v>
          </cell>
          <cell r="F200" t="str">
            <v>flying</v>
          </cell>
          <cell r="G200">
            <v>65</v>
          </cell>
          <cell r="H200">
            <v>155</v>
          </cell>
          <cell r="I200">
            <v>120</v>
          </cell>
          <cell r="J200">
            <v>65</v>
          </cell>
          <cell r="K200">
            <v>90</v>
          </cell>
          <cell r="L200">
            <v>105</v>
          </cell>
          <cell r="M200">
            <v>600</v>
          </cell>
          <cell r="N200" t="str">
            <v>aerilate</v>
          </cell>
          <cell r="Q200">
            <v>1.7</v>
          </cell>
          <cell r="R200">
            <v>59</v>
          </cell>
          <cell r="S200" t="str">
            <v>If it fails to crush the victim in its pincers, it will swing it around and toss it hard.</v>
          </cell>
          <cell r="T200" t="str">
            <v>https://raw.githubusercontent.com/PokeAPI/sprites/master/sprites/pokemon/other/official-artwork/10040.png</v>
          </cell>
          <cell r="U200" t="str">
            <v>https://raw.githubusercontent.com/PokeAPI/sprites/master/sprites/pokemon/other/official-artwork/shiny/10040.png</v>
          </cell>
        </row>
        <row r="201">
          <cell r="A201">
            <v>128</v>
          </cell>
          <cell r="C201" t="str">
            <v>Tauros</v>
          </cell>
          <cell r="D201" t="str">
            <v>Standard</v>
          </cell>
          <cell r="E201" t="str">
            <v>normal</v>
          </cell>
          <cell r="G201">
            <v>75</v>
          </cell>
          <cell r="H201">
            <v>100</v>
          </cell>
          <cell r="I201">
            <v>95</v>
          </cell>
          <cell r="J201">
            <v>40</v>
          </cell>
          <cell r="K201">
            <v>70</v>
          </cell>
          <cell r="L201">
            <v>110</v>
          </cell>
          <cell r="M201">
            <v>490</v>
          </cell>
          <cell r="N201" t="str">
            <v>intimidate</v>
          </cell>
          <cell r="O201" t="str">
            <v>anger-point</v>
          </cell>
          <cell r="P201" t="str">
            <v>sheer-force</v>
          </cell>
          <cell r="Q201">
            <v>1.4</v>
          </cell>
          <cell r="R201">
            <v>88.4</v>
          </cell>
          <cell r="S201" t="str">
            <v>When it targets an enemy, it charges furiously while whipping its body with its long tails.</v>
          </cell>
          <cell r="T201" t="str">
            <v>https://raw.githubusercontent.com/PokeAPI/sprites/master/sprites/pokemon/other/official-artwork/128.png</v>
          </cell>
          <cell r="U201" t="str">
            <v>https://raw.githubusercontent.com/PokeAPI/sprites/master/sprites/pokemon/other/official-artwork/shiny/128.png</v>
          </cell>
        </row>
        <row r="202">
          <cell r="A202">
            <v>128</v>
          </cell>
          <cell r="C202" t="str">
            <v>Tauros Paldea Aqua Breed</v>
          </cell>
          <cell r="D202" t="str">
            <v>Regional</v>
          </cell>
          <cell r="E202" t="str">
            <v>fighting</v>
          </cell>
          <cell r="F202" t="str">
            <v>water</v>
          </cell>
          <cell r="G202">
            <v>75</v>
          </cell>
          <cell r="H202">
            <v>110</v>
          </cell>
          <cell r="I202">
            <v>105</v>
          </cell>
          <cell r="J202">
            <v>30</v>
          </cell>
          <cell r="K202">
            <v>70</v>
          </cell>
          <cell r="L202">
            <v>100</v>
          </cell>
          <cell r="M202">
            <v>490</v>
          </cell>
          <cell r="N202" t="str">
            <v>intimidate</v>
          </cell>
          <cell r="O202" t="str">
            <v>anger-point</v>
          </cell>
          <cell r="P202" t="str">
            <v>cud-chew</v>
          </cell>
          <cell r="Q202">
            <v>1.4</v>
          </cell>
          <cell r="R202">
            <v>110</v>
          </cell>
          <cell r="S202" t="str">
            <v>When it targets an enemy, it charges furiously while whipping its body with its long tails.</v>
          </cell>
          <cell r="T202" t="str">
            <v>https://raw.githubusercontent.com/PokeAPI/sprites/master/sprites/pokemon/other/official-artwork/10252.png</v>
          </cell>
          <cell r="U202" t="str">
            <v>https://raw.githubusercontent.com/PokeAPI/sprites/master/sprites/pokemon/other/official-artwork/shiny/10252.png</v>
          </cell>
        </row>
        <row r="203">
          <cell r="A203">
            <v>128</v>
          </cell>
          <cell r="C203" t="str">
            <v>Tauros Paldea Blaze Breed</v>
          </cell>
          <cell r="D203" t="str">
            <v>Regional</v>
          </cell>
          <cell r="E203" t="str">
            <v>fighting</v>
          </cell>
          <cell r="F203" t="str">
            <v>fire</v>
          </cell>
          <cell r="G203">
            <v>75</v>
          </cell>
          <cell r="H203">
            <v>110</v>
          </cell>
          <cell r="I203">
            <v>105</v>
          </cell>
          <cell r="J203">
            <v>30</v>
          </cell>
          <cell r="K203">
            <v>70</v>
          </cell>
          <cell r="L203">
            <v>100</v>
          </cell>
          <cell r="M203">
            <v>490</v>
          </cell>
          <cell r="N203" t="str">
            <v>intimidate</v>
          </cell>
          <cell r="O203" t="str">
            <v>anger-point</v>
          </cell>
          <cell r="P203" t="str">
            <v>cud-chew</v>
          </cell>
          <cell r="Q203">
            <v>1.4</v>
          </cell>
          <cell r="R203">
            <v>85</v>
          </cell>
          <cell r="S203" t="str">
            <v>When it targets an enemy, it charges furiously while whipping its body with its long tails.</v>
          </cell>
          <cell r="T203" t="str">
            <v>https://raw.githubusercontent.com/PokeAPI/sprites/master/sprites/pokemon/other/official-artwork/10251.png</v>
          </cell>
          <cell r="U203" t="str">
            <v>https://raw.githubusercontent.com/PokeAPI/sprites/master/sprites/pokemon/other/official-artwork/shiny/10251.png</v>
          </cell>
        </row>
        <row r="204">
          <cell r="A204">
            <v>128</v>
          </cell>
          <cell r="C204" t="str">
            <v>Tauros Paldea Combat Breed</v>
          </cell>
          <cell r="D204" t="str">
            <v>Regional</v>
          </cell>
          <cell r="E204" t="str">
            <v>fighting</v>
          </cell>
          <cell r="G204">
            <v>75</v>
          </cell>
          <cell r="H204">
            <v>110</v>
          </cell>
          <cell r="I204">
            <v>105</v>
          </cell>
          <cell r="J204">
            <v>30</v>
          </cell>
          <cell r="K204">
            <v>70</v>
          </cell>
          <cell r="L204">
            <v>100</v>
          </cell>
          <cell r="M204">
            <v>490</v>
          </cell>
          <cell r="N204" t="str">
            <v>intimidate</v>
          </cell>
          <cell r="O204" t="str">
            <v>anger-point</v>
          </cell>
          <cell r="P204" t="str">
            <v>cud-chew</v>
          </cell>
          <cell r="Q204">
            <v>1.4</v>
          </cell>
          <cell r="R204">
            <v>115</v>
          </cell>
          <cell r="S204" t="str">
            <v>When it targets an enemy, it charges furiously while whipping its body with its long tails.</v>
          </cell>
          <cell r="T204" t="str">
            <v>https://raw.githubusercontent.com/PokeAPI/sprites/master/sprites/pokemon/other/official-artwork/10250.png</v>
          </cell>
          <cell r="U204" t="str">
            <v>https://raw.githubusercontent.com/PokeAPI/sprites/master/sprites/pokemon/other/official-artwork/shiny/10250.png</v>
          </cell>
        </row>
        <row r="205">
          <cell r="A205">
            <v>129</v>
          </cell>
          <cell r="C205" t="str">
            <v>Magikarp</v>
          </cell>
          <cell r="D205" t="str">
            <v>Standard</v>
          </cell>
          <cell r="E205" t="str">
            <v>water</v>
          </cell>
          <cell r="G205">
            <v>20</v>
          </cell>
          <cell r="H205">
            <v>10</v>
          </cell>
          <cell r="I205">
            <v>55</v>
          </cell>
          <cell r="J205">
            <v>15</v>
          </cell>
          <cell r="K205">
            <v>20</v>
          </cell>
          <cell r="L205">
            <v>80</v>
          </cell>
          <cell r="M205">
            <v>200</v>
          </cell>
          <cell r="N205" t="str">
            <v>swift-swim</v>
          </cell>
          <cell r="P205" t="str">
            <v>rattled</v>
          </cell>
          <cell r="Q205">
            <v>0.9</v>
          </cell>
          <cell r="R205">
            <v>10</v>
          </cell>
          <cell r="S205" t="str">
            <v>In the distant past, it was somewhat stronger than the horribly weak descendants that exist today.</v>
          </cell>
          <cell r="T205" t="str">
            <v>https://raw.githubusercontent.com/PokeAPI/sprites/master/sprites/pokemon/other/official-artwork/129.png</v>
          </cell>
          <cell r="U205" t="str">
            <v>https://raw.githubusercontent.com/PokeAPI/sprites/master/sprites/pokemon/other/official-artwork/shiny/129.png</v>
          </cell>
        </row>
        <row r="206">
          <cell r="A206">
            <v>130</v>
          </cell>
          <cell r="C206" t="str">
            <v>Gyarados</v>
          </cell>
          <cell r="D206" t="str">
            <v>Standard</v>
          </cell>
          <cell r="E206" t="str">
            <v>water</v>
          </cell>
          <cell r="F206" t="str">
            <v>flying</v>
          </cell>
          <cell r="G206">
            <v>95</v>
          </cell>
          <cell r="H206">
            <v>125</v>
          </cell>
          <cell r="I206">
            <v>79</v>
          </cell>
          <cell r="J206">
            <v>60</v>
          </cell>
          <cell r="K206">
            <v>100</v>
          </cell>
          <cell r="L206">
            <v>81</v>
          </cell>
          <cell r="M206">
            <v>540</v>
          </cell>
          <cell r="N206" t="str">
            <v>intimidate</v>
          </cell>
          <cell r="P206" t="str">
            <v>moxie</v>
          </cell>
          <cell r="Q206">
            <v>6.5</v>
          </cell>
          <cell r="R206">
            <v>235</v>
          </cell>
          <cell r="S206" t="str">
            <v>Once it begins to rampage, a GYARADOS will burn everything down, even in a harsh storm.</v>
          </cell>
          <cell r="T206" t="str">
            <v>https://raw.githubusercontent.com/PokeAPI/sprites/master/sprites/pokemon/other/official-artwork/130.png</v>
          </cell>
          <cell r="U206" t="str">
            <v>https://raw.githubusercontent.com/PokeAPI/sprites/master/sprites/pokemon/other/official-artwork/shiny/130.png</v>
          </cell>
        </row>
        <row r="207">
          <cell r="A207">
            <v>130</v>
          </cell>
          <cell r="C207" t="str">
            <v>Gyarados Mega</v>
          </cell>
          <cell r="D207" t="str">
            <v>Mega</v>
          </cell>
          <cell r="E207" t="str">
            <v>water</v>
          </cell>
          <cell r="F207" t="str">
            <v>dark</v>
          </cell>
          <cell r="G207">
            <v>95</v>
          </cell>
          <cell r="H207">
            <v>155</v>
          </cell>
          <cell r="I207">
            <v>109</v>
          </cell>
          <cell r="J207">
            <v>70</v>
          </cell>
          <cell r="K207">
            <v>130</v>
          </cell>
          <cell r="L207">
            <v>81</v>
          </cell>
          <cell r="M207">
            <v>640</v>
          </cell>
          <cell r="N207" t="str">
            <v>mold-breaker</v>
          </cell>
          <cell r="Q207">
            <v>6.5</v>
          </cell>
          <cell r="R207">
            <v>305</v>
          </cell>
          <cell r="S207" t="str">
            <v>Once it begins to rampage, a GYARADOS will burn everything down, even in a harsh storm.</v>
          </cell>
          <cell r="T207" t="str">
            <v>https://raw.githubusercontent.com/PokeAPI/sprites/master/sprites/pokemon/other/official-artwork/10041.png</v>
          </cell>
          <cell r="U207" t="str">
            <v>https://raw.githubusercontent.com/PokeAPI/sprites/master/sprites/pokemon/other/official-artwork/shiny/10041.png</v>
          </cell>
        </row>
        <row r="208">
          <cell r="A208">
            <v>131</v>
          </cell>
          <cell r="C208" t="str">
            <v>Lapras</v>
          </cell>
          <cell r="D208" t="str">
            <v>Standard</v>
          </cell>
          <cell r="E208" t="str">
            <v>water</v>
          </cell>
          <cell r="F208" t="str">
            <v>ice</v>
          </cell>
          <cell r="G208">
            <v>130</v>
          </cell>
          <cell r="H208">
            <v>85</v>
          </cell>
          <cell r="I208">
            <v>80</v>
          </cell>
          <cell r="J208">
            <v>85</v>
          </cell>
          <cell r="K208">
            <v>95</v>
          </cell>
          <cell r="L208">
            <v>60</v>
          </cell>
          <cell r="M208">
            <v>535</v>
          </cell>
          <cell r="N208" t="str">
            <v>water-absorb</v>
          </cell>
          <cell r="O208" t="str">
            <v>shell-armor</v>
          </cell>
          <cell r="P208" t="str">
            <v>hydration</v>
          </cell>
          <cell r="Q208">
            <v>2.5</v>
          </cell>
          <cell r="R208">
            <v>220</v>
          </cell>
          <cell r="S208" t="str">
            <v>A POKéMON that has been over­ hunted almost to extinction. It can ferry people across the water.</v>
          </cell>
          <cell r="T208" t="str">
            <v>https://raw.githubusercontent.com/PokeAPI/sprites/master/sprites/pokemon/other/official-artwork/131.png</v>
          </cell>
          <cell r="U208" t="str">
            <v>https://raw.githubusercontent.com/PokeAPI/sprites/master/sprites/pokemon/other/official-artwork/shiny/131.png</v>
          </cell>
        </row>
        <row r="209">
          <cell r="A209">
            <v>131</v>
          </cell>
          <cell r="C209" t="str">
            <v>Lapras Gmax</v>
          </cell>
          <cell r="D209" t="str">
            <v>Gigantamax</v>
          </cell>
          <cell r="E209" t="str">
            <v>water</v>
          </cell>
          <cell r="F209" t="str">
            <v>ice</v>
          </cell>
          <cell r="G209">
            <v>130</v>
          </cell>
          <cell r="H209">
            <v>85</v>
          </cell>
          <cell r="I209">
            <v>80</v>
          </cell>
          <cell r="J209">
            <v>85</v>
          </cell>
          <cell r="K209">
            <v>95</v>
          </cell>
          <cell r="L209">
            <v>60</v>
          </cell>
          <cell r="M209">
            <v>535</v>
          </cell>
          <cell r="N209" t="str">
            <v>water-absorb</v>
          </cell>
          <cell r="O209" t="str">
            <v>shell-armor</v>
          </cell>
          <cell r="P209" t="str">
            <v>hydration</v>
          </cell>
          <cell r="Q209">
            <v>24</v>
          </cell>
          <cell r="R209">
            <v>1000</v>
          </cell>
          <cell r="S209" t="str">
            <v>A POKéMON that has been over­ hunted almost to extinction. It can ferry people across the water.</v>
          </cell>
          <cell r="T209" t="str">
            <v>https://raw.githubusercontent.com/PokeAPI/sprites/master/sprites/pokemon/other/official-artwork/10204.png</v>
          </cell>
          <cell r="U209" t="str">
            <v>https://raw.githubusercontent.com/PokeAPI/sprites/master/sprites/pokemon/other/official-artwork/shiny/10204.png</v>
          </cell>
        </row>
        <row r="210">
          <cell r="A210">
            <v>132</v>
          </cell>
          <cell r="C210" t="str">
            <v>Ditto</v>
          </cell>
          <cell r="D210" t="str">
            <v>Standard</v>
          </cell>
          <cell r="E210" t="str">
            <v>normal</v>
          </cell>
          <cell r="G210">
            <v>48</v>
          </cell>
          <cell r="H210">
            <v>48</v>
          </cell>
          <cell r="I210">
            <v>48</v>
          </cell>
          <cell r="J210">
            <v>48</v>
          </cell>
          <cell r="K210">
            <v>48</v>
          </cell>
          <cell r="L210">
            <v>48</v>
          </cell>
          <cell r="M210">
            <v>288</v>
          </cell>
          <cell r="N210" t="str">
            <v>limber</v>
          </cell>
          <cell r="P210" t="str">
            <v>imposter</v>
          </cell>
          <cell r="Q210">
            <v>0.3</v>
          </cell>
          <cell r="R210">
            <v>4</v>
          </cell>
          <cell r="S210" t="str">
            <v>Capable of copying an enemy's genetic code to instantly transform itself into a duplicate of the enemy.</v>
          </cell>
          <cell r="T210" t="str">
            <v>https://raw.githubusercontent.com/PokeAPI/sprites/master/sprites/pokemon/other/official-artwork/132.png</v>
          </cell>
          <cell r="U210" t="str">
            <v>https://raw.githubusercontent.com/PokeAPI/sprites/master/sprites/pokemon/other/official-artwork/shiny/132.png</v>
          </cell>
        </row>
        <row r="211">
          <cell r="A211">
            <v>133</v>
          </cell>
          <cell r="C211" t="str">
            <v>Eevee</v>
          </cell>
          <cell r="D211" t="str">
            <v>Standard</v>
          </cell>
          <cell r="E211" t="str">
            <v>normal</v>
          </cell>
          <cell r="G211">
            <v>55</v>
          </cell>
          <cell r="H211">
            <v>55</v>
          </cell>
          <cell r="I211">
            <v>50</v>
          </cell>
          <cell r="J211">
            <v>45</v>
          </cell>
          <cell r="K211">
            <v>65</v>
          </cell>
          <cell r="L211">
            <v>55</v>
          </cell>
          <cell r="M211">
            <v>325</v>
          </cell>
          <cell r="N211" t="str">
            <v>run-away</v>
          </cell>
          <cell r="O211" t="str">
            <v>adaptability</v>
          </cell>
          <cell r="P211" t="str">
            <v>anticipation</v>
          </cell>
          <cell r="Q211">
            <v>0.3</v>
          </cell>
          <cell r="R211">
            <v>6.5</v>
          </cell>
          <cell r="S211" t="str">
            <v>Its genetic code is irregular. It may mutate if it is exposed to radiation from element STONEs.</v>
          </cell>
          <cell r="T211" t="str">
            <v>https://raw.githubusercontent.com/PokeAPI/sprites/master/sprites/pokemon/other/official-artwork/133.png</v>
          </cell>
          <cell r="U211" t="str">
            <v>https://raw.githubusercontent.com/PokeAPI/sprites/master/sprites/pokemon/other/official-artwork/shiny/133.png</v>
          </cell>
        </row>
        <row r="212">
          <cell r="A212">
            <v>133</v>
          </cell>
          <cell r="C212" t="str">
            <v>Eevee Gmax</v>
          </cell>
          <cell r="D212" t="str">
            <v>Gigantamax</v>
          </cell>
          <cell r="E212" t="str">
            <v>normal</v>
          </cell>
          <cell r="G212">
            <v>55</v>
          </cell>
          <cell r="H212">
            <v>55</v>
          </cell>
          <cell r="I212">
            <v>50</v>
          </cell>
          <cell r="J212">
            <v>45</v>
          </cell>
          <cell r="K212">
            <v>65</v>
          </cell>
          <cell r="L212">
            <v>55</v>
          </cell>
          <cell r="M212">
            <v>325</v>
          </cell>
          <cell r="N212" t="str">
            <v>run-away</v>
          </cell>
          <cell r="O212" t="str">
            <v>adaptability</v>
          </cell>
          <cell r="P212" t="str">
            <v>anticipation</v>
          </cell>
          <cell r="Q212">
            <v>18</v>
          </cell>
          <cell r="R212">
            <v>1000</v>
          </cell>
          <cell r="S212" t="str">
            <v>Its genetic code is irregular. It may mutate if it is exposed to radiation from element STONEs.</v>
          </cell>
          <cell r="T212" t="str">
            <v>https://raw.githubusercontent.com/PokeAPI/sprites/master/sprites/pokemon/other/official-artwork/10205.png</v>
          </cell>
          <cell r="U212" t="str">
            <v>https://raw.githubusercontent.com/PokeAPI/sprites/master/sprites/pokemon/other/official-artwork/shiny/10205.png</v>
          </cell>
        </row>
        <row r="213">
          <cell r="A213">
            <v>133</v>
          </cell>
          <cell r="C213" t="str">
            <v>Eevee Starter</v>
          </cell>
          <cell r="D213" t="str">
            <v>Other</v>
          </cell>
          <cell r="E213" t="str">
            <v>normal</v>
          </cell>
          <cell r="G213">
            <v>65</v>
          </cell>
          <cell r="H213">
            <v>75</v>
          </cell>
          <cell r="I213">
            <v>70</v>
          </cell>
          <cell r="J213">
            <v>65</v>
          </cell>
          <cell r="K213">
            <v>85</v>
          </cell>
          <cell r="L213">
            <v>75</v>
          </cell>
          <cell r="M213">
            <v>435</v>
          </cell>
          <cell r="N213" t="str">
            <v>run-away</v>
          </cell>
          <cell r="O213" t="str">
            <v>adaptability</v>
          </cell>
          <cell r="P213" t="str">
            <v>anticipation</v>
          </cell>
          <cell r="Q213">
            <v>0.3</v>
          </cell>
          <cell r="R213">
            <v>6.5</v>
          </cell>
          <cell r="S213" t="str">
            <v>Its genetic code is irregular. It may mutate if it is exposed to radiation from element STONEs.</v>
          </cell>
          <cell r="T213" t="str">
            <v>https://raw.githubusercontent.com/PokeAPI/sprites/master/sprites/pokemon/other/official-artwork/10159.png</v>
          </cell>
          <cell r="U213" t="str">
            <v>https://raw.githubusercontent.com/PokeAPI/sprites/master/sprites/pokemon/other/showdown/shiny/10159.gif</v>
          </cell>
        </row>
        <row r="214">
          <cell r="A214">
            <v>134</v>
          </cell>
          <cell r="C214" t="str">
            <v>Vaporeon</v>
          </cell>
          <cell r="D214" t="str">
            <v>Standard</v>
          </cell>
          <cell r="E214" t="str">
            <v>water</v>
          </cell>
          <cell r="G214">
            <v>130</v>
          </cell>
          <cell r="H214">
            <v>65</v>
          </cell>
          <cell r="I214">
            <v>60</v>
          </cell>
          <cell r="J214">
            <v>110</v>
          </cell>
          <cell r="K214">
            <v>95</v>
          </cell>
          <cell r="L214">
            <v>65</v>
          </cell>
          <cell r="M214">
            <v>525</v>
          </cell>
          <cell r="N214" t="str">
            <v>water-absorb</v>
          </cell>
          <cell r="P214" t="str">
            <v>hydration</v>
          </cell>
          <cell r="Q214">
            <v>1</v>
          </cell>
          <cell r="R214">
            <v>29</v>
          </cell>
          <cell r="S214" t="str">
            <v>Lives close to water. Its long tail is ridged with a fin which is often mistaken for a mermaid's.</v>
          </cell>
          <cell r="T214" t="str">
            <v>https://raw.githubusercontent.com/PokeAPI/sprites/master/sprites/pokemon/other/official-artwork/134.png</v>
          </cell>
          <cell r="U214" t="str">
            <v>https://raw.githubusercontent.com/PokeAPI/sprites/master/sprites/pokemon/other/official-artwork/shiny/134.png</v>
          </cell>
        </row>
        <row r="215">
          <cell r="A215">
            <v>135</v>
          </cell>
          <cell r="C215" t="str">
            <v>Jolteon</v>
          </cell>
          <cell r="D215" t="str">
            <v>Standard</v>
          </cell>
          <cell r="E215" t="str">
            <v>electric</v>
          </cell>
          <cell r="G215">
            <v>65</v>
          </cell>
          <cell r="H215">
            <v>65</v>
          </cell>
          <cell r="I215">
            <v>60</v>
          </cell>
          <cell r="J215">
            <v>110</v>
          </cell>
          <cell r="K215">
            <v>95</v>
          </cell>
          <cell r="L215">
            <v>130</v>
          </cell>
          <cell r="M215">
            <v>525</v>
          </cell>
          <cell r="N215" t="str">
            <v>volt-absorb</v>
          </cell>
          <cell r="P215" t="str">
            <v>quick-feet</v>
          </cell>
          <cell r="Q215">
            <v>0.8</v>
          </cell>
          <cell r="R215">
            <v>24.5</v>
          </cell>
          <cell r="S215" t="str">
            <v>It accumulates negative ions in the atmosphere to blast out 10000- volt lightning bolts.</v>
          </cell>
          <cell r="T215" t="str">
            <v>https://raw.githubusercontent.com/PokeAPI/sprites/master/sprites/pokemon/other/official-artwork/135.png</v>
          </cell>
          <cell r="U215" t="str">
            <v>https://raw.githubusercontent.com/PokeAPI/sprites/master/sprites/pokemon/other/official-artwork/shiny/135.png</v>
          </cell>
        </row>
        <row r="216">
          <cell r="A216">
            <v>136</v>
          </cell>
          <cell r="C216" t="str">
            <v>Flareon</v>
          </cell>
          <cell r="D216" t="str">
            <v>Standard</v>
          </cell>
          <cell r="E216" t="str">
            <v>fire</v>
          </cell>
          <cell r="G216">
            <v>65</v>
          </cell>
          <cell r="H216">
            <v>130</v>
          </cell>
          <cell r="I216">
            <v>60</v>
          </cell>
          <cell r="J216">
            <v>95</v>
          </cell>
          <cell r="K216">
            <v>110</v>
          </cell>
          <cell r="L216">
            <v>65</v>
          </cell>
          <cell r="M216">
            <v>525</v>
          </cell>
          <cell r="N216" t="str">
            <v>flash-fire</v>
          </cell>
          <cell r="P216" t="str">
            <v>guts</v>
          </cell>
          <cell r="Q216">
            <v>0.9</v>
          </cell>
          <cell r="R216">
            <v>25</v>
          </cell>
          <cell r="S216" t="str">
            <v>When storing thermal energy in its body, its temperature could soar to over 1600 degrees.</v>
          </cell>
          <cell r="T216" t="str">
            <v>https://raw.githubusercontent.com/PokeAPI/sprites/master/sprites/pokemon/other/official-artwork/136.png</v>
          </cell>
          <cell r="U216" t="str">
            <v>https://raw.githubusercontent.com/PokeAPI/sprites/master/sprites/pokemon/other/official-artwork/shiny/136.png</v>
          </cell>
        </row>
        <row r="217">
          <cell r="A217">
            <v>137</v>
          </cell>
          <cell r="C217" t="str">
            <v>Porygon</v>
          </cell>
          <cell r="D217" t="str">
            <v>Standard</v>
          </cell>
          <cell r="E217" t="str">
            <v>normal</v>
          </cell>
          <cell r="G217">
            <v>65</v>
          </cell>
          <cell r="H217">
            <v>60</v>
          </cell>
          <cell r="I217">
            <v>70</v>
          </cell>
          <cell r="J217">
            <v>85</v>
          </cell>
          <cell r="K217">
            <v>75</v>
          </cell>
          <cell r="L217">
            <v>40</v>
          </cell>
          <cell r="M217">
            <v>395</v>
          </cell>
          <cell r="N217" t="str">
            <v>trace</v>
          </cell>
          <cell r="O217" t="str">
            <v>download</v>
          </cell>
          <cell r="P217" t="str">
            <v>analytic</v>
          </cell>
          <cell r="Q217">
            <v>0.8</v>
          </cell>
          <cell r="R217">
            <v>36.5</v>
          </cell>
          <cell r="S217" t="str">
            <v>A POKéMON that consists entirely of programming code. Capable of moving freely in cyberspace.</v>
          </cell>
          <cell r="T217" t="str">
            <v>https://raw.githubusercontent.com/PokeAPI/sprites/master/sprites/pokemon/other/official-artwork/137.png</v>
          </cell>
          <cell r="U217" t="str">
            <v>https://raw.githubusercontent.com/PokeAPI/sprites/master/sprites/pokemon/other/official-artwork/shiny/137.png</v>
          </cell>
        </row>
        <row r="218">
          <cell r="A218">
            <v>138</v>
          </cell>
          <cell r="C218" t="str">
            <v>Omanyte</v>
          </cell>
          <cell r="D218" t="str">
            <v>Standard</v>
          </cell>
          <cell r="E218" t="str">
            <v>rock</v>
          </cell>
          <cell r="F218" t="str">
            <v>water</v>
          </cell>
          <cell r="G218">
            <v>35</v>
          </cell>
          <cell r="H218">
            <v>40</v>
          </cell>
          <cell r="I218">
            <v>100</v>
          </cell>
          <cell r="J218">
            <v>90</v>
          </cell>
          <cell r="K218">
            <v>55</v>
          </cell>
          <cell r="L218">
            <v>35</v>
          </cell>
          <cell r="M218">
            <v>355</v>
          </cell>
          <cell r="N218" t="str">
            <v>swift-swim</v>
          </cell>
          <cell r="O218" t="str">
            <v>shell-armor</v>
          </cell>
          <cell r="P218" t="str">
            <v>weak-armor</v>
          </cell>
          <cell r="Q218">
            <v>0.4</v>
          </cell>
          <cell r="R218">
            <v>7.5</v>
          </cell>
          <cell r="S218" t="str">
            <v>Although long extinct, in rare cases, it can be genetically resurrected from fossils.</v>
          </cell>
          <cell r="T218" t="str">
            <v>https://raw.githubusercontent.com/PokeAPI/sprites/master/sprites/pokemon/other/official-artwork/138.png</v>
          </cell>
          <cell r="U218" t="str">
            <v>https://raw.githubusercontent.com/PokeAPI/sprites/master/sprites/pokemon/other/official-artwork/shiny/138.png</v>
          </cell>
        </row>
        <row r="219">
          <cell r="A219">
            <v>139</v>
          </cell>
          <cell r="C219" t="str">
            <v>Omastar</v>
          </cell>
          <cell r="D219" t="str">
            <v>Standard</v>
          </cell>
          <cell r="E219" t="str">
            <v>rock</v>
          </cell>
          <cell r="F219" t="str">
            <v>water</v>
          </cell>
          <cell r="G219">
            <v>70</v>
          </cell>
          <cell r="H219">
            <v>60</v>
          </cell>
          <cell r="I219">
            <v>125</v>
          </cell>
          <cell r="J219">
            <v>115</v>
          </cell>
          <cell r="K219">
            <v>70</v>
          </cell>
          <cell r="L219">
            <v>55</v>
          </cell>
          <cell r="M219">
            <v>495</v>
          </cell>
          <cell r="N219" t="str">
            <v>swift-swim</v>
          </cell>
          <cell r="O219" t="str">
            <v>shell-armor</v>
          </cell>
          <cell r="P219" t="str">
            <v>weak-armor</v>
          </cell>
          <cell r="Q219">
            <v>1</v>
          </cell>
          <cell r="R219">
            <v>35</v>
          </cell>
          <cell r="S219" t="str">
            <v>A prehistoric POKéMON that died out when its heavy shell made it impossible to catch prey.</v>
          </cell>
          <cell r="T219" t="str">
            <v>https://raw.githubusercontent.com/PokeAPI/sprites/master/sprites/pokemon/other/official-artwork/139.png</v>
          </cell>
          <cell r="U219" t="str">
            <v>https://raw.githubusercontent.com/PokeAPI/sprites/master/sprites/pokemon/other/official-artwork/shiny/139.png</v>
          </cell>
        </row>
        <row r="220">
          <cell r="A220">
            <v>140</v>
          </cell>
          <cell r="C220" t="str">
            <v>Kabuto</v>
          </cell>
          <cell r="D220" t="str">
            <v>Standard</v>
          </cell>
          <cell r="E220" t="str">
            <v>rock</v>
          </cell>
          <cell r="F220" t="str">
            <v>water</v>
          </cell>
          <cell r="G220">
            <v>30</v>
          </cell>
          <cell r="H220">
            <v>80</v>
          </cell>
          <cell r="I220">
            <v>90</v>
          </cell>
          <cell r="J220">
            <v>55</v>
          </cell>
          <cell r="K220">
            <v>45</v>
          </cell>
          <cell r="L220">
            <v>55</v>
          </cell>
          <cell r="M220">
            <v>355</v>
          </cell>
          <cell r="N220" t="str">
            <v>swift-swim</v>
          </cell>
          <cell r="O220" t="str">
            <v>battle-armor</v>
          </cell>
          <cell r="P220" t="str">
            <v>weak-armor</v>
          </cell>
          <cell r="Q220">
            <v>0.5</v>
          </cell>
          <cell r="R220">
            <v>11.5</v>
          </cell>
          <cell r="S220" t="str">
            <v>A POKéMON that was resurrected from a fossil found in what was once the ocean floor eons ago.</v>
          </cell>
          <cell r="T220" t="str">
            <v>https://raw.githubusercontent.com/PokeAPI/sprites/master/sprites/pokemon/other/official-artwork/140.png</v>
          </cell>
          <cell r="U220" t="str">
            <v>https://raw.githubusercontent.com/PokeAPI/sprites/master/sprites/pokemon/other/official-artwork/shiny/140.png</v>
          </cell>
        </row>
        <row r="221">
          <cell r="A221">
            <v>141</v>
          </cell>
          <cell r="C221" t="str">
            <v>Kabutops</v>
          </cell>
          <cell r="D221" t="str">
            <v>Standard</v>
          </cell>
          <cell r="E221" t="str">
            <v>rock</v>
          </cell>
          <cell r="F221" t="str">
            <v>water</v>
          </cell>
          <cell r="G221">
            <v>60</v>
          </cell>
          <cell r="H221">
            <v>115</v>
          </cell>
          <cell r="I221">
            <v>105</v>
          </cell>
          <cell r="J221">
            <v>65</v>
          </cell>
          <cell r="K221">
            <v>70</v>
          </cell>
          <cell r="L221">
            <v>80</v>
          </cell>
          <cell r="M221">
            <v>495</v>
          </cell>
          <cell r="N221" t="str">
            <v>swift-swim</v>
          </cell>
          <cell r="O221" t="str">
            <v>battle-armor</v>
          </cell>
          <cell r="P221" t="str">
            <v>weak-armor</v>
          </cell>
          <cell r="Q221">
            <v>1.3</v>
          </cell>
          <cell r="R221">
            <v>40.5</v>
          </cell>
          <cell r="S221" t="str">
            <v>Its sleek shape is perfect for swim­ ming. It slashes prey with its claws and drains the body fluids.</v>
          </cell>
          <cell r="T221" t="str">
            <v>https://raw.githubusercontent.com/PokeAPI/sprites/master/sprites/pokemon/other/official-artwork/141.png</v>
          </cell>
          <cell r="U221" t="str">
            <v>https://raw.githubusercontent.com/PokeAPI/sprites/master/sprites/pokemon/other/official-artwork/shiny/141.png</v>
          </cell>
        </row>
        <row r="222">
          <cell r="A222">
            <v>142</v>
          </cell>
          <cell r="C222" t="str">
            <v>Aerodactyl</v>
          </cell>
          <cell r="D222" t="str">
            <v>Standard</v>
          </cell>
          <cell r="E222" t="str">
            <v>rock</v>
          </cell>
          <cell r="F222" t="str">
            <v>flying</v>
          </cell>
          <cell r="G222">
            <v>80</v>
          </cell>
          <cell r="H222">
            <v>105</v>
          </cell>
          <cell r="I222">
            <v>65</v>
          </cell>
          <cell r="J222">
            <v>60</v>
          </cell>
          <cell r="K222">
            <v>75</v>
          </cell>
          <cell r="L222">
            <v>130</v>
          </cell>
          <cell r="M222">
            <v>515</v>
          </cell>
          <cell r="N222" t="str">
            <v>rock-head</v>
          </cell>
          <cell r="O222" t="str">
            <v>pressure</v>
          </cell>
          <cell r="P222" t="str">
            <v>unnerve</v>
          </cell>
          <cell r="Q222">
            <v>1.8</v>
          </cell>
          <cell r="R222">
            <v>59</v>
          </cell>
          <cell r="S222" t="str">
            <v>A Pokémon that roamed the skies in the dinosaur era. Its teeth are like saw blades.</v>
          </cell>
          <cell r="T222" t="str">
            <v>https://raw.githubusercontent.com/PokeAPI/sprites/master/sprites/pokemon/other/official-artwork/142.png</v>
          </cell>
          <cell r="U222" t="str">
            <v>https://raw.githubusercontent.com/PokeAPI/sprites/master/sprites/pokemon/other/official-artwork/shiny/142.png</v>
          </cell>
        </row>
        <row r="223">
          <cell r="A223">
            <v>142</v>
          </cell>
          <cell r="C223" t="str">
            <v>Aerodactyl Mega</v>
          </cell>
          <cell r="D223" t="str">
            <v>Mega</v>
          </cell>
          <cell r="E223" t="str">
            <v>rock</v>
          </cell>
          <cell r="F223" t="str">
            <v>flying</v>
          </cell>
          <cell r="G223">
            <v>80</v>
          </cell>
          <cell r="H223">
            <v>135</v>
          </cell>
          <cell r="I223">
            <v>85</v>
          </cell>
          <cell r="J223">
            <v>70</v>
          </cell>
          <cell r="K223">
            <v>95</v>
          </cell>
          <cell r="L223">
            <v>150</v>
          </cell>
          <cell r="M223">
            <v>615</v>
          </cell>
          <cell r="N223" t="str">
            <v>tough-claws</v>
          </cell>
          <cell r="Q223">
            <v>2.1</v>
          </cell>
          <cell r="R223">
            <v>79</v>
          </cell>
          <cell r="S223" t="str">
            <v>A Pokémon that roamed the skies in the dinosaur era. Its teeth are like saw blades.</v>
          </cell>
          <cell r="T223" t="str">
            <v>https://raw.githubusercontent.com/PokeAPI/sprites/master/sprites/pokemon/other/official-artwork/10042.png</v>
          </cell>
          <cell r="U223" t="str">
            <v>https://raw.githubusercontent.com/PokeAPI/sprites/master/sprites/pokemon/other/official-artwork/shiny/10042.png</v>
          </cell>
        </row>
        <row r="224">
          <cell r="A224">
            <v>143</v>
          </cell>
          <cell r="C224" t="str">
            <v>Snorlax</v>
          </cell>
          <cell r="D224" t="str">
            <v>Standard</v>
          </cell>
          <cell r="E224" t="str">
            <v>normal</v>
          </cell>
          <cell r="G224">
            <v>160</v>
          </cell>
          <cell r="H224">
            <v>110</v>
          </cell>
          <cell r="I224">
            <v>65</v>
          </cell>
          <cell r="J224">
            <v>65</v>
          </cell>
          <cell r="K224">
            <v>110</v>
          </cell>
          <cell r="L224">
            <v>30</v>
          </cell>
          <cell r="M224">
            <v>540</v>
          </cell>
          <cell r="N224" t="str">
            <v>immunity</v>
          </cell>
          <cell r="O224" t="str">
            <v>thick-fat</v>
          </cell>
          <cell r="P224" t="str">
            <v>gluttony</v>
          </cell>
          <cell r="Q224">
            <v>2.1</v>
          </cell>
          <cell r="R224">
            <v>460</v>
          </cell>
          <cell r="S224" t="str">
            <v>Very lazy. Just eats and sleeps. As its rotund bulk builds, it becomes steadily more slothful.</v>
          </cell>
          <cell r="T224" t="str">
            <v>https://raw.githubusercontent.com/PokeAPI/sprites/master/sprites/pokemon/other/official-artwork/143.png</v>
          </cell>
          <cell r="U224" t="str">
            <v>https://raw.githubusercontent.com/PokeAPI/sprites/master/sprites/pokemon/other/official-artwork/shiny/143.png</v>
          </cell>
        </row>
        <row r="225">
          <cell r="A225">
            <v>143</v>
          </cell>
          <cell r="C225" t="str">
            <v>Snorlax Gmax</v>
          </cell>
          <cell r="D225" t="str">
            <v>Gigantamax</v>
          </cell>
          <cell r="E225" t="str">
            <v>normal</v>
          </cell>
          <cell r="G225">
            <v>160</v>
          </cell>
          <cell r="H225">
            <v>110</v>
          </cell>
          <cell r="I225">
            <v>65</v>
          </cell>
          <cell r="J225">
            <v>65</v>
          </cell>
          <cell r="K225">
            <v>110</v>
          </cell>
          <cell r="L225">
            <v>30</v>
          </cell>
          <cell r="M225">
            <v>540</v>
          </cell>
          <cell r="N225" t="str">
            <v>immunity</v>
          </cell>
          <cell r="O225" t="str">
            <v>thick-fat</v>
          </cell>
          <cell r="P225" t="str">
            <v>gluttony</v>
          </cell>
          <cell r="Q225">
            <v>35</v>
          </cell>
          <cell r="R225">
            <v>1000</v>
          </cell>
          <cell r="S225" t="str">
            <v>Very lazy. Just eats and sleeps. As its rotund bulk builds, it becomes steadily more slothful.</v>
          </cell>
          <cell r="T225" t="str">
            <v>https://raw.githubusercontent.com/PokeAPI/sprites/master/sprites/pokemon/other/official-artwork/10206.png</v>
          </cell>
          <cell r="U225" t="str">
            <v>https://raw.githubusercontent.com/PokeAPI/sprites/master/sprites/pokemon/other/official-artwork/shiny/10206.png</v>
          </cell>
        </row>
        <row r="226">
          <cell r="A226">
            <v>144</v>
          </cell>
          <cell r="C226" t="str">
            <v>Articuno</v>
          </cell>
          <cell r="D226" t="str">
            <v>Standard</v>
          </cell>
          <cell r="E226" t="str">
            <v>ice</v>
          </cell>
          <cell r="F226" t="str">
            <v>flying</v>
          </cell>
          <cell r="G226">
            <v>90</v>
          </cell>
          <cell r="H226">
            <v>85</v>
          </cell>
          <cell r="I226">
            <v>100</v>
          </cell>
          <cell r="J226">
            <v>95</v>
          </cell>
          <cell r="K226">
            <v>125</v>
          </cell>
          <cell r="L226">
            <v>85</v>
          </cell>
          <cell r="M226">
            <v>580</v>
          </cell>
          <cell r="N226" t="str">
            <v>pressure</v>
          </cell>
          <cell r="P226" t="str">
            <v>snow-cloak</v>
          </cell>
          <cell r="Q226">
            <v>1.7</v>
          </cell>
          <cell r="R226">
            <v>55.4</v>
          </cell>
          <cell r="S226" t="str">
            <v>A legendary bird POKéMON that is said to appear to doomed people who are lost in icy mountains.</v>
          </cell>
          <cell r="T226" t="str">
            <v>https://raw.githubusercontent.com/PokeAPI/sprites/master/sprites/pokemon/other/official-artwork/144.png</v>
          </cell>
          <cell r="U226" t="str">
            <v>https://raw.githubusercontent.com/PokeAPI/sprites/master/sprites/pokemon/other/official-artwork/shiny/144.png</v>
          </cell>
        </row>
        <row r="227">
          <cell r="A227">
            <v>144</v>
          </cell>
          <cell r="C227" t="str">
            <v>Articuno Galar</v>
          </cell>
          <cell r="D227" t="str">
            <v>Regional</v>
          </cell>
          <cell r="E227" t="str">
            <v>psychic</v>
          </cell>
          <cell r="F227" t="str">
            <v>flying</v>
          </cell>
          <cell r="G227">
            <v>90</v>
          </cell>
          <cell r="H227">
            <v>85</v>
          </cell>
          <cell r="I227">
            <v>85</v>
          </cell>
          <cell r="J227">
            <v>125</v>
          </cell>
          <cell r="K227">
            <v>100</v>
          </cell>
          <cell r="L227">
            <v>95</v>
          </cell>
          <cell r="M227">
            <v>580</v>
          </cell>
          <cell r="N227" t="str">
            <v>competitive</v>
          </cell>
          <cell r="Q227">
            <v>1.7</v>
          </cell>
          <cell r="R227">
            <v>50.9</v>
          </cell>
          <cell r="S227" t="str">
            <v>A legendary bird POKéMON that is said to appear to doomed people who are lost in icy mountains.</v>
          </cell>
          <cell r="T227" t="str">
            <v>https://raw.githubusercontent.com/PokeAPI/sprites/master/sprites/pokemon/other/official-artwork/10169.png</v>
          </cell>
          <cell r="U227" t="str">
            <v>https://raw.githubusercontent.com/PokeAPI/sprites/master/sprites/pokemon/other/official-artwork/shiny/10169.png</v>
          </cell>
        </row>
        <row r="228">
          <cell r="A228">
            <v>145</v>
          </cell>
          <cell r="C228" t="str">
            <v>Zapdos</v>
          </cell>
          <cell r="D228" t="str">
            <v>Standard</v>
          </cell>
          <cell r="E228" t="str">
            <v>electric</v>
          </cell>
          <cell r="F228" t="str">
            <v>flying</v>
          </cell>
          <cell r="G228">
            <v>90</v>
          </cell>
          <cell r="H228">
            <v>90</v>
          </cell>
          <cell r="I228">
            <v>85</v>
          </cell>
          <cell r="J228">
            <v>125</v>
          </cell>
          <cell r="K228">
            <v>90</v>
          </cell>
          <cell r="L228">
            <v>100</v>
          </cell>
          <cell r="M228">
            <v>580</v>
          </cell>
          <cell r="N228" t="str">
            <v>pressure</v>
          </cell>
          <cell r="P228" t="str">
            <v>static</v>
          </cell>
          <cell r="Q228">
            <v>1.6</v>
          </cell>
          <cell r="R228">
            <v>52.6</v>
          </cell>
          <cell r="S228" t="str">
            <v>A legendary bird POKéMON that is said to appear from clouds while dropping enormous lightning bolts.</v>
          </cell>
          <cell r="T228" t="str">
            <v>https://raw.githubusercontent.com/PokeAPI/sprites/master/sprites/pokemon/other/official-artwork/145.png</v>
          </cell>
          <cell r="U228" t="str">
            <v>https://raw.githubusercontent.com/PokeAPI/sprites/master/sprites/pokemon/other/official-artwork/shiny/145.png</v>
          </cell>
        </row>
        <row r="229">
          <cell r="A229">
            <v>145</v>
          </cell>
          <cell r="C229" t="str">
            <v>Zapdos Galar</v>
          </cell>
          <cell r="D229" t="str">
            <v>Regional</v>
          </cell>
          <cell r="E229" t="str">
            <v>fighting</v>
          </cell>
          <cell r="F229" t="str">
            <v>flying</v>
          </cell>
          <cell r="G229">
            <v>90</v>
          </cell>
          <cell r="H229">
            <v>125</v>
          </cell>
          <cell r="I229">
            <v>90</v>
          </cell>
          <cell r="J229">
            <v>85</v>
          </cell>
          <cell r="K229">
            <v>90</v>
          </cell>
          <cell r="L229">
            <v>100</v>
          </cell>
          <cell r="M229">
            <v>580</v>
          </cell>
          <cell r="N229" t="str">
            <v>defiant</v>
          </cell>
          <cell r="Q229">
            <v>1.6</v>
          </cell>
          <cell r="R229">
            <v>58.2</v>
          </cell>
          <cell r="S229" t="str">
            <v>A legendary bird POKéMON that is said to appear from clouds while dropping enormous lightning bolts.</v>
          </cell>
          <cell r="T229" t="str">
            <v>https://raw.githubusercontent.com/PokeAPI/sprites/master/sprites/pokemon/other/official-artwork/10170.png</v>
          </cell>
          <cell r="U229" t="str">
            <v>https://raw.githubusercontent.com/PokeAPI/sprites/master/sprites/pokemon/other/official-artwork/shiny/10170.png</v>
          </cell>
        </row>
        <row r="230">
          <cell r="A230">
            <v>146</v>
          </cell>
          <cell r="C230" t="str">
            <v>Moltres</v>
          </cell>
          <cell r="D230" t="str">
            <v>Standard</v>
          </cell>
          <cell r="E230" t="str">
            <v>fire</v>
          </cell>
          <cell r="F230" t="str">
            <v>flying</v>
          </cell>
          <cell r="G230">
            <v>90</v>
          </cell>
          <cell r="H230">
            <v>100</v>
          </cell>
          <cell r="I230">
            <v>90</v>
          </cell>
          <cell r="J230">
            <v>125</v>
          </cell>
          <cell r="K230">
            <v>85</v>
          </cell>
          <cell r="L230">
            <v>90</v>
          </cell>
          <cell r="M230">
            <v>580</v>
          </cell>
          <cell r="N230" t="str">
            <v>pressure</v>
          </cell>
          <cell r="P230" t="str">
            <v>flame-body</v>
          </cell>
          <cell r="Q230">
            <v>2</v>
          </cell>
          <cell r="R230">
            <v>60</v>
          </cell>
          <cell r="S230" t="str">
            <v>Known as the legendary bird of fire. Every flap of its wings creates a dazzling flash of flames.</v>
          </cell>
          <cell r="T230" t="str">
            <v>https://raw.githubusercontent.com/PokeAPI/sprites/master/sprites/pokemon/other/official-artwork/146.png</v>
          </cell>
          <cell r="U230" t="str">
            <v>https://raw.githubusercontent.com/PokeAPI/sprites/master/sprites/pokemon/other/official-artwork/shiny/146.png</v>
          </cell>
        </row>
        <row r="231">
          <cell r="A231">
            <v>146</v>
          </cell>
          <cell r="C231" t="str">
            <v>Moltres Galar</v>
          </cell>
          <cell r="D231" t="str">
            <v>Regional</v>
          </cell>
          <cell r="E231" t="str">
            <v>dark</v>
          </cell>
          <cell r="F231" t="str">
            <v>flying</v>
          </cell>
          <cell r="G231">
            <v>90</v>
          </cell>
          <cell r="H231">
            <v>85</v>
          </cell>
          <cell r="I231">
            <v>90</v>
          </cell>
          <cell r="J231">
            <v>100</v>
          </cell>
          <cell r="K231">
            <v>125</v>
          </cell>
          <cell r="L231">
            <v>90</v>
          </cell>
          <cell r="M231">
            <v>580</v>
          </cell>
          <cell r="N231" t="str">
            <v>berserk</v>
          </cell>
          <cell r="Q231">
            <v>2</v>
          </cell>
          <cell r="R231">
            <v>66</v>
          </cell>
          <cell r="S231" t="str">
            <v>Known as the legendary bird of fire. Every flap of its wings creates a dazzling flash of flames.</v>
          </cell>
          <cell r="T231" t="str">
            <v>https://raw.githubusercontent.com/PokeAPI/sprites/master/sprites/pokemon/other/official-artwork/10171.png</v>
          </cell>
          <cell r="U231" t="str">
            <v>https://raw.githubusercontent.com/PokeAPI/sprites/master/sprites/pokemon/other/official-artwork/shiny/10171.png</v>
          </cell>
        </row>
        <row r="232">
          <cell r="A232">
            <v>147</v>
          </cell>
          <cell r="C232" t="str">
            <v>Dratini</v>
          </cell>
          <cell r="D232" t="str">
            <v>Standard</v>
          </cell>
          <cell r="E232" t="str">
            <v>dragon</v>
          </cell>
          <cell r="G232">
            <v>41</v>
          </cell>
          <cell r="H232">
            <v>64</v>
          </cell>
          <cell r="I232">
            <v>45</v>
          </cell>
          <cell r="J232">
            <v>50</v>
          </cell>
          <cell r="K232">
            <v>50</v>
          </cell>
          <cell r="L232">
            <v>50</v>
          </cell>
          <cell r="M232">
            <v>300</v>
          </cell>
          <cell r="N232" t="str">
            <v>shed-skin</v>
          </cell>
          <cell r="P232" t="str">
            <v>marvel-scale</v>
          </cell>
          <cell r="Q232">
            <v>1.8</v>
          </cell>
          <cell r="R232">
            <v>3.3</v>
          </cell>
          <cell r="S232" t="str">
            <v>Long considered a mythical POKéMON until recently when a small colony was found living underwater.</v>
          </cell>
          <cell r="T232" t="str">
            <v>https://raw.githubusercontent.com/PokeAPI/sprites/master/sprites/pokemon/other/official-artwork/147.png</v>
          </cell>
          <cell r="U232" t="str">
            <v>https://raw.githubusercontent.com/PokeAPI/sprites/master/sprites/pokemon/other/official-artwork/shiny/147.png</v>
          </cell>
        </row>
        <row r="233">
          <cell r="A233">
            <v>148</v>
          </cell>
          <cell r="C233" t="str">
            <v>Dragonair</v>
          </cell>
          <cell r="D233" t="str">
            <v>Standard</v>
          </cell>
          <cell r="E233" t="str">
            <v>dragon</v>
          </cell>
          <cell r="G233">
            <v>61</v>
          </cell>
          <cell r="H233">
            <v>84</v>
          </cell>
          <cell r="I233">
            <v>65</v>
          </cell>
          <cell r="J233">
            <v>70</v>
          </cell>
          <cell r="K233">
            <v>70</v>
          </cell>
          <cell r="L233">
            <v>70</v>
          </cell>
          <cell r="M233">
            <v>420</v>
          </cell>
          <cell r="N233" t="str">
            <v>shed-skin</v>
          </cell>
          <cell r="P233" t="str">
            <v>marvel-scale</v>
          </cell>
          <cell r="Q233">
            <v>4</v>
          </cell>
          <cell r="R233">
            <v>16.5</v>
          </cell>
          <cell r="S233" t="str">
            <v>A mystical POKéMON that exudes a gentle aura. Has the ability to change climate conditions.</v>
          </cell>
          <cell r="T233" t="str">
            <v>https://raw.githubusercontent.com/PokeAPI/sprites/master/sprites/pokemon/other/official-artwork/148.png</v>
          </cell>
          <cell r="U233" t="str">
            <v>https://raw.githubusercontent.com/PokeAPI/sprites/master/sprites/pokemon/other/official-artwork/shiny/148.png</v>
          </cell>
        </row>
        <row r="234">
          <cell r="A234">
            <v>149</v>
          </cell>
          <cell r="C234" t="str">
            <v>Dragonite</v>
          </cell>
          <cell r="D234" t="str">
            <v>Standard</v>
          </cell>
          <cell r="E234" t="str">
            <v>dragon</v>
          </cell>
          <cell r="F234" t="str">
            <v>flying</v>
          </cell>
          <cell r="G234">
            <v>91</v>
          </cell>
          <cell r="H234">
            <v>134</v>
          </cell>
          <cell r="I234">
            <v>95</v>
          </cell>
          <cell r="J234">
            <v>100</v>
          </cell>
          <cell r="K234">
            <v>100</v>
          </cell>
          <cell r="L234">
            <v>80</v>
          </cell>
          <cell r="M234">
            <v>600</v>
          </cell>
          <cell r="N234" t="str">
            <v>inner-focus</v>
          </cell>
          <cell r="P234" t="str">
            <v>multiscale</v>
          </cell>
          <cell r="Q234">
            <v>2.2000000000000002</v>
          </cell>
          <cell r="R234">
            <v>210</v>
          </cell>
          <cell r="S234" t="str">
            <v>An extremely rarely seen marine POKéMON. Its intelligence is said to match that of humans.</v>
          </cell>
          <cell r="T234" t="str">
            <v>https://raw.githubusercontent.com/PokeAPI/sprites/master/sprites/pokemon/other/official-artwork/149.png</v>
          </cell>
          <cell r="U234" t="str">
            <v>https://raw.githubusercontent.com/PokeAPI/sprites/master/sprites/pokemon/other/official-artwork/shiny/149.png</v>
          </cell>
        </row>
        <row r="235">
          <cell r="A235">
            <v>149</v>
          </cell>
          <cell r="C235" t="str">
            <v>Dragonite Mega</v>
          </cell>
          <cell r="D235" t="str">
            <v>Mega</v>
          </cell>
          <cell r="E235" t="str">
            <v>dragon</v>
          </cell>
          <cell r="F235" t="str">
            <v>flying</v>
          </cell>
          <cell r="G235">
            <v>91</v>
          </cell>
          <cell r="H235">
            <v>124</v>
          </cell>
          <cell r="I235">
            <v>115</v>
          </cell>
          <cell r="J235">
            <v>145</v>
          </cell>
          <cell r="K235">
            <v>125</v>
          </cell>
          <cell r="L235">
            <v>100</v>
          </cell>
          <cell r="M235">
            <v>700</v>
          </cell>
          <cell r="Q235">
            <v>5.5</v>
          </cell>
          <cell r="R235">
            <v>290</v>
          </cell>
          <cell r="S235" t="str">
            <v>An extremely rarely seen marine POKéMON. Its intelligence is said to match that of humans.</v>
          </cell>
          <cell r="T235" t="str">
            <v>https://raw.githubusercontent.com/PokeAPI/sprites/master/sprites/pokemon/10281.png</v>
          </cell>
          <cell r="U235" t="str">
            <v>https://raw.githubusercontent.com/PokeAPI/sprites/master/sprites/pokemon/other/showdown/shiny/10281.gif</v>
          </cell>
        </row>
        <row r="236">
          <cell r="A236">
            <v>150</v>
          </cell>
          <cell r="C236" t="str">
            <v>Mewtwo</v>
          </cell>
          <cell r="D236" t="str">
            <v>Standard</v>
          </cell>
          <cell r="E236" t="str">
            <v>psychic</v>
          </cell>
          <cell r="G236">
            <v>106</v>
          </cell>
          <cell r="H236">
            <v>110</v>
          </cell>
          <cell r="I236">
            <v>90</v>
          </cell>
          <cell r="J236">
            <v>154</v>
          </cell>
          <cell r="K236">
            <v>90</v>
          </cell>
          <cell r="L236">
            <v>130</v>
          </cell>
          <cell r="M236">
            <v>680</v>
          </cell>
          <cell r="N236" t="str">
            <v>pressure</v>
          </cell>
          <cell r="P236" t="str">
            <v>unnerve</v>
          </cell>
          <cell r="Q236">
            <v>2</v>
          </cell>
          <cell r="R236">
            <v>122</v>
          </cell>
          <cell r="S236" t="str">
            <v>It was created by a scientist after years of horrific gene splicing and DNA engineering experiments.</v>
          </cell>
          <cell r="T236" t="str">
            <v>https://raw.githubusercontent.com/PokeAPI/sprites/master/sprites/pokemon/other/official-artwork/150.png</v>
          </cell>
          <cell r="U236" t="str">
            <v>https://raw.githubusercontent.com/PokeAPI/sprites/master/sprites/pokemon/other/official-artwork/shiny/150.png</v>
          </cell>
        </row>
        <row r="237">
          <cell r="A237">
            <v>150</v>
          </cell>
          <cell r="C237" t="str">
            <v>Mewtwo Mega X</v>
          </cell>
          <cell r="D237" t="str">
            <v>Mega</v>
          </cell>
          <cell r="E237" t="str">
            <v>psychic</v>
          </cell>
          <cell r="F237" t="str">
            <v>fighting</v>
          </cell>
          <cell r="G237">
            <v>106</v>
          </cell>
          <cell r="H237">
            <v>190</v>
          </cell>
          <cell r="I237">
            <v>100</v>
          </cell>
          <cell r="J237">
            <v>154</v>
          </cell>
          <cell r="K237">
            <v>100</v>
          </cell>
          <cell r="L237">
            <v>130</v>
          </cell>
          <cell r="M237">
            <v>780</v>
          </cell>
          <cell r="N237" t="str">
            <v>steadfast</v>
          </cell>
          <cell r="Q237">
            <v>2.2999999999999998</v>
          </cell>
          <cell r="R237">
            <v>127</v>
          </cell>
          <cell r="S237" t="str">
            <v>It was created by a scientist after years of horrific gene splicing and DNA engineering experiments.</v>
          </cell>
          <cell r="T237" t="str">
            <v>https://raw.githubusercontent.com/PokeAPI/sprites/master/sprites/pokemon/other/official-artwork/10043.png</v>
          </cell>
          <cell r="U237" t="str">
            <v>https://raw.githubusercontent.com/PokeAPI/sprites/master/sprites/pokemon/other/official-artwork/shiny/10043.png</v>
          </cell>
        </row>
        <row r="238">
          <cell r="A238">
            <v>150</v>
          </cell>
          <cell r="C238" t="str">
            <v>Mewtwo Mega Y</v>
          </cell>
          <cell r="D238" t="str">
            <v>Mega</v>
          </cell>
          <cell r="E238" t="str">
            <v>psychic</v>
          </cell>
          <cell r="G238">
            <v>106</v>
          </cell>
          <cell r="H238">
            <v>150</v>
          </cell>
          <cell r="I238">
            <v>70</v>
          </cell>
          <cell r="J238">
            <v>194</v>
          </cell>
          <cell r="K238">
            <v>120</v>
          </cell>
          <cell r="L238">
            <v>140</v>
          </cell>
          <cell r="M238">
            <v>780</v>
          </cell>
          <cell r="N238" t="str">
            <v>insomnia</v>
          </cell>
          <cell r="Q238">
            <v>1.5</v>
          </cell>
          <cell r="R238">
            <v>33</v>
          </cell>
          <cell r="S238" t="str">
            <v>It was created by a scientist after years of horrific gene splicing and DNA engineering experiments.</v>
          </cell>
          <cell r="T238" t="str">
            <v>https://raw.githubusercontent.com/PokeAPI/sprites/master/sprites/pokemon/other/official-artwork/10044.png</v>
          </cell>
          <cell r="U238" t="str">
            <v>https://raw.githubusercontent.com/PokeAPI/sprites/master/sprites/pokemon/other/official-artwork/shiny/10044.png</v>
          </cell>
        </row>
        <row r="239">
          <cell r="A239">
            <v>151</v>
          </cell>
          <cell r="C239" t="str">
            <v>Mew</v>
          </cell>
          <cell r="D239" t="str">
            <v>Standard</v>
          </cell>
          <cell r="E239" t="str">
            <v>psychic</v>
          </cell>
          <cell r="G239">
            <v>100</v>
          </cell>
          <cell r="H239">
            <v>100</v>
          </cell>
          <cell r="I239">
            <v>100</v>
          </cell>
          <cell r="J239">
            <v>100</v>
          </cell>
          <cell r="K239">
            <v>100</v>
          </cell>
          <cell r="L239">
            <v>100</v>
          </cell>
          <cell r="M239">
            <v>600</v>
          </cell>
          <cell r="N239" t="str">
            <v>synchronize</v>
          </cell>
          <cell r="Q239">
            <v>0.4</v>
          </cell>
          <cell r="R239">
            <v>4</v>
          </cell>
          <cell r="S239" t="str">
            <v>So rare that it is still said to be a mirage by many experts. Only a few people have seen it worldwide.</v>
          </cell>
          <cell r="T239" t="str">
            <v>https://raw.githubusercontent.com/PokeAPI/sprites/master/sprites/pokemon/other/official-artwork/151.png</v>
          </cell>
          <cell r="U239" t="str">
            <v>https://raw.githubusercontent.com/PokeAPI/sprites/master/sprites/pokemon/other/official-artwork/shiny/151.png</v>
          </cell>
        </row>
        <row r="240">
          <cell r="A240">
            <v>152</v>
          </cell>
          <cell r="C240" t="str">
            <v>Chikorita</v>
          </cell>
          <cell r="D240" t="str">
            <v>Standard</v>
          </cell>
          <cell r="E240" t="str">
            <v>grass</v>
          </cell>
          <cell r="G240">
            <v>45</v>
          </cell>
          <cell r="H240">
            <v>49</v>
          </cell>
          <cell r="I240">
            <v>65</v>
          </cell>
          <cell r="J240">
            <v>49</v>
          </cell>
          <cell r="K240">
            <v>65</v>
          </cell>
          <cell r="L240">
            <v>45</v>
          </cell>
          <cell r="M240">
            <v>318</v>
          </cell>
          <cell r="N240" t="str">
            <v>overgrow</v>
          </cell>
          <cell r="P240" t="str">
            <v>leaf-guard</v>
          </cell>
          <cell r="Q240">
            <v>0.9</v>
          </cell>
          <cell r="R240">
            <v>6.4</v>
          </cell>
          <cell r="S240" t="str">
            <v>A sweet aroma gently wafts from the leaf on its head. It is docile and loves to soak up the sun's rays.</v>
          </cell>
          <cell r="T240" t="str">
            <v>https://raw.githubusercontent.com/PokeAPI/sprites/master/sprites/pokemon/other/official-artwork/152.png</v>
          </cell>
          <cell r="U240" t="str">
            <v>https://raw.githubusercontent.com/PokeAPI/sprites/master/sprites/pokemon/other/official-artwork/shiny/152.png</v>
          </cell>
        </row>
        <row r="241">
          <cell r="A241">
            <v>153</v>
          </cell>
          <cell r="C241" t="str">
            <v>Bayleef</v>
          </cell>
          <cell r="D241" t="str">
            <v>Standard</v>
          </cell>
          <cell r="E241" t="str">
            <v>grass</v>
          </cell>
          <cell r="G241">
            <v>60</v>
          </cell>
          <cell r="H241">
            <v>62</v>
          </cell>
          <cell r="I241">
            <v>80</v>
          </cell>
          <cell r="J241">
            <v>63</v>
          </cell>
          <cell r="K241">
            <v>80</v>
          </cell>
          <cell r="L241">
            <v>60</v>
          </cell>
          <cell r="M241">
            <v>405</v>
          </cell>
          <cell r="N241" t="str">
            <v>overgrow</v>
          </cell>
          <cell r="P241" t="str">
            <v>leaf-guard</v>
          </cell>
          <cell r="Q241">
            <v>1.2</v>
          </cell>
          <cell r="R241">
            <v>15.8</v>
          </cell>
          <cell r="S241" t="str">
            <v>The scent of spices comes from around its neck. Somehow, sniffing it makes you want to fight.</v>
          </cell>
          <cell r="T241" t="str">
            <v>https://raw.githubusercontent.com/PokeAPI/sprites/master/sprites/pokemon/other/official-artwork/153.png</v>
          </cell>
          <cell r="U241" t="str">
            <v>https://raw.githubusercontent.com/PokeAPI/sprites/master/sprites/pokemon/other/official-artwork/shiny/153.png</v>
          </cell>
        </row>
        <row r="242">
          <cell r="A242">
            <v>154</v>
          </cell>
          <cell r="C242" t="str">
            <v>Meganium</v>
          </cell>
          <cell r="D242" t="str">
            <v>Standard</v>
          </cell>
          <cell r="E242" t="str">
            <v>grass</v>
          </cell>
          <cell r="G242">
            <v>80</v>
          </cell>
          <cell r="H242">
            <v>82</v>
          </cell>
          <cell r="I242">
            <v>100</v>
          </cell>
          <cell r="J242">
            <v>83</v>
          </cell>
          <cell r="K242">
            <v>100</v>
          </cell>
          <cell r="L242">
            <v>80</v>
          </cell>
          <cell r="M242">
            <v>525</v>
          </cell>
          <cell r="N242" t="str">
            <v>overgrow</v>
          </cell>
          <cell r="P242" t="str">
            <v>leaf-guard</v>
          </cell>
          <cell r="Q242">
            <v>1.8</v>
          </cell>
          <cell r="R242">
            <v>100.5</v>
          </cell>
          <cell r="S242" t="str">
            <v>The aroma that rises from its petals contains a substance that calms aggressive feelings.</v>
          </cell>
          <cell r="T242" t="str">
            <v>https://raw.githubusercontent.com/PokeAPI/sprites/master/sprites/pokemon/other/official-artwork/154.png</v>
          </cell>
          <cell r="U242" t="str">
            <v>https://raw.githubusercontent.com/PokeAPI/sprites/master/sprites/pokemon/other/official-artwork/shiny/154.png</v>
          </cell>
        </row>
        <row r="243">
          <cell r="A243">
            <v>154</v>
          </cell>
          <cell r="C243" t="str">
            <v>Meganium Mega</v>
          </cell>
          <cell r="D243" t="str">
            <v>Mega</v>
          </cell>
          <cell r="E243" t="str">
            <v>grass</v>
          </cell>
          <cell r="F243" t="str">
            <v>fairy</v>
          </cell>
          <cell r="G243">
            <v>80</v>
          </cell>
          <cell r="H243">
            <v>92</v>
          </cell>
          <cell r="I243">
            <v>115</v>
          </cell>
          <cell r="J243">
            <v>143</v>
          </cell>
          <cell r="K243">
            <v>115</v>
          </cell>
          <cell r="L243">
            <v>80</v>
          </cell>
          <cell r="M243">
            <v>625</v>
          </cell>
          <cell r="Q243">
            <v>2.4</v>
          </cell>
          <cell r="R243">
            <v>201</v>
          </cell>
          <cell r="S243" t="str">
            <v>The aroma that rises from its petals contains a substance that calms aggressive feelings.</v>
          </cell>
          <cell r="T243" t="str">
            <v>https://raw.githubusercontent.com/PokeAPI/sprites/master/sprites/pokemon/other/showdown/10282.gif</v>
          </cell>
          <cell r="U243" t="str">
            <v>https://raw.githubusercontent.com/PokeAPI/sprites/master/sprites/pokemon/other/showdown/shiny/10282.gif</v>
          </cell>
        </row>
        <row r="244">
          <cell r="A244">
            <v>155</v>
          </cell>
          <cell r="C244" t="str">
            <v>Cyndaquil</v>
          </cell>
          <cell r="D244" t="str">
            <v>Standard</v>
          </cell>
          <cell r="E244" t="str">
            <v>fire</v>
          </cell>
          <cell r="G244">
            <v>39</v>
          </cell>
          <cell r="H244">
            <v>52</v>
          </cell>
          <cell r="I244">
            <v>43</v>
          </cell>
          <cell r="J244">
            <v>60</v>
          </cell>
          <cell r="K244">
            <v>50</v>
          </cell>
          <cell r="L244">
            <v>65</v>
          </cell>
          <cell r="M244">
            <v>309</v>
          </cell>
          <cell r="N244" t="str">
            <v>blaze</v>
          </cell>
          <cell r="P244" t="str">
            <v>flash-fire</v>
          </cell>
          <cell r="Q244">
            <v>0.5</v>
          </cell>
          <cell r="R244">
            <v>7.9</v>
          </cell>
          <cell r="S244" t="str">
            <v>It has a timid nature. If it is startled, the flames on its back burn more vigorously.</v>
          </cell>
          <cell r="T244" t="str">
            <v>https://raw.githubusercontent.com/PokeAPI/sprites/master/sprites/pokemon/other/official-artwork/155.png</v>
          </cell>
          <cell r="U244" t="str">
            <v>https://raw.githubusercontent.com/PokeAPI/sprites/master/sprites/pokemon/other/official-artwork/shiny/155.png</v>
          </cell>
        </row>
        <row r="245">
          <cell r="A245">
            <v>156</v>
          </cell>
          <cell r="C245" t="str">
            <v>Quilava</v>
          </cell>
          <cell r="D245" t="str">
            <v>Standard</v>
          </cell>
          <cell r="E245" t="str">
            <v>fire</v>
          </cell>
          <cell r="G245">
            <v>58</v>
          </cell>
          <cell r="H245">
            <v>64</v>
          </cell>
          <cell r="I245">
            <v>58</v>
          </cell>
          <cell r="J245">
            <v>80</v>
          </cell>
          <cell r="K245">
            <v>65</v>
          </cell>
          <cell r="L245">
            <v>80</v>
          </cell>
          <cell r="M245">
            <v>405</v>
          </cell>
          <cell r="N245" t="str">
            <v>blaze</v>
          </cell>
          <cell r="P245" t="str">
            <v>flash-fire</v>
          </cell>
          <cell r="Q245">
            <v>0.9</v>
          </cell>
          <cell r="R245">
            <v>19</v>
          </cell>
          <cell r="S245" t="str">
            <v>Be careful if it turns its back during battle. It means that it will attack with the fire on its back.</v>
          </cell>
          <cell r="T245" t="str">
            <v>https://raw.githubusercontent.com/PokeAPI/sprites/master/sprites/pokemon/other/official-artwork/156.png</v>
          </cell>
          <cell r="U245" t="str">
            <v>https://raw.githubusercontent.com/PokeAPI/sprites/master/sprites/pokemon/other/official-artwork/shiny/156.png</v>
          </cell>
        </row>
        <row r="246">
          <cell r="A246">
            <v>157</v>
          </cell>
          <cell r="C246" t="str">
            <v>Typhlosion</v>
          </cell>
          <cell r="D246" t="str">
            <v>Standard</v>
          </cell>
          <cell r="E246" t="str">
            <v>fire</v>
          </cell>
          <cell r="G246">
            <v>78</v>
          </cell>
          <cell r="H246">
            <v>84</v>
          </cell>
          <cell r="I246">
            <v>78</v>
          </cell>
          <cell r="J246">
            <v>109</v>
          </cell>
          <cell r="K246">
            <v>85</v>
          </cell>
          <cell r="L246">
            <v>100</v>
          </cell>
          <cell r="M246">
            <v>534</v>
          </cell>
          <cell r="N246" t="str">
            <v>blaze</v>
          </cell>
          <cell r="P246" t="str">
            <v>flash-fire</v>
          </cell>
          <cell r="Q246">
            <v>1.7</v>
          </cell>
          <cell r="R246">
            <v>79.5</v>
          </cell>
          <cell r="S246" t="str">
            <v>If its rage peaks, it becomes so hot that anything that touches it will instantly go up in flames.</v>
          </cell>
          <cell r="T246" t="str">
            <v>https://raw.githubusercontent.com/PokeAPI/sprites/master/sprites/pokemon/other/official-artwork/157.png</v>
          </cell>
          <cell r="U246" t="str">
            <v>https://raw.githubusercontent.com/PokeAPI/sprites/master/sprites/pokemon/other/official-artwork/shiny/157.png</v>
          </cell>
        </row>
        <row r="247">
          <cell r="A247">
            <v>157</v>
          </cell>
          <cell r="C247" t="str">
            <v>Typhlosion Hisui</v>
          </cell>
          <cell r="D247" t="str">
            <v>Regional</v>
          </cell>
          <cell r="E247" t="str">
            <v>fire</v>
          </cell>
          <cell r="F247" t="str">
            <v>ghost</v>
          </cell>
          <cell r="G247">
            <v>73</v>
          </cell>
          <cell r="H247">
            <v>84</v>
          </cell>
          <cell r="I247">
            <v>78</v>
          </cell>
          <cell r="J247">
            <v>119</v>
          </cell>
          <cell r="K247">
            <v>85</v>
          </cell>
          <cell r="L247">
            <v>95</v>
          </cell>
          <cell r="M247">
            <v>534</v>
          </cell>
          <cell r="N247" t="str">
            <v>blaze</v>
          </cell>
          <cell r="P247" t="str">
            <v>frisk</v>
          </cell>
          <cell r="Q247">
            <v>1.6</v>
          </cell>
          <cell r="R247">
            <v>69.8</v>
          </cell>
          <cell r="S247" t="str">
            <v>If its rage peaks, it becomes so hot that anything that touches it will instantly go up in flames.</v>
          </cell>
          <cell r="T247" t="str">
            <v>https://raw.githubusercontent.com/PokeAPI/sprites/master/sprites/pokemon/other/official-artwork/10233.png</v>
          </cell>
          <cell r="U247" t="str">
            <v>https://raw.githubusercontent.com/PokeAPI/sprites/master/sprites/pokemon/other/official-artwork/shiny/10233.png</v>
          </cell>
        </row>
        <row r="248">
          <cell r="A248">
            <v>158</v>
          </cell>
          <cell r="C248" t="str">
            <v>Totodile</v>
          </cell>
          <cell r="D248" t="str">
            <v>Standard</v>
          </cell>
          <cell r="E248" t="str">
            <v>water</v>
          </cell>
          <cell r="G248">
            <v>50</v>
          </cell>
          <cell r="H248">
            <v>65</v>
          </cell>
          <cell r="I248">
            <v>64</v>
          </cell>
          <cell r="J248">
            <v>44</v>
          </cell>
          <cell r="K248">
            <v>48</v>
          </cell>
          <cell r="L248">
            <v>43</v>
          </cell>
          <cell r="M248">
            <v>314</v>
          </cell>
          <cell r="N248" t="str">
            <v>torrent</v>
          </cell>
          <cell r="P248" t="str">
            <v>sheer-force</v>
          </cell>
          <cell r="Q248">
            <v>0.6</v>
          </cell>
          <cell r="R248">
            <v>9.5</v>
          </cell>
          <cell r="S248" t="str">
            <v>Its well-developed jaws are powerful and capable of crushing anything. Even its trainer must be careful.</v>
          </cell>
          <cell r="T248" t="str">
            <v>https://raw.githubusercontent.com/PokeAPI/sprites/master/sprites/pokemon/other/official-artwork/158.png</v>
          </cell>
          <cell r="U248" t="str">
            <v>https://raw.githubusercontent.com/PokeAPI/sprites/master/sprites/pokemon/other/official-artwork/shiny/158.png</v>
          </cell>
        </row>
        <row r="249">
          <cell r="A249">
            <v>159</v>
          </cell>
          <cell r="C249" t="str">
            <v>Croconaw</v>
          </cell>
          <cell r="D249" t="str">
            <v>Standard</v>
          </cell>
          <cell r="E249" t="str">
            <v>water</v>
          </cell>
          <cell r="G249">
            <v>65</v>
          </cell>
          <cell r="H249">
            <v>80</v>
          </cell>
          <cell r="I249">
            <v>80</v>
          </cell>
          <cell r="J249">
            <v>59</v>
          </cell>
          <cell r="K249">
            <v>63</v>
          </cell>
          <cell r="L249">
            <v>58</v>
          </cell>
          <cell r="M249">
            <v>405</v>
          </cell>
          <cell r="N249" t="str">
            <v>torrent</v>
          </cell>
          <cell r="P249" t="str">
            <v>sheer-force</v>
          </cell>
          <cell r="Q249">
            <v>1.1000000000000001</v>
          </cell>
          <cell r="R249">
            <v>25</v>
          </cell>
          <cell r="S249" t="str">
            <v>If it loses a fang, a new one grows back in its place. There are always 48 fangs lining its mouth.</v>
          </cell>
          <cell r="T249" t="str">
            <v>https://raw.githubusercontent.com/PokeAPI/sprites/master/sprites/pokemon/other/official-artwork/159.png</v>
          </cell>
          <cell r="U249" t="str">
            <v>https://raw.githubusercontent.com/PokeAPI/sprites/master/sprites/pokemon/other/official-artwork/shiny/159.png</v>
          </cell>
        </row>
        <row r="250">
          <cell r="A250">
            <v>160</v>
          </cell>
          <cell r="C250" t="str">
            <v>Feraligatr</v>
          </cell>
          <cell r="D250" t="str">
            <v>Standard</v>
          </cell>
          <cell r="E250" t="str">
            <v>water</v>
          </cell>
          <cell r="G250">
            <v>85</v>
          </cell>
          <cell r="H250">
            <v>105</v>
          </cell>
          <cell r="I250">
            <v>100</v>
          </cell>
          <cell r="J250">
            <v>79</v>
          </cell>
          <cell r="K250">
            <v>83</v>
          </cell>
          <cell r="L250">
            <v>78</v>
          </cell>
          <cell r="M250">
            <v>530</v>
          </cell>
          <cell r="N250" t="str">
            <v>torrent</v>
          </cell>
          <cell r="P250" t="str">
            <v>sheer-force</v>
          </cell>
          <cell r="Q250">
            <v>2.2999999999999998</v>
          </cell>
          <cell r="R250">
            <v>88.8</v>
          </cell>
          <cell r="S250" t="str">
            <v>When it bites with its massive and powerful jaws, it shakes its head and savagely tears its victim up.</v>
          </cell>
          <cell r="T250" t="str">
            <v>https://raw.githubusercontent.com/PokeAPI/sprites/master/sprites/pokemon/other/official-artwork/160.png</v>
          </cell>
          <cell r="U250" t="str">
            <v>https://raw.githubusercontent.com/PokeAPI/sprites/master/sprites/pokemon/other/official-artwork/shiny/160.png</v>
          </cell>
        </row>
        <row r="251">
          <cell r="A251">
            <v>160</v>
          </cell>
          <cell r="C251" t="str">
            <v>Feraligatr Mega</v>
          </cell>
          <cell r="D251" t="str">
            <v>Mega</v>
          </cell>
          <cell r="E251" t="str">
            <v>water</v>
          </cell>
          <cell r="F251" t="str">
            <v>dragon</v>
          </cell>
          <cell r="G251">
            <v>85</v>
          </cell>
          <cell r="H251">
            <v>160</v>
          </cell>
          <cell r="I251">
            <v>125</v>
          </cell>
          <cell r="J251">
            <v>89</v>
          </cell>
          <cell r="K251">
            <v>93</v>
          </cell>
          <cell r="L251">
            <v>78</v>
          </cell>
          <cell r="M251">
            <v>630</v>
          </cell>
          <cell r="Q251">
            <v>2.2999999999999998</v>
          </cell>
          <cell r="R251">
            <v>108.8</v>
          </cell>
          <cell r="S251" t="str">
            <v>When it bites with its massive and powerful jaws, it shakes its head and savagely tears its victim up.</v>
          </cell>
          <cell r="T251" t="str">
            <v>https://raw.githubusercontent.com/PokeAPI/sprites/master/sprites/pokemon/other/showdown/10283.gif</v>
          </cell>
          <cell r="U251" t="str">
            <v>https://raw.githubusercontent.com/PokeAPI/sprites/master/sprites/pokemon/other/showdown/shiny/10283.gif</v>
          </cell>
        </row>
        <row r="252">
          <cell r="A252">
            <v>161</v>
          </cell>
          <cell r="C252" t="str">
            <v>Sentret</v>
          </cell>
          <cell r="D252" t="str">
            <v>Standard</v>
          </cell>
          <cell r="E252" t="str">
            <v>normal</v>
          </cell>
          <cell r="G252">
            <v>35</v>
          </cell>
          <cell r="H252">
            <v>46</v>
          </cell>
          <cell r="I252">
            <v>34</v>
          </cell>
          <cell r="J252">
            <v>35</v>
          </cell>
          <cell r="K252">
            <v>45</v>
          </cell>
          <cell r="L252">
            <v>20</v>
          </cell>
          <cell r="M252">
            <v>215</v>
          </cell>
          <cell r="N252" t="str">
            <v>run-away</v>
          </cell>
          <cell r="O252" t="str">
            <v>keen-eye</v>
          </cell>
          <cell r="P252" t="str">
            <v>frisk</v>
          </cell>
          <cell r="Q252">
            <v>0.8</v>
          </cell>
          <cell r="R252">
            <v>6</v>
          </cell>
          <cell r="S252" t="str">
            <v>A very cautious POKéMON, it raises itself up using its tail to get a better view of its surroundings.</v>
          </cell>
          <cell r="T252" t="str">
            <v>https://raw.githubusercontent.com/PokeAPI/sprites/master/sprites/pokemon/other/official-artwork/161.png</v>
          </cell>
          <cell r="U252" t="str">
            <v>https://raw.githubusercontent.com/PokeAPI/sprites/master/sprites/pokemon/other/official-artwork/shiny/161.png</v>
          </cell>
        </row>
        <row r="253">
          <cell r="A253">
            <v>162</v>
          </cell>
          <cell r="C253" t="str">
            <v>Furret</v>
          </cell>
          <cell r="D253" t="str">
            <v>Standard</v>
          </cell>
          <cell r="E253" t="str">
            <v>normal</v>
          </cell>
          <cell r="G253">
            <v>85</v>
          </cell>
          <cell r="H253">
            <v>76</v>
          </cell>
          <cell r="I253">
            <v>64</v>
          </cell>
          <cell r="J253">
            <v>45</v>
          </cell>
          <cell r="K253">
            <v>55</v>
          </cell>
          <cell r="L253">
            <v>90</v>
          </cell>
          <cell r="M253">
            <v>415</v>
          </cell>
          <cell r="N253" t="str">
            <v>run-away</v>
          </cell>
          <cell r="O253" t="str">
            <v>keen-eye</v>
          </cell>
          <cell r="P253" t="str">
            <v>frisk</v>
          </cell>
          <cell r="Q253">
            <v>1.8</v>
          </cell>
          <cell r="R253">
            <v>32.5</v>
          </cell>
          <cell r="S253" t="str">
            <v>It makes a nest to suit its long and skinny body. The nest is impossible for other POKéMON to enter.</v>
          </cell>
          <cell r="T253" t="str">
            <v>https://raw.githubusercontent.com/PokeAPI/sprites/master/sprites/pokemon/other/official-artwork/162.png</v>
          </cell>
          <cell r="U253" t="str">
            <v>https://raw.githubusercontent.com/PokeAPI/sprites/master/sprites/pokemon/other/official-artwork/shiny/162.png</v>
          </cell>
        </row>
        <row r="254">
          <cell r="A254">
            <v>163</v>
          </cell>
          <cell r="C254" t="str">
            <v>Hoothoot</v>
          </cell>
          <cell r="D254" t="str">
            <v>Standard</v>
          </cell>
          <cell r="E254" t="str">
            <v>normal</v>
          </cell>
          <cell r="F254" t="str">
            <v>flying</v>
          </cell>
          <cell r="G254">
            <v>60</v>
          </cell>
          <cell r="H254">
            <v>30</v>
          </cell>
          <cell r="I254">
            <v>30</v>
          </cell>
          <cell r="J254">
            <v>36</v>
          </cell>
          <cell r="K254">
            <v>56</v>
          </cell>
          <cell r="L254">
            <v>50</v>
          </cell>
          <cell r="M254">
            <v>262</v>
          </cell>
          <cell r="N254" t="str">
            <v>insomnia</v>
          </cell>
          <cell r="O254" t="str">
            <v>keen-eye</v>
          </cell>
          <cell r="P254" t="str">
            <v>tinted-lens</v>
          </cell>
          <cell r="Q254">
            <v>0.7</v>
          </cell>
          <cell r="R254">
            <v>21.2</v>
          </cell>
          <cell r="S254" t="str">
            <v>It always stands on one foot. It changes feet so fast, the movement can rarely be seen.</v>
          </cell>
          <cell r="T254" t="str">
            <v>https://raw.githubusercontent.com/PokeAPI/sprites/master/sprites/pokemon/other/official-artwork/163.png</v>
          </cell>
          <cell r="U254" t="str">
            <v>https://raw.githubusercontent.com/PokeAPI/sprites/master/sprites/pokemon/other/official-artwork/shiny/163.png</v>
          </cell>
        </row>
        <row r="255">
          <cell r="A255">
            <v>164</v>
          </cell>
          <cell r="C255" t="str">
            <v>Noctowl</v>
          </cell>
          <cell r="D255" t="str">
            <v>Standard</v>
          </cell>
          <cell r="E255" t="str">
            <v>normal</v>
          </cell>
          <cell r="F255" t="str">
            <v>flying</v>
          </cell>
          <cell r="G255">
            <v>100</v>
          </cell>
          <cell r="H255">
            <v>50</v>
          </cell>
          <cell r="I255">
            <v>50</v>
          </cell>
          <cell r="J255">
            <v>86</v>
          </cell>
          <cell r="K255">
            <v>96</v>
          </cell>
          <cell r="L255">
            <v>70</v>
          </cell>
          <cell r="M255">
            <v>452</v>
          </cell>
          <cell r="N255" t="str">
            <v>insomnia</v>
          </cell>
          <cell r="O255" t="str">
            <v>keen-eye</v>
          </cell>
          <cell r="P255" t="str">
            <v>tinted-lens</v>
          </cell>
          <cell r="Q255">
            <v>1.6</v>
          </cell>
          <cell r="R255">
            <v>40.799999999999997</v>
          </cell>
          <cell r="S255" t="str">
            <v>Its eyes are specially adapted. They concentrate even faint light and enable it to see in the dark.</v>
          </cell>
          <cell r="T255" t="str">
            <v>https://raw.githubusercontent.com/PokeAPI/sprites/master/sprites/pokemon/other/official-artwork/164.png</v>
          </cell>
          <cell r="U255" t="str">
            <v>https://raw.githubusercontent.com/PokeAPI/sprites/master/sprites/pokemon/other/official-artwork/shiny/164.png</v>
          </cell>
        </row>
        <row r="256">
          <cell r="A256">
            <v>165</v>
          </cell>
          <cell r="C256" t="str">
            <v>Ledyba</v>
          </cell>
          <cell r="D256" t="str">
            <v>Standard</v>
          </cell>
          <cell r="E256" t="str">
            <v>bug</v>
          </cell>
          <cell r="F256" t="str">
            <v>flying</v>
          </cell>
          <cell r="G256">
            <v>40</v>
          </cell>
          <cell r="H256">
            <v>20</v>
          </cell>
          <cell r="I256">
            <v>30</v>
          </cell>
          <cell r="J256">
            <v>40</v>
          </cell>
          <cell r="K256">
            <v>80</v>
          </cell>
          <cell r="L256">
            <v>55</v>
          </cell>
          <cell r="M256">
            <v>265</v>
          </cell>
          <cell r="N256" t="str">
            <v>swarm</v>
          </cell>
          <cell r="O256" t="str">
            <v>early-bird</v>
          </cell>
          <cell r="P256" t="str">
            <v>rattled</v>
          </cell>
          <cell r="Q256">
            <v>1</v>
          </cell>
          <cell r="R256">
            <v>10.8</v>
          </cell>
          <cell r="S256" t="str">
            <v>It is very timid. It will be afraid to move if it is alone. But it will be active if it is in a group.</v>
          </cell>
          <cell r="T256" t="str">
            <v>https://raw.githubusercontent.com/PokeAPI/sprites/master/sprites/pokemon/other/official-artwork/165.png</v>
          </cell>
          <cell r="U256" t="str">
            <v>https://raw.githubusercontent.com/PokeAPI/sprites/master/sprites/pokemon/other/official-artwork/shiny/165.png</v>
          </cell>
        </row>
        <row r="257">
          <cell r="A257">
            <v>166</v>
          </cell>
          <cell r="C257" t="str">
            <v>Ledian</v>
          </cell>
          <cell r="D257" t="str">
            <v>Standard</v>
          </cell>
          <cell r="E257" t="str">
            <v>bug</v>
          </cell>
          <cell r="F257" t="str">
            <v>flying</v>
          </cell>
          <cell r="G257">
            <v>55</v>
          </cell>
          <cell r="H257">
            <v>35</v>
          </cell>
          <cell r="I257">
            <v>50</v>
          </cell>
          <cell r="J257">
            <v>55</v>
          </cell>
          <cell r="K257">
            <v>110</v>
          </cell>
          <cell r="L257">
            <v>85</v>
          </cell>
          <cell r="M257">
            <v>390</v>
          </cell>
          <cell r="N257" t="str">
            <v>swarm</v>
          </cell>
          <cell r="O257" t="str">
            <v>early-bird</v>
          </cell>
          <cell r="P257" t="str">
            <v>iron-fist</v>
          </cell>
          <cell r="Q257">
            <v>1.4</v>
          </cell>
          <cell r="R257">
            <v>35.6</v>
          </cell>
          <cell r="S257" t="str">
            <v>When the stars flicker in the night sky, it flutters about, scattering a glowing powder.</v>
          </cell>
          <cell r="T257" t="str">
            <v>https://raw.githubusercontent.com/PokeAPI/sprites/master/sprites/pokemon/other/official-artwork/166.png</v>
          </cell>
          <cell r="U257" t="str">
            <v>https://raw.githubusercontent.com/PokeAPI/sprites/master/sprites/pokemon/other/official-artwork/shiny/166.png</v>
          </cell>
        </row>
        <row r="258">
          <cell r="A258">
            <v>167</v>
          </cell>
          <cell r="C258" t="str">
            <v>Spinarak</v>
          </cell>
          <cell r="D258" t="str">
            <v>Standard</v>
          </cell>
          <cell r="E258" t="str">
            <v>bug</v>
          </cell>
          <cell r="F258" t="str">
            <v>poison</v>
          </cell>
          <cell r="G258">
            <v>40</v>
          </cell>
          <cell r="H258">
            <v>60</v>
          </cell>
          <cell r="I258">
            <v>40</v>
          </cell>
          <cell r="J258">
            <v>40</v>
          </cell>
          <cell r="K258">
            <v>40</v>
          </cell>
          <cell r="L258">
            <v>30</v>
          </cell>
          <cell r="M258">
            <v>250</v>
          </cell>
          <cell r="N258" t="str">
            <v>swarm</v>
          </cell>
          <cell r="O258" t="str">
            <v>insomnia</v>
          </cell>
          <cell r="P258" t="str">
            <v>sniper</v>
          </cell>
          <cell r="Q258">
            <v>0.5</v>
          </cell>
          <cell r="R258">
            <v>8.5</v>
          </cell>
          <cell r="S258" t="str">
            <v>It lies still in the same pose for days in its web, waiting for its unsuspecting prey to wander close.</v>
          </cell>
          <cell r="T258" t="str">
            <v>https://raw.githubusercontent.com/PokeAPI/sprites/master/sprites/pokemon/other/official-artwork/167.png</v>
          </cell>
          <cell r="U258" t="str">
            <v>https://raw.githubusercontent.com/PokeAPI/sprites/master/sprites/pokemon/other/official-artwork/shiny/167.png</v>
          </cell>
        </row>
        <row r="259">
          <cell r="A259">
            <v>168</v>
          </cell>
          <cell r="C259" t="str">
            <v>Ariados</v>
          </cell>
          <cell r="D259" t="str">
            <v>Standard</v>
          </cell>
          <cell r="E259" t="str">
            <v>bug</v>
          </cell>
          <cell r="F259" t="str">
            <v>poison</v>
          </cell>
          <cell r="G259">
            <v>70</v>
          </cell>
          <cell r="H259">
            <v>90</v>
          </cell>
          <cell r="I259">
            <v>70</v>
          </cell>
          <cell r="J259">
            <v>60</v>
          </cell>
          <cell r="K259">
            <v>70</v>
          </cell>
          <cell r="L259">
            <v>40</v>
          </cell>
          <cell r="M259">
            <v>400</v>
          </cell>
          <cell r="N259" t="str">
            <v>swarm</v>
          </cell>
          <cell r="O259" t="str">
            <v>insomnia</v>
          </cell>
          <cell r="P259" t="str">
            <v>sniper</v>
          </cell>
          <cell r="Q259">
            <v>1.1000000000000001</v>
          </cell>
          <cell r="R259">
            <v>33.5</v>
          </cell>
          <cell r="S259" t="str">
            <v>It spins string not only from its rear but also from its mouth. It is hard to tell which end is which.</v>
          </cell>
          <cell r="T259" t="str">
            <v>https://raw.githubusercontent.com/PokeAPI/sprites/master/sprites/pokemon/other/official-artwork/168.png</v>
          </cell>
          <cell r="U259" t="str">
            <v>https://raw.githubusercontent.com/PokeAPI/sprites/master/sprites/pokemon/other/official-artwork/shiny/168.png</v>
          </cell>
        </row>
        <row r="260">
          <cell r="A260">
            <v>169</v>
          </cell>
          <cell r="C260" t="str">
            <v>Crobat</v>
          </cell>
          <cell r="D260" t="str">
            <v>Standard</v>
          </cell>
          <cell r="E260" t="str">
            <v>poison</v>
          </cell>
          <cell r="F260" t="str">
            <v>flying</v>
          </cell>
          <cell r="G260">
            <v>85</v>
          </cell>
          <cell r="H260">
            <v>90</v>
          </cell>
          <cell r="I260">
            <v>80</v>
          </cell>
          <cell r="J260">
            <v>70</v>
          </cell>
          <cell r="K260">
            <v>80</v>
          </cell>
          <cell r="L260">
            <v>130</v>
          </cell>
          <cell r="M260">
            <v>535</v>
          </cell>
          <cell r="N260" t="str">
            <v>inner-focus</v>
          </cell>
          <cell r="P260" t="str">
            <v>infiltrator</v>
          </cell>
          <cell r="Q260">
            <v>1.8</v>
          </cell>
          <cell r="R260">
            <v>75</v>
          </cell>
          <cell r="S260" t="str">
            <v>It flies so si­ lently through the dark on its four wings that it may not be noticed even when nearby.</v>
          </cell>
          <cell r="T260" t="str">
            <v>https://raw.githubusercontent.com/PokeAPI/sprites/master/sprites/pokemon/other/official-artwork/169.png</v>
          </cell>
          <cell r="U260" t="str">
            <v>https://raw.githubusercontent.com/PokeAPI/sprites/master/sprites/pokemon/other/official-artwork/shiny/169.png</v>
          </cell>
        </row>
        <row r="261">
          <cell r="A261">
            <v>170</v>
          </cell>
          <cell r="C261" t="str">
            <v>Chinchou</v>
          </cell>
          <cell r="D261" t="str">
            <v>Standard</v>
          </cell>
          <cell r="E261" t="str">
            <v>water</v>
          </cell>
          <cell r="F261" t="str">
            <v>electric</v>
          </cell>
          <cell r="G261">
            <v>75</v>
          </cell>
          <cell r="H261">
            <v>38</v>
          </cell>
          <cell r="I261">
            <v>38</v>
          </cell>
          <cell r="J261">
            <v>56</v>
          </cell>
          <cell r="K261">
            <v>56</v>
          </cell>
          <cell r="L261">
            <v>67</v>
          </cell>
          <cell r="M261">
            <v>330</v>
          </cell>
          <cell r="N261" t="str">
            <v>volt-absorb</v>
          </cell>
          <cell r="O261" t="str">
            <v>illuminate</v>
          </cell>
          <cell r="P261" t="str">
            <v>water-absorb</v>
          </cell>
          <cell r="Q261">
            <v>0.5</v>
          </cell>
          <cell r="R261">
            <v>12</v>
          </cell>
          <cell r="S261" t="str">
            <v>Chinchou blink their shining antennae at one another to claim their respective turf.</v>
          </cell>
          <cell r="T261" t="str">
            <v>https://raw.githubusercontent.com/PokeAPI/sprites/master/sprites/pokemon/other/official-artwork/170.png</v>
          </cell>
          <cell r="U261" t="str">
            <v>https://raw.githubusercontent.com/PokeAPI/sprites/master/sprites/pokemon/other/official-artwork/shiny/170.png</v>
          </cell>
        </row>
        <row r="262">
          <cell r="A262">
            <v>171</v>
          </cell>
          <cell r="C262" t="str">
            <v>Lanturn</v>
          </cell>
          <cell r="D262" t="str">
            <v>Standard</v>
          </cell>
          <cell r="E262" t="str">
            <v>water</v>
          </cell>
          <cell r="F262" t="str">
            <v>electric</v>
          </cell>
          <cell r="G262">
            <v>125</v>
          </cell>
          <cell r="H262">
            <v>58</v>
          </cell>
          <cell r="I262">
            <v>58</v>
          </cell>
          <cell r="J262">
            <v>76</v>
          </cell>
          <cell r="K262">
            <v>76</v>
          </cell>
          <cell r="L262">
            <v>67</v>
          </cell>
          <cell r="M262">
            <v>460</v>
          </cell>
          <cell r="N262" t="str">
            <v>volt-absorb</v>
          </cell>
          <cell r="O262" t="str">
            <v>illuminate</v>
          </cell>
          <cell r="P262" t="str">
            <v>water-absorb</v>
          </cell>
          <cell r="Q262">
            <v>1.2</v>
          </cell>
          <cell r="R262">
            <v>22.5</v>
          </cell>
          <cell r="S262" t="str">
            <v>The light it emits is so bright that it can illuminate the sea's surface from a depth of over three miles.</v>
          </cell>
          <cell r="T262" t="str">
            <v>https://raw.githubusercontent.com/PokeAPI/sprites/master/sprites/pokemon/other/official-artwork/171.png</v>
          </cell>
          <cell r="U262" t="str">
            <v>https://raw.githubusercontent.com/PokeAPI/sprites/master/sprites/pokemon/other/official-artwork/shiny/171.png</v>
          </cell>
        </row>
        <row r="263">
          <cell r="A263">
            <v>172</v>
          </cell>
          <cell r="C263" t="str">
            <v>Pichu</v>
          </cell>
          <cell r="D263" t="str">
            <v>Standard</v>
          </cell>
          <cell r="E263" t="str">
            <v>electric</v>
          </cell>
          <cell r="G263">
            <v>20</v>
          </cell>
          <cell r="H263">
            <v>40</v>
          </cell>
          <cell r="I263">
            <v>15</v>
          </cell>
          <cell r="J263">
            <v>35</v>
          </cell>
          <cell r="K263">
            <v>35</v>
          </cell>
          <cell r="L263">
            <v>60</v>
          </cell>
          <cell r="M263">
            <v>205</v>
          </cell>
          <cell r="N263" t="str">
            <v>static</v>
          </cell>
          <cell r="P263" t="str">
            <v>lightning-rod</v>
          </cell>
          <cell r="Q263">
            <v>0.3</v>
          </cell>
          <cell r="R263">
            <v>2</v>
          </cell>
          <cell r="S263" t="str">
            <v>It is not yet skilled at storing electricity. It may send out a jolt if amused or startled.</v>
          </cell>
          <cell r="T263" t="str">
            <v>https://raw.githubusercontent.com/PokeAPI/sprites/master/sprites/pokemon/other/official-artwork/172.png</v>
          </cell>
          <cell r="U263" t="str">
            <v>https://raw.githubusercontent.com/PokeAPI/sprites/master/sprites/pokemon/other/official-artwork/shiny/172.png</v>
          </cell>
        </row>
        <row r="264">
          <cell r="A264">
            <v>173</v>
          </cell>
          <cell r="C264" t="str">
            <v>Cleffa</v>
          </cell>
          <cell r="D264" t="str">
            <v>Standard</v>
          </cell>
          <cell r="E264" t="str">
            <v>fairy</v>
          </cell>
          <cell r="G264">
            <v>50</v>
          </cell>
          <cell r="H264">
            <v>25</v>
          </cell>
          <cell r="I264">
            <v>28</v>
          </cell>
          <cell r="J264">
            <v>45</v>
          </cell>
          <cell r="K264">
            <v>55</v>
          </cell>
          <cell r="L264">
            <v>15</v>
          </cell>
          <cell r="M264">
            <v>218</v>
          </cell>
          <cell r="N264" t="str">
            <v>cute-charm</v>
          </cell>
          <cell r="O264" t="str">
            <v>magic-guard</v>
          </cell>
          <cell r="P264" t="str">
            <v>friend-guard</v>
          </cell>
          <cell r="Q264">
            <v>0.3</v>
          </cell>
          <cell r="R264">
            <v>3</v>
          </cell>
          <cell r="S264" t="str">
            <v>Because of its unusual, star-like silhouette, people believe that it came here on a meteor.</v>
          </cell>
          <cell r="T264" t="str">
            <v>https://raw.githubusercontent.com/PokeAPI/sprites/master/sprites/pokemon/other/official-artwork/173.png</v>
          </cell>
          <cell r="U264" t="str">
            <v>https://raw.githubusercontent.com/PokeAPI/sprites/master/sprites/pokemon/other/official-artwork/shiny/173.png</v>
          </cell>
        </row>
        <row r="265">
          <cell r="A265">
            <v>174</v>
          </cell>
          <cell r="C265" t="str">
            <v>Igglybuff</v>
          </cell>
          <cell r="D265" t="str">
            <v>Standard</v>
          </cell>
          <cell r="E265" t="str">
            <v>normal</v>
          </cell>
          <cell r="F265" t="str">
            <v>fairy</v>
          </cell>
          <cell r="G265">
            <v>90</v>
          </cell>
          <cell r="H265">
            <v>30</v>
          </cell>
          <cell r="I265">
            <v>15</v>
          </cell>
          <cell r="J265">
            <v>40</v>
          </cell>
          <cell r="K265">
            <v>20</v>
          </cell>
          <cell r="L265">
            <v>15</v>
          </cell>
          <cell r="M265">
            <v>210</v>
          </cell>
          <cell r="N265" t="str">
            <v>cute-charm</v>
          </cell>
          <cell r="O265" t="str">
            <v>competitive</v>
          </cell>
          <cell r="P265" t="str">
            <v>friend-guard</v>
          </cell>
          <cell r="Q265">
            <v>0.3</v>
          </cell>
          <cell r="R265">
            <v>1</v>
          </cell>
          <cell r="S265" t="str">
            <v>It has a very soft body. If it starts to roll, it will bounce all over and be impossible to stop.</v>
          </cell>
          <cell r="T265" t="str">
            <v>https://raw.githubusercontent.com/PokeAPI/sprites/master/sprites/pokemon/other/official-artwork/174.png</v>
          </cell>
          <cell r="U265" t="str">
            <v>https://raw.githubusercontent.com/PokeAPI/sprites/master/sprites/pokemon/other/official-artwork/shiny/174.png</v>
          </cell>
        </row>
        <row r="266">
          <cell r="A266">
            <v>175</v>
          </cell>
          <cell r="C266" t="str">
            <v>Togepi</v>
          </cell>
          <cell r="D266" t="str">
            <v>Standard</v>
          </cell>
          <cell r="E266" t="str">
            <v>fairy</v>
          </cell>
          <cell r="G266">
            <v>35</v>
          </cell>
          <cell r="H266">
            <v>20</v>
          </cell>
          <cell r="I266">
            <v>65</v>
          </cell>
          <cell r="J266">
            <v>40</v>
          </cell>
          <cell r="K266">
            <v>65</v>
          </cell>
          <cell r="L266">
            <v>20</v>
          </cell>
          <cell r="M266">
            <v>245</v>
          </cell>
          <cell r="N266" t="str">
            <v>hustle</v>
          </cell>
          <cell r="O266" t="str">
            <v>serene-grace</v>
          </cell>
          <cell r="P266" t="str">
            <v>super-luck</v>
          </cell>
          <cell r="Q266">
            <v>0.3</v>
          </cell>
          <cell r="R266">
            <v>1.5</v>
          </cell>
          <cell r="S266" t="str">
            <v>The shell seems to be filled with joy. It is said that it will share good luck when treated kindly.</v>
          </cell>
          <cell r="T266" t="str">
            <v>https://raw.githubusercontent.com/PokeAPI/sprites/master/sprites/pokemon/other/official-artwork/175.png</v>
          </cell>
          <cell r="U266" t="str">
            <v>https://raw.githubusercontent.com/PokeAPI/sprites/master/sprites/pokemon/other/official-artwork/shiny/175.png</v>
          </cell>
        </row>
        <row r="267">
          <cell r="A267">
            <v>176</v>
          </cell>
          <cell r="C267" t="str">
            <v>Togetic</v>
          </cell>
          <cell r="D267" t="str">
            <v>Standard</v>
          </cell>
          <cell r="E267" t="str">
            <v>fairy</v>
          </cell>
          <cell r="F267" t="str">
            <v>flying</v>
          </cell>
          <cell r="G267">
            <v>55</v>
          </cell>
          <cell r="H267">
            <v>40</v>
          </cell>
          <cell r="I267">
            <v>85</v>
          </cell>
          <cell r="J267">
            <v>80</v>
          </cell>
          <cell r="K267">
            <v>105</v>
          </cell>
          <cell r="L267">
            <v>40</v>
          </cell>
          <cell r="M267">
            <v>405</v>
          </cell>
          <cell r="N267" t="str">
            <v>hustle</v>
          </cell>
          <cell r="O267" t="str">
            <v>serene-grace</v>
          </cell>
          <cell r="P267" t="str">
            <v>super-luck</v>
          </cell>
          <cell r="Q267">
            <v>0.6</v>
          </cell>
          <cell r="R267">
            <v>3.2</v>
          </cell>
          <cell r="S267" t="str">
            <v>They say that it will appear before kindhearted, car­ ing people and shower them with happiness.</v>
          </cell>
          <cell r="T267" t="str">
            <v>https://raw.githubusercontent.com/PokeAPI/sprites/master/sprites/pokemon/other/official-artwork/176.png</v>
          </cell>
          <cell r="U267" t="str">
            <v>https://raw.githubusercontent.com/PokeAPI/sprites/master/sprites/pokemon/other/official-artwork/shiny/176.png</v>
          </cell>
        </row>
        <row r="268">
          <cell r="A268">
            <v>177</v>
          </cell>
          <cell r="C268" t="str">
            <v>Natu</v>
          </cell>
          <cell r="D268" t="str">
            <v>Standard</v>
          </cell>
          <cell r="E268" t="str">
            <v>psychic</v>
          </cell>
          <cell r="F268" t="str">
            <v>flying</v>
          </cell>
          <cell r="G268">
            <v>40</v>
          </cell>
          <cell r="H268">
            <v>50</v>
          </cell>
          <cell r="I268">
            <v>45</v>
          </cell>
          <cell r="J268">
            <v>70</v>
          </cell>
          <cell r="K268">
            <v>45</v>
          </cell>
          <cell r="L268">
            <v>70</v>
          </cell>
          <cell r="M268">
            <v>320</v>
          </cell>
          <cell r="N268" t="str">
            <v>synchronize</v>
          </cell>
          <cell r="O268" t="str">
            <v>early-bird</v>
          </cell>
          <cell r="P268" t="str">
            <v>magic-bounce</v>
          </cell>
          <cell r="Q268">
            <v>0.2</v>
          </cell>
          <cell r="R268">
            <v>2</v>
          </cell>
          <cell r="S268" t="str">
            <v>Because its wings aren't yet fully grown, it has to hop to get around. It is always star­ ing at something.</v>
          </cell>
          <cell r="T268" t="str">
            <v>https://raw.githubusercontent.com/PokeAPI/sprites/master/sprites/pokemon/other/official-artwork/177.png</v>
          </cell>
          <cell r="U268" t="str">
            <v>https://raw.githubusercontent.com/PokeAPI/sprites/master/sprites/pokemon/other/official-artwork/shiny/177.png</v>
          </cell>
        </row>
        <row r="269">
          <cell r="A269">
            <v>178</v>
          </cell>
          <cell r="C269" t="str">
            <v>Xatu</v>
          </cell>
          <cell r="D269" t="str">
            <v>Standard</v>
          </cell>
          <cell r="E269" t="str">
            <v>psychic</v>
          </cell>
          <cell r="F269" t="str">
            <v>flying</v>
          </cell>
          <cell r="G269">
            <v>65</v>
          </cell>
          <cell r="H269">
            <v>75</v>
          </cell>
          <cell r="I269">
            <v>70</v>
          </cell>
          <cell r="J269">
            <v>95</v>
          </cell>
          <cell r="K269">
            <v>70</v>
          </cell>
          <cell r="L269">
            <v>95</v>
          </cell>
          <cell r="M269">
            <v>470</v>
          </cell>
          <cell r="N269" t="str">
            <v>synchronize</v>
          </cell>
          <cell r="O269" t="str">
            <v>early-bird</v>
          </cell>
          <cell r="P269" t="str">
            <v>magic-bounce</v>
          </cell>
          <cell r="Q269">
            <v>1.5</v>
          </cell>
          <cell r="R269">
            <v>15</v>
          </cell>
          <cell r="S269" t="str">
            <v>They say that it stays still and quiet because it is seeing both the past and future at the same time.</v>
          </cell>
          <cell r="T269" t="str">
            <v>https://raw.githubusercontent.com/PokeAPI/sprites/master/sprites/pokemon/other/official-artwork/178.png</v>
          </cell>
          <cell r="U269" t="str">
            <v>https://raw.githubusercontent.com/PokeAPI/sprites/master/sprites/pokemon/other/official-artwork/shiny/178.png</v>
          </cell>
        </row>
        <row r="270">
          <cell r="A270">
            <v>179</v>
          </cell>
          <cell r="C270" t="str">
            <v>Mareep</v>
          </cell>
          <cell r="D270" t="str">
            <v>Standard</v>
          </cell>
          <cell r="E270" t="str">
            <v>electric</v>
          </cell>
          <cell r="G270">
            <v>55</v>
          </cell>
          <cell r="H270">
            <v>40</v>
          </cell>
          <cell r="I270">
            <v>40</v>
          </cell>
          <cell r="J270">
            <v>65</v>
          </cell>
          <cell r="K270">
            <v>45</v>
          </cell>
          <cell r="L270">
            <v>35</v>
          </cell>
          <cell r="M270">
            <v>280</v>
          </cell>
          <cell r="N270" t="str">
            <v>static</v>
          </cell>
          <cell r="P270" t="str">
            <v>plus</v>
          </cell>
          <cell r="Q270">
            <v>0.6</v>
          </cell>
          <cell r="R270">
            <v>7.8</v>
          </cell>
          <cell r="S270" t="str">
            <v>If static elec­ tricity builds in its body, its fleece doubles in volume. Touching it will shock you.</v>
          </cell>
          <cell r="T270" t="str">
            <v>https://raw.githubusercontent.com/PokeAPI/sprites/master/sprites/pokemon/other/official-artwork/179.png</v>
          </cell>
          <cell r="U270" t="str">
            <v>https://raw.githubusercontent.com/PokeAPI/sprites/master/sprites/pokemon/other/official-artwork/shiny/179.png</v>
          </cell>
        </row>
        <row r="271">
          <cell r="A271">
            <v>180</v>
          </cell>
          <cell r="C271" t="str">
            <v>Flaaffy</v>
          </cell>
          <cell r="D271" t="str">
            <v>Standard</v>
          </cell>
          <cell r="E271" t="str">
            <v>electric</v>
          </cell>
          <cell r="G271">
            <v>70</v>
          </cell>
          <cell r="H271">
            <v>55</v>
          </cell>
          <cell r="I271">
            <v>55</v>
          </cell>
          <cell r="J271">
            <v>80</v>
          </cell>
          <cell r="K271">
            <v>60</v>
          </cell>
          <cell r="L271">
            <v>45</v>
          </cell>
          <cell r="M271">
            <v>365</v>
          </cell>
          <cell r="N271" t="str">
            <v>static</v>
          </cell>
          <cell r="P271" t="str">
            <v>plus</v>
          </cell>
          <cell r="Q271">
            <v>0.8</v>
          </cell>
          <cell r="R271">
            <v>13.3</v>
          </cell>
          <cell r="S271" t="str">
            <v>As a result of storing too much electricity, it developed patches where even downy wool won't grow.</v>
          </cell>
          <cell r="T271" t="str">
            <v>https://raw.githubusercontent.com/PokeAPI/sprites/master/sprites/pokemon/other/official-artwork/180.png</v>
          </cell>
          <cell r="U271" t="str">
            <v>https://raw.githubusercontent.com/PokeAPI/sprites/master/sprites/pokemon/other/official-artwork/shiny/180.png</v>
          </cell>
        </row>
        <row r="272">
          <cell r="A272">
            <v>181</v>
          </cell>
          <cell r="C272" t="str">
            <v>Ampharos</v>
          </cell>
          <cell r="D272" t="str">
            <v>Standard</v>
          </cell>
          <cell r="E272" t="str">
            <v>electric</v>
          </cell>
          <cell r="G272">
            <v>90</v>
          </cell>
          <cell r="H272">
            <v>75</v>
          </cell>
          <cell r="I272">
            <v>85</v>
          </cell>
          <cell r="J272">
            <v>115</v>
          </cell>
          <cell r="K272">
            <v>90</v>
          </cell>
          <cell r="L272">
            <v>55</v>
          </cell>
          <cell r="M272">
            <v>510</v>
          </cell>
          <cell r="N272" t="str">
            <v>static</v>
          </cell>
          <cell r="P272" t="str">
            <v>plus</v>
          </cell>
          <cell r="Q272">
            <v>1.4</v>
          </cell>
          <cell r="R272">
            <v>61.5</v>
          </cell>
          <cell r="S272" t="str">
            <v>The tail's tip shines brightly and can be seen from far away. It acts as a beacon for lost people.</v>
          </cell>
          <cell r="T272" t="str">
            <v>https://raw.githubusercontent.com/PokeAPI/sprites/master/sprites/pokemon/other/official-artwork/181.png</v>
          </cell>
          <cell r="U272" t="str">
            <v>https://raw.githubusercontent.com/PokeAPI/sprites/master/sprites/pokemon/other/official-artwork/shiny/181.png</v>
          </cell>
        </row>
        <row r="273">
          <cell r="A273">
            <v>181</v>
          </cell>
          <cell r="C273" t="str">
            <v>Ampharos Mega</v>
          </cell>
          <cell r="D273" t="str">
            <v>Mega</v>
          </cell>
          <cell r="E273" t="str">
            <v>electric</v>
          </cell>
          <cell r="F273" t="str">
            <v>dragon</v>
          </cell>
          <cell r="G273">
            <v>90</v>
          </cell>
          <cell r="H273">
            <v>95</v>
          </cell>
          <cell r="I273">
            <v>105</v>
          </cell>
          <cell r="J273">
            <v>165</v>
          </cell>
          <cell r="K273">
            <v>110</v>
          </cell>
          <cell r="L273">
            <v>45</v>
          </cell>
          <cell r="M273">
            <v>610</v>
          </cell>
          <cell r="N273" t="str">
            <v>mold-breaker</v>
          </cell>
          <cell r="Q273">
            <v>1.4</v>
          </cell>
          <cell r="R273">
            <v>61.5</v>
          </cell>
          <cell r="S273" t="str">
            <v>The tail's tip shines brightly and can be seen from far away. It acts as a beacon for lost people.</v>
          </cell>
          <cell r="T273" t="str">
            <v>https://raw.githubusercontent.com/PokeAPI/sprites/master/sprites/pokemon/other/official-artwork/10045.png</v>
          </cell>
          <cell r="U273" t="str">
            <v>https://raw.githubusercontent.com/PokeAPI/sprites/master/sprites/pokemon/other/official-artwork/shiny/10045.png</v>
          </cell>
        </row>
        <row r="274">
          <cell r="A274">
            <v>182</v>
          </cell>
          <cell r="C274" t="str">
            <v>Bellossom</v>
          </cell>
          <cell r="D274" t="str">
            <v>Standard</v>
          </cell>
          <cell r="E274" t="str">
            <v>grass</v>
          </cell>
          <cell r="G274">
            <v>75</v>
          </cell>
          <cell r="H274">
            <v>80</v>
          </cell>
          <cell r="I274">
            <v>95</v>
          </cell>
          <cell r="J274">
            <v>90</v>
          </cell>
          <cell r="K274">
            <v>100</v>
          </cell>
          <cell r="L274">
            <v>50</v>
          </cell>
          <cell r="M274">
            <v>490</v>
          </cell>
          <cell r="N274" t="str">
            <v>chlorophyll</v>
          </cell>
          <cell r="P274" t="str">
            <v>healer</v>
          </cell>
          <cell r="Q274">
            <v>0.4</v>
          </cell>
          <cell r="R274">
            <v>5.8</v>
          </cell>
          <cell r="S274" t="str">
            <v>Plentiful in the tropics. When it dances, its petals rub together and make a pleasant ringing sound.</v>
          </cell>
          <cell r="T274" t="str">
            <v>https://raw.githubusercontent.com/PokeAPI/sprites/master/sprites/pokemon/other/official-artwork/182.png</v>
          </cell>
          <cell r="U274" t="str">
            <v>https://raw.githubusercontent.com/PokeAPI/sprites/master/sprites/pokemon/other/official-artwork/shiny/182.png</v>
          </cell>
        </row>
        <row r="275">
          <cell r="A275">
            <v>183</v>
          </cell>
          <cell r="C275" t="str">
            <v>Marill</v>
          </cell>
          <cell r="D275" t="str">
            <v>Standard</v>
          </cell>
          <cell r="E275" t="str">
            <v>water</v>
          </cell>
          <cell r="F275" t="str">
            <v>fairy</v>
          </cell>
          <cell r="G275">
            <v>70</v>
          </cell>
          <cell r="H275">
            <v>20</v>
          </cell>
          <cell r="I275">
            <v>50</v>
          </cell>
          <cell r="J275">
            <v>20</v>
          </cell>
          <cell r="K275">
            <v>50</v>
          </cell>
          <cell r="L275">
            <v>40</v>
          </cell>
          <cell r="M275">
            <v>250</v>
          </cell>
          <cell r="N275" t="str">
            <v>thick-fat</v>
          </cell>
          <cell r="O275" t="str">
            <v>huge-power</v>
          </cell>
          <cell r="P275" t="str">
            <v>sap-sipper</v>
          </cell>
          <cell r="Q275">
            <v>0.4</v>
          </cell>
          <cell r="R275">
            <v>8.5</v>
          </cell>
          <cell r="S275" t="str">
            <v>The tip of its tail, which con­ tains oil that is lighter than wa­ ter, lets it swim without drowning.</v>
          </cell>
          <cell r="T275" t="str">
            <v>https://raw.githubusercontent.com/PokeAPI/sprites/master/sprites/pokemon/other/official-artwork/183.png</v>
          </cell>
          <cell r="U275" t="str">
            <v>https://raw.githubusercontent.com/PokeAPI/sprites/master/sprites/pokemon/other/official-artwork/shiny/183.png</v>
          </cell>
        </row>
        <row r="276">
          <cell r="A276">
            <v>184</v>
          </cell>
          <cell r="C276" t="str">
            <v>Azumarill</v>
          </cell>
          <cell r="D276" t="str">
            <v>Standard</v>
          </cell>
          <cell r="E276" t="str">
            <v>water</v>
          </cell>
          <cell r="F276" t="str">
            <v>fairy</v>
          </cell>
          <cell r="G276">
            <v>100</v>
          </cell>
          <cell r="H276">
            <v>50</v>
          </cell>
          <cell r="I276">
            <v>80</v>
          </cell>
          <cell r="J276">
            <v>60</v>
          </cell>
          <cell r="K276">
            <v>80</v>
          </cell>
          <cell r="L276">
            <v>50</v>
          </cell>
          <cell r="M276">
            <v>420</v>
          </cell>
          <cell r="N276" t="str">
            <v>thick-fat</v>
          </cell>
          <cell r="O276" t="str">
            <v>huge-power</v>
          </cell>
          <cell r="P276" t="str">
            <v>sap-sipper</v>
          </cell>
          <cell r="Q276">
            <v>0.8</v>
          </cell>
          <cell r="R276">
            <v>28.5</v>
          </cell>
          <cell r="S276" t="str">
            <v>It lives in water virtually all day long. Its body color and pattern act as camouflage that makes it tough for enemies to spot in water.</v>
          </cell>
          <cell r="T276" t="str">
            <v>https://raw.githubusercontent.com/PokeAPI/sprites/master/sprites/pokemon/other/official-artwork/184.png</v>
          </cell>
          <cell r="U276" t="str">
            <v>https://raw.githubusercontent.com/PokeAPI/sprites/master/sprites/pokemon/other/official-artwork/shiny/184.png</v>
          </cell>
        </row>
        <row r="277">
          <cell r="A277">
            <v>185</v>
          </cell>
          <cell r="C277" t="str">
            <v>Sudowoodo</v>
          </cell>
          <cell r="D277" t="str">
            <v>Standard</v>
          </cell>
          <cell r="E277" t="str">
            <v>rock</v>
          </cell>
          <cell r="G277">
            <v>70</v>
          </cell>
          <cell r="H277">
            <v>100</v>
          </cell>
          <cell r="I277">
            <v>115</v>
          </cell>
          <cell r="J277">
            <v>30</v>
          </cell>
          <cell r="K277">
            <v>65</v>
          </cell>
          <cell r="L277">
            <v>30</v>
          </cell>
          <cell r="M277">
            <v>410</v>
          </cell>
          <cell r="N277" t="str">
            <v>sturdy</v>
          </cell>
          <cell r="O277" t="str">
            <v>rock-head</v>
          </cell>
          <cell r="P277" t="str">
            <v>rattled</v>
          </cell>
          <cell r="Q277">
            <v>1.2</v>
          </cell>
          <cell r="R277">
            <v>38</v>
          </cell>
          <cell r="S277" t="str">
            <v>Although it always pretends to be a tree, its composi­ tion appears to be closer to a rock than a plant.</v>
          </cell>
          <cell r="T277" t="str">
            <v>https://raw.githubusercontent.com/PokeAPI/sprites/master/sprites/pokemon/other/official-artwork/185.png</v>
          </cell>
          <cell r="U277" t="str">
            <v>https://raw.githubusercontent.com/PokeAPI/sprites/master/sprites/pokemon/other/official-artwork/shiny/185.png</v>
          </cell>
        </row>
        <row r="278">
          <cell r="A278">
            <v>186</v>
          </cell>
          <cell r="C278" t="str">
            <v>Politoed</v>
          </cell>
          <cell r="D278" t="str">
            <v>Standard</v>
          </cell>
          <cell r="E278" t="str">
            <v>water</v>
          </cell>
          <cell r="G278">
            <v>90</v>
          </cell>
          <cell r="H278">
            <v>75</v>
          </cell>
          <cell r="I278">
            <v>75</v>
          </cell>
          <cell r="J278">
            <v>90</v>
          </cell>
          <cell r="K278">
            <v>100</v>
          </cell>
          <cell r="L278">
            <v>70</v>
          </cell>
          <cell r="M278">
            <v>500</v>
          </cell>
          <cell r="N278" t="str">
            <v>water-absorb</v>
          </cell>
          <cell r="O278" t="str">
            <v>damp</v>
          </cell>
          <cell r="P278" t="str">
            <v>drizzle</v>
          </cell>
          <cell r="Q278">
            <v>1.1000000000000001</v>
          </cell>
          <cell r="R278">
            <v>33.9</v>
          </cell>
          <cell r="S278" t="str">
            <v>If POLIWAG and POLIWHIRL hear its echoing cry, they respond by gather­ ing from far and wide.</v>
          </cell>
          <cell r="T278" t="str">
            <v>https://raw.githubusercontent.com/PokeAPI/sprites/master/sprites/pokemon/other/official-artwork/186.png</v>
          </cell>
          <cell r="U278" t="str">
            <v>https://raw.githubusercontent.com/PokeAPI/sprites/master/sprites/pokemon/other/official-artwork/shiny/186.png</v>
          </cell>
        </row>
        <row r="279">
          <cell r="A279">
            <v>187</v>
          </cell>
          <cell r="C279" t="str">
            <v>Hoppip</v>
          </cell>
          <cell r="D279" t="str">
            <v>Standard</v>
          </cell>
          <cell r="E279" t="str">
            <v>grass</v>
          </cell>
          <cell r="F279" t="str">
            <v>flying</v>
          </cell>
          <cell r="G279">
            <v>35</v>
          </cell>
          <cell r="H279">
            <v>35</v>
          </cell>
          <cell r="I279">
            <v>40</v>
          </cell>
          <cell r="J279">
            <v>35</v>
          </cell>
          <cell r="K279">
            <v>55</v>
          </cell>
          <cell r="L279">
            <v>50</v>
          </cell>
          <cell r="M279">
            <v>250</v>
          </cell>
          <cell r="N279" t="str">
            <v>chlorophyll</v>
          </cell>
          <cell r="O279" t="str">
            <v>leaf-guard</v>
          </cell>
          <cell r="P279" t="str">
            <v>infiltrator</v>
          </cell>
          <cell r="Q279">
            <v>0.4</v>
          </cell>
          <cell r="R279">
            <v>0.5</v>
          </cell>
          <cell r="S279" t="str">
            <v>To keep from being blown away by the wind, they gather in clusters. They do enjoy gentle breezes, though.</v>
          </cell>
          <cell r="T279" t="str">
            <v>https://raw.githubusercontent.com/PokeAPI/sprites/master/sprites/pokemon/other/official-artwork/187.png</v>
          </cell>
          <cell r="U279" t="str">
            <v>https://raw.githubusercontent.com/PokeAPI/sprites/master/sprites/pokemon/other/official-artwork/shiny/187.png</v>
          </cell>
        </row>
        <row r="280">
          <cell r="A280">
            <v>188</v>
          </cell>
          <cell r="C280" t="str">
            <v>Skiploom</v>
          </cell>
          <cell r="D280" t="str">
            <v>Standard</v>
          </cell>
          <cell r="E280" t="str">
            <v>grass</v>
          </cell>
          <cell r="F280" t="str">
            <v>flying</v>
          </cell>
          <cell r="G280">
            <v>55</v>
          </cell>
          <cell r="H280">
            <v>45</v>
          </cell>
          <cell r="I280">
            <v>50</v>
          </cell>
          <cell r="J280">
            <v>45</v>
          </cell>
          <cell r="K280">
            <v>65</v>
          </cell>
          <cell r="L280">
            <v>80</v>
          </cell>
          <cell r="M280">
            <v>340</v>
          </cell>
          <cell r="N280" t="str">
            <v>chlorophyll</v>
          </cell>
          <cell r="O280" t="str">
            <v>leaf-guard</v>
          </cell>
          <cell r="P280" t="str">
            <v>infiltrator</v>
          </cell>
          <cell r="Q280">
            <v>0.6</v>
          </cell>
          <cell r="R280">
            <v>1</v>
          </cell>
          <cell r="S280" t="str">
            <v>The bloom on top of its head opens and closes as the temperature fluc­ tuates up and down.</v>
          </cell>
          <cell r="T280" t="str">
            <v>https://raw.githubusercontent.com/PokeAPI/sprites/master/sprites/pokemon/other/official-artwork/188.png</v>
          </cell>
          <cell r="U280" t="str">
            <v>https://raw.githubusercontent.com/PokeAPI/sprites/master/sprites/pokemon/other/official-artwork/shiny/188.png</v>
          </cell>
        </row>
        <row r="281">
          <cell r="A281">
            <v>189</v>
          </cell>
          <cell r="C281" t="str">
            <v>Jumpluff</v>
          </cell>
          <cell r="D281" t="str">
            <v>Standard</v>
          </cell>
          <cell r="E281" t="str">
            <v>grass</v>
          </cell>
          <cell r="F281" t="str">
            <v>flying</v>
          </cell>
          <cell r="G281">
            <v>75</v>
          </cell>
          <cell r="H281">
            <v>55</v>
          </cell>
          <cell r="I281">
            <v>70</v>
          </cell>
          <cell r="J281">
            <v>55</v>
          </cell>
          <cell r="K281">
            <v>95</v>
          </cell>
          <cell r="L281">
            <v>110</v>
          </cell>
          <cell r="M281">
            <v>460</v>
          </cell>
          <cell r="N281" t="str">
            <v>chlorophyll</v>
          </cell>
          <cell r="O281" t="str">
            <v>leaf-guard</v>
          </cell>
          <cell r="P281" t="str">
            <v>infiltrator</v>
          </cell>
          <cell r="Q281">
            <v>0.8</v>
          </cell>
          <cell r="R281">
            <v>3</v>
          </cell>
          <cell r="S281" t="str">
            <v>Once it catches the wind, it deft­ ly controls its cotton-puff spores to float, even around the world.</v>
          </cell>
          <cell r="T281" t="str">
            <v>https://raw.githubusercontent.com/PokeAPI/sprites/master/sprites/pokemon/other/official-artwork/189.png</v>
          </cell>
          <cell r="U281" t="str">
            <v>https://raw.githubusercontent.com/PokeAPI/sprites/master/sprites/pokemon/other/official-artwork/shiny/189.png</v>
          </cell>
        </row>
        <row r="282">
          <cell r="A282">
            <v>190</v>
          </cell>
          <cell r="C282" t="str">
            <v>Aipom</v>
          </cell>
          <cell r="D282" t="str">
            <v>Standard</v>
          </cell>
          <cell r="E282" t="str">
            <v>normal</v>
          </cell>
          <cell r="G282">
            <v>55</v>
          </cell>
          <cell r="H282">
            <v>70</v>
          </cell>
          <cell r="I282">
            <v>55</v>
          </cell>
          <cell r="J282">
            <v>40</v>
          </cell>
          <cell r="K282">
            <v>55</v>
          </cell>
          <cell r="L282">
            <v>85</v>
          </cell>
          <cell r="M282">
            <v>360</v>
          </cell>
          <cell r="N282" t="str">
            <v>run-away</v>
          </cell>
          <cell r="O282" t="str">
            <v>pickup</v>
          </cell>
          <cell r="P282" t="str">
            <v>skill-link</v>
          </cell>
          <cell r="Q282">
            <v>0.8</v>
          </cell>
          <cell r="R282">
            <v>11.5</v>
          </cell>
          <cell r="S282" t="str">
            <v>Its tail is so powerful that it can use it to grab a tree branch and hold itself up in the air.</v>
          </cell>
          <cell r="T282" t="str">
            <v>https://raw.githubusercontent.com/PokeAPI/sprites/master/sprites/pokemon/other/official-artwork/190.png</v>
          </cell>
          <cell r="U282" t="str">
            <v>https://raw.githubusercontent.com/PokeAPI/sprites/master/sprites/pokemon/other/official-artwork/shiny/190.png</v>
          </cell>
        </row>
        <row r="283">
          <cell r="A283">
            <v>191</v>
          </cell>
          <cell r="C283" t="str">
            <v>Sunkern</v>
          </cell>
          <cell r="D283" t="str">
            <v>Standard</v>
          </cell>
          <cell r="E283" t="str">
            <v>grass</v>
          </cell>
          <cell r="G283">
            <v>30</v>
          </cell>
          <cell r="H283">
            <v>30</v>
          </cell>
          <cell r="I283">
            <v>30</v>
          </cell>
          <cell r="J283">
            <v>30</v>
          </cell>
          <cell r="K283">
            <v>30</v>
          </cell>
          <cell r="L283">
            <v>30</v>
          </cell>
          <cell r="M283">
            <v>180</v>
          </cell>
          <cell r="N283" t="str">
            <v>chlorophyll</v>
          </cell>
          <cell r="O283" t="str">
            <v>solar-power</v>
          </cell>
          <cell r="P283" t="str">
            <v>early-bird</v>
          </cell>
          <cell r="Q283">
            <v>0.3</v>
          </cell>
          <cell r="R283">
            <v>1.8</v>
          </cell>
          <cell r="S283" t="str">
            <v>It may drop out of the sky suddenly. If attacked by a SPEAROW, it will violently shake its leaves.</v>
          </cell>
          <cell r="T283" t="str">
            <v>https://raw.githubusercontent.com/PokeAPI/sprites/master/sprites/pokemon/other/official-artwork/191.png</v>
          </cell>
          <cell r="U283" t="str">
            <v>https://raw.githubusercontent.com/PokeAPI/sprites/master/sprites/pokemon/other/official-artwork/shiny/191.png</v>
          </cell>
        </row>
        <row r="284">
          <cell r="A284">
            <v>192</v>
          </cell>
          <cell r="C284" t="str">
            <v>Sunflora</v>
          </cell>
          <cell r="D284" t="str">
            <v>Standard</v>
          </cell>
          <cell r="E284" t="str">
            <v>grass</v>
          </cell>
          <cell r="G284">
            <v>75</v>
          </cell>
          <cell r="H284">
            <v>75</v>
          </cell>
          <cell r="I284">
            <v>55</v>
          </cell>
          <cell r="J284">
            <v>105</v>
          </cell>
          <cell r="K284">
            <v>85</v>
          </cell>
          <cell r="L284">
            <v>30</v>
          </cell>
          <cell r="M284">
            <v>425</v>
          </cell>
          <cell r="N284" t="str">
            <v>chlorophyll</v>
          </cell>
          <cell r="O284" t="str">
            <v>solar-power</v>
          </cell>
          <cell r="P284" t="str">
            <v>early-bird</v>
          </cell>
          <cell r="Q284">
            <v>0.8</v>
          </cell>
          <cell r="R284">
            <v>8.5</v>
          </cell>
          <cell r="S284" t="str">
            <v>It converts sun­ light into energy. In the darkness after sunset, it closes its petals and becomes still.</v>
          </cell>
          <cell r="T284" t="str">
            <v>https://raw.githubusercontent.com/PokeAPI/sprites/master/sprites/pokemon/other/official-artwork/192.png</v>
          </cell>
          <cell r="U284" t="str">
            <v>https://raw.githubusercontent.com/PokeAPI/sprites/master/sprites/pokemon/other/official-artwork/shiny/192.png</v>
          </cell>
        </row>
        <row r="285">
          <cell r="A285">
            <v>193</v>
          </cell>
          <cell r="C285" t="str">
            <v>Yanma</v>
          </cell>
          <cell r="D285" t="str">
            <v>Standard</v>
          </cell>
          <cell r="E285" t="str">
            <v>bug</v>
          </cell>
          <cell r="F285" t="str">
            <v>flying</v>
          </cell>
          <cell r="G285">
            <v>65</v>
          </cell>
          <cell r="H285">
            <v>65</v>
          </cell>
          <cell r="I285">
            <v>45</v>
          </cell>
          <cell r="J285">
            <v>75</v>
          </cell>
          <cell r="K285">
            <v>45</v>
          </cell>
          <cell r="L285">
            <v>95</v>
          </cell>
          <cell r="M285">
            <v>390</v>
          </cell>
          <cell r="N285" t="str">
            <v>speed-boost</v>
          </cell>
          <cell r="O285" t="str">
            <v>compound-eyes</v>
          </cell>
          <cell r="P285" t="str">
            <v>frisk</v>
          </cell>
          <cell r="Q285">
            <v>1.2</v>
          </cell>
          <cell r="R285">
            <v>38</v>
          </cell>
          <cell r="S285" t="str">
            <v>If it flaps its wings really fast, it can generate shock waves that will shatter win­ dows in the area.</v>
          </cell>
          <cell r="T285" t="str">
            <v>https://raw.githubusercontent.com/PokeAPI/sprites/master/sprites/pokemon/other/official-artwork/193.png</v>
          </cell>
          <cell r="U285" t="str">
            <v>https://raw.githubusercontent.com/PokeAPI/sprites/master/sprites/pokemon/other/official-artwork/shiny/193.png</v>
          </cell>
        </row>
        <row r="286">
          <cell r="A286">
            <v>194</v>
          </cell>
          <cell r="C286" t="str">
            <v>Wooper</v>
          </cell>
          <cell r="D286" t="str">
            <v>Standard</v>
          </cell>
          <cell r="E286" t="str">
            <v>water</v>
          </cell>
          <cell r="F286" t="str">
            <v>ground</v>
          </cell>
          <cell r="G286">
            <v>55</v>
          </cell>
          <cell r="H286">
            <v>45</v>
          </cell>
          <cell r="I286">
            <v>45</v>
          </cell>
          <cell r="J286">
            <v>25</v>
          </cell>
          <cell r="K286">
            <v>25</v>
          </cell>
          <cell r="L286">
            <v>15</v>
          </cell>
          <cell r="M286">
            <v>210</v>
          </cell>
          <cell r="N286" t="str">
            <v>damp</v>
          </cell>
          <cell r="O286" t="str">
            <v>water-absorb</v>
          </cell>
          <cell r="P286" t="str">
            <v>unaware</v>
          </cell>
          <cell r="Q286">
            <v>0.4</v>
          </cell>
          <cell r="R286">
            <v>8.5</v>
          </cell>
          <cell r="S286" t="str">
            <v>This POKéMON lives in cold water. It will leave the water to search for food when it gets cold outside.</v>
          </cell>
          <cell r="T286" t="str">
            <v>https://raw.githubusercontent.com/PokeAPI/sprites/master/sprites/pokemon/other/official-artwork/194.png</v>
          </cell>
          <cell r="U286" t="str">
            <v>https://raw.githubusercontent.com/PokeAPI/sprites/master/sprites/pokemon/other/official-artwork/shiny/194.png</v>
          </cell>
        </row>
        <row r="287">
          <cell r="A287">
            <v>194</v>
          </cell>
          <cell r="C287" t="str">
            <v>Wooper Paldea</v>
          </cell>
          <cell r="D287" t="str">
            <v>Regional</v>
          </cell>
          <cell r="E287" t="str">
            <v>poison</v>
          </cell>
          <cell r="F287" t="str">
            <v>ground</v>
          </cell>
          <cell r="G287">
            <v>55</v>
          </cell>
          <cell r="H287">
            <v>45</v>
          </cell>
          <cell r="I287">
            <v>45</v>
          </cell>
          <cell r="J287">
            <v>25</v>
          </cell>
          <cell r="K287">
            <v>25</v>
          </cell>
          <cell r="L287">
            <v>15</v>
          </cell>
          <cell r="M287">
            <v>210</v>
          </cell>
          <cell r="N287" t="str">
            <v>poison-point</v>
          </cell>
          <cell r="O287" t="str">
            <v>water-absorb</v>
          </cell>
          <cell r="P287" t="str">
            <v>unaware</v>
          </cell>
          <cell r="Q287">
            <v>0.4</v>
          </cell>
          <cell r="R287">
            <v>11</v>
          </cell>
          <cell r="S287" t="str">
            <v>This POKéMON lives in cold water. It will leave the water to search for food when it gets cold outside.</v>
          </cell>
          <cell r="T287" t="str">
            <v>https://raw.githubusercontent.com/PokeAPI/sprites/master/sprites/pokemon/other/official-artwork/10253.png</v>
          </cell>
          <cell r="U287" t="str">
            <v>https://raw.githubusercontent.com/PokeAPI/sprites/master/sprites/pokemon/other/official-artwork/shiny/10253.png</v>
          </cell>
        </row>
        <row r="288">
          <cell r="A288">
            <v>195</v>
          </cell>
          <cell r="C288" t="str">
            <v>Quagsire</v>
          </cell>
          <cell r="D288" t="str">
            <v>Standard</v>
          </cell>
          <cell r="E288" t="str">
            <v>water</v>
          </cell>
          <cell r="F288" t="str">
            <v>ground</v>
          </cell>
          <cell r="G288">
            <v>95</v>
          </cell>
          <cell r="H288">
            <v>85</v>
          </cell>
          <cell r="I288">
            <v>85</v>
          </cell>
          <cell r="J288">
            <v>65</v>
          </cell>
          <cell r="K288">
            <v>65</v>
          </cell>
          <cell r="L288">
            <v>35</v>
          </cell>
          <cell r="M288">
            <v>430</v>
          </cell>
          <cell r="N288" t="str">
            <v>damp</v>
          </cell>
          <cell r="O288" t="str">
            <v>water-absorb</v>
          </cell>
          <cell r="P288" t="str">
            <v>unaware</v>
          </cell>
          <cell r="Q288">
            <v>1.4</v>
          </cell>
          <cell r="R288">
            <v>75</v>
          </cell>
          <cell r="S288" t="str">
            <v>This carefree POKéMON has an easy-going nature. While swimming, it always bumps into boat hulls.</v>
          </cell>
          <cell r="T288" t="str">
            <v>https://raw.githubusercontent.com/PokeAPI/sprites/master/sprites/pokemon/other/official-artwork/195.png</v>
          </cell>
          <cell r="U288" t="str">
            <v>https://raw.githubusercontent.com/PokeAPI/sprites/master/sprites/pokemon/other/official-artwork/shiny/195.png</v>
          </cell>
        </row>
        <row r="289">
          <cell r="A289">
            <v>196</v>
          </cell>
          <cell r="C289" t="str">
            <v>Espeon</v>
          </cell>
          <cell r="D289" t="str">
            <v>Standard</v>
          </cell>
          <cell r="E289" t="str">
            <v>psychic</v>
          </cell>
          <cell r="G289">
            <v>65</v>
          </cell>
          <cell r="H289">
            <v>65</v>
          </cell>
          <cell r="I289">
            <v>60</v>
          </cell>
          <cell r="J289">
            <v>130</v>
          </cell>
          <cell r="K289">
            <v>95</v>
          </cell>
          <cell r="L289">
            <v>110</v>
          </cell>
          <cell r="M289">
            <v>525</v>
          </cell>
          <cell r="N289" t="str">
            <v>synchronize</v>
          </cell>
          <cell r="P289" t="str">
            <v>magic-bounce</v>
          </cell>
          <cell r="Q289">
            <v>0.9</v>
          </cell>
          <cell r="R289">
            <v>26.5</v>
          </cell>
          <cell r="S289" t="str">
            <v>It uses the fine hair that covers its body to sense air currents and predict its ene­ my's actions.</v>
          </cell>
          <cell r="T289" t="str">
            <v>https://raw.githubusercontent.com/PokeAPI/sprites/master/sprites/pokemon/other/official-artwork/196.png</v>
          </cell>
          <cell r="U289" t="str">
            <v>https://raw.githubusercontent.com/PokeAPI/sprites/master/sprites/pokemon/other/official-artwork/shiny/196.png</v>
          </cell>
        </row>
        <row r="290">
          <cell r="A290">
            <v>197</v>
          </cell>
          <cell r="C290" t="str">
            <v>Umbreon</v>
          </cell>
          <cell r="D290" t="str">
            <v>Standard</v>
          </cell>
          <cell r="E290" t="str">
            <v>dark</v>
          </cell>
          <cell r="G290">
            <v>95</v>
          </cell>
          <cell r="H290">
            <v>65</v>
          </cell>
          <cell r="I290">
            <v>110</v>
          </cell>
          <cell r="J290">
            <v>60</v>
          </cell>
          <cell r="K290">
            <v>130</v>
          </cell>
          <cell r="L290">
            <v>65</v>
          </cell>
          <cell r="M290">
            <v>525</v>
          </cell>
          <cell r="N290" t="str">
            <v>synchronize</v>
          </cell>
          <cell r="P290" t="str">
            <v>inner-focus</v>
          </cell>
          <cell r="Q290">
            <v>1</v>
          </cell>
          <cell r="R290">
            <v>27</v>
          </cell>
          <cell r="S290" t="str">
            <v>When agitated, this POKéMON pro­ tects itself by spraying poisonous sweat from its pores.</v>
          </cell>
          <cell r="T290" t="str">
            <v>https://raw.githubusercontent.com/PokeAPI/sprites/master/sprites/pokemon/other/official-artwork/197.png</v>
          </cell>
          <cell r="U290" t="str">
            <v>https://raw.githubusercontent.com/PokeAPI/sprites/master/sprites/pokemon/other/official-artwork/shiny/197.png</v>
          </cell>
        </row>
        <row r="291">
          <cell r="A291">
            <v>198</v>
          </cell>
          <cell r="C291" t="str">
            <v>Murkrow</v>
          </cell>
          <cell r="D291" t="str">
            <v>Standard</v>
          </cell>
          <cell r="E291" t="str">
            <v>dark</v>
          </cell>
          <cell r="F291" t="str">
            <v>flying</v>
          </cell>
          <cell r="G291">
            <v>60</v>
          </cell>
          <cell r="H291">
            <v>85</v>
          </cell>
          <cell r="I291">
            <v>42</v>
          </cell>
          <cell r="J291">
            <v>85</v>
          </cell>
          <cell r="K291">
            <v>42</v>
          </cell>
          <cell r="L291">
            <v>91</v>
          </cell>
          <cell r="M291">
            <v>405</v>
          </cell>
          <cell r="N291" t="str">
            <v>insomnia</v>
          </cell>
          <cell r="O291" t="str">
            <v>super-luck</v>
          </cell>
          <cell r="P291" t="str">
            <v>prankster</v>
          </cell>
          <cell r="Q291">
            <v>0.5</v>
          </cell>
          <cell r="R291">
            <v>2.1</v>
          </cell>
          <cell r="S291" t="str">
            <v>Feared and loathed by many, it is believed to bring misfortune to all those who see it at night.</v>
          </cell>
          <cell r="T291" t="str">
            <v>https://raw.githubusercontent.com/PokeAPI/sprites/master/sprites/pokemon/other/official-artwork/198.png</v>
          </cell>
          <cell r="U291" t="str">
            <v>https://raw.githubusercontent.com/PokeAPI/sprites/master/sprites/pokemon/other/official-artwork/shiny/198.png</v>
          </cell>
        </row>
        <row r="292">
          <cell r="A292">
            <v>199</v>
          </cell>
          <cell r="C292" t="str">
            <v>Slowking</v>
          </cell>
          <cell r="D292" t="str">
            <v>Standard</v>
          </cell>
          <cell r="E292" t="str">
            <v>water</v>
          </cell>
          <cell r="F292" t="str">
            <v>psychic</v>
          </cell>
          <cell r="G292">
            <v>95</v>
          </cell>
          <cell r="H292">
            <v>75</v>
          </cell>
          <cell r="I292">
            <v>80</v>
          </cell>
          <cell r="J292">
            <v>100</v>
          </cell>
          <cell r="K292">
            <v>110</v>
          </cell>
          <cell r="L292">
            <v>30</v>
          </cell>
          <cell r="M292">
            <v>490</v>
          </cell>
          <cell r="N292" t="str">
            <v>oblivious</v>
          </cell>
          <cell r="O292" t="str">
            <v>own-tempo</v>
          </cell>
          <cell r="P292" t="str">
            <v>regenerator</v>
          </cell>
          <cell r="Q292">
            <v>2</v>
          </cell>
          <cell r="R292">
            <v>79.5</v>
          </cell>
          <cell r="S292" t="str">
            <v>It has incredible intellect and in­ tuition. Whatever the situation, it remains calm and collected.</v>
          </cell>
          <cell r="T292" t="str">
            <v>https://raw.githubusercontent.com/PokeAPI/sprites/master/sprites/pokemon/other/official-artwork/199.png</v>
          </cell>
          <cell r="U292" t="str">
            <v>https://raw.githubusercontent.com/PokeAPI/sprites/master/sprites/pokemon/other/official-artwork/shiny/199.png</v>
          </cell>
        </row>
        <row r="293">
          <cell r="A293">
            <v>199</v>
          </cell>
          <cell r="C293" t="str">
            <v>Slowking Galar</v>
          </cell>
          <cell r="D293" t="str">
            <v>Regional</v>
          </cell>
          <cell r="E293" t="str">
            <v>poison</v>
          </cell>
          <cell r="F293" t="str">
            <v>psychic</v>
          </cell>
          <cell r="G293">
            <v>95</v>
          </cell>
          <cell r="H293">
            <v>65</v>
          </cell>
          <cell r="I293">
            <v>80</v>
          </cell>
          <cell r="J293">
            <v>110</v>
          </cell>
          <cell r="K293">
            <v>110</v>
          </cell>
          <cell r="L293">
            <v>30</v>
          </cell>
          <cell r="M293">
            <v>490</v>
          </cell>
          <cell r="N293" t="str">
            <v>curious-medicine</v>
          </cell>
          <cell r="O293" t="str">
            <v>own-tempo</v>
          </cell>
          <cell r="P293" t="str">
            <v>regenerator</v>
          </cell>
          <cell r="Q293">
            <v>1.8</v>
          </cell>
          <cell r="R293">
            <v>79.5</v>
          </cell>
          <cell r="S293" t="str">
            <v>It has incredible intellect and in­ tuition. Whatever the situation, it remains calm and collected.</v>
          </cell>
          <cell r="T293" t="str">
            <v>https://raw.githubusercontent.com/PokeAPI/sprites/master/sprites/pokemon/other/official-artwork/10172.png</v>
          </cell>
          <cell r="U293" t="str">
            <v>https://raw.githubusercontent.com/PokeAPI/sprites/master/sprites/pokemon/other/official-artwork/shiny/10172.png</v>
          </cell>
        </row>
        <row r="294">
          <cell r="A294">
            <v>200</v>
          </cell>
          <cell r="C294" t="str">
            <v>Misdreavus</v>
          </cell>
          <cell r="D294" t="str">
            <v>Standard</v>
          </cell>
          <cell r="E294" t="str">
            <v>ghost</v>
          </cell>
          <cell r="G294">
            <v>60</v>
          </cell>
          <cell r="H294">
            <v>60</v>
          </cell>
          <cell r="I294">
            <v>60</v>
          </cell>
          <cell r="J294">
            <v>85</v>
          </cell>
          <cell r="K294">
            <v>85</v>
          </cell>
          <cell r="L294">
            <v>85</v>
          </cell>
          <cell r="M294">
            <v>435</v>
          </cell>
          <cell r="N294" t="str">
            <v>levitate</v>
          </cell>
          <cell r="Q294">
            <v>0.7</v>
          </cell>
          <cell r="R294">
            <v>1</v>
          </cell>
          <cell r="S294" t="str">
            <v>It likes playing mischievous tricks such as screaming and wailing to startle people at night.</v>
          </cell>
          <cell r="T294" t="str">
            <v>https://raw.githubusercontent.com/PokeAPI/sprites/master/sprites/pokemon/other/official-artwork/200.png</v>
          </cell>
          <cell r="U294" t="str">
            <v>https://raw.githubusercontent.com/PokeAPI/sprites/master/sprites/pokemon/other/official-artwork/shiny/200.png</v>
          </cell>
        </row>
        <row r="295">
          <cell r="A295">
            <v>201</v>
          </cell>
          <cell r="C295" t="str">
            <v>Unown</v>
          </cell>
          <cell r="D295" t="str">
            <v>Standard</v>
          </cell>
          <cell r="E295" t="str">
            <v>psychic</v>
          </cell>
          <cell r="G295">
            <v>48</v>
          </cell>
          <cell r="H295">
            <v>72</v>
          </cell>
          <cell r="I295">
            <v>48</v>
          </cell>
          <cell r="J295">
            <v>72</v>
          </cell>
          <cell r="K295">
            <v>48</v>
          </cell>
          <cell r="L295">
            <v>48</v>
          </cell>
          <cell r="M295">
            <v>336</v>
          </cell>
          <cell r="N295" t="str">
            <v>levitate</v>
          </cell>
          <cell r="Q295">
            <v>0.5</v>
          </cell>
          <cell r="R295">
            <v>5</v>
          </cell>
          <cell r="S295" t="str">
            <v>Their shapes look like hieroglyphs on ancient tab­ lets. It is said that the two are somehow related.</v>
          </cell>
          <cell r="T295" t="str">
            <v>https://raw.githubusercontent.com/PokeAPI/sprites/master/sprites/pokemon/other/official-artwork/201.png</v>
          </cell>
          <cell r="U295" t="str">
            <v>https://raw.githubusercontent.com/PokeAPI/sprites/master/sprites/pokemon/other/official-artwork/shiny/201.png</v>
          </cell>
        </row>
        <row r="296">
          <cell r="A296">
            <v>202</v>
          </cell>
          <cell r="C296" t="str">
            <v>Wobbuffet</v>
          </cell>
          <cell r="D296" t="str">
            <v>Standard</v>
          </cell>
          <cell r="E296" t="str">
            <v>psychic</v>
          </cell>
          <cell r="G296">
            <v>190</v>
          </cell>
          <cell r="H296">
            <v>33</v>
          </cell>
          <cell r="I296">
            <v>58</v>
          </cell>
          <cell r="J296">
            <v>33</v>
          </cell>
          <cell r="K296">
            <v>58</v>
          </cell>
          <cell r="L296">
            <v>33</v>
          </cell>
          <cell r="M296">
            <v>405</v>
          </cell>
          <cell r="N296" t="str">
            <v>shadow-tag</v>
          </cell>
          <cell r="P296" t="str">
            <v>telepathy</v>
          </cell>
          <cell r="Q296">
            <v>1.3</v>
          </cell>
          <cell r="R296">
            <v>28.5</v>
          </cell>
          <cell r="S296" t="str">
            <v>It hates light and shock. If attack­ ed, it inflates its body to pump up its counter­ strike.</v>
          </cell>
          <cell r="T296" t="str">
            <v>https://raw.githubusercontent.com/PokeAPI/sprites/master/sprites/pokemon/other/official-artwork/202.png</v>
          </cell>
          <cell r="U296" t="str">
            <v>https://raw.githubusercontent.com/PokeAPI/sprites/master/sprites/pokemon/other/official-artwork/shiny/202.png</v>
          </cell>
        </row>
        <row r="297">
          <cell r="A297">
            <v>203</v>
          </cell>
          <cell r="C297" t="str">
            <v>Girafarig</v>
          </cell>
          <cell r="D297" t="str">
            <v>Standard</v>
          </cell>
          <cell r="E297" t="str">
            <v>normal</v>
          </cell>
          <cell r="F297" t="str">
            <v>psychic</v>
          </cell>
          <cell r="G297">
            <v>70</v>
          </cell>
          <cell r="H297">
            <v>80</v>
          </cell>
          <cell r="I297">
            <v>65</v>
          </cell>
          <cell r="J297">
            <v>90</v>
          </cell>
          <cell r="K297">
            <v>65</v>
          </cell>
          <cell r="L297">
            <v>85</v>
          </cell>
          <cell r="M297">
            <v>455</v>
          </cell>
          <cell r="N297" t="str">
            <v>inner-focus</v>
          </cell>
          <cell r="O297" t="str">
            <v>early-bird</v>
          </cell>
          <cell r="P297" t="str">
            <v>sap-sipper</v>
          </cell>
          <cell r="Q297">
            <v>1.5</v>
          </cell>
          <cell r="R297">
            <v>41.5</v>
          </cell>
          <cell r="S297" t="str">
            <v>Its tail has a small brain of its own. Beware! If you get close, it may react to your scent and bite.</v>
          </cell>
          <cell r="T297" t="str">
            <v>https://raw.githubusercontent.com/PokeAPI/sprites/master/sprites/pokemon/other/official-artwork/203.png</v>
          </cell>
          <cell r="U297" t="str">
            <v>https://raw.githubusercontent.com/PokeAPI/sprites/master/sprites/pokemon/other/official-artwork/shiny/203.png</v>
          </cell>
        </row>
        <row r="298">
          <cell r="A298">
            <v>204</v>
          </cell>
          <cell r="C298" t="str">
            <v>Pineco</v>
          </cell>
          <cell r="D298" t="str">
            <v>Standard</v>
          </cell>
          <cell r="E298" t="str">
            <v>bug</v>
          </cell>
          <cell r="G298">
            <v>50</v>
          </cell>
          <cell r="H298">
            <v>65</v>
          </cell>
          <cell r="I298">
            <v>90</v>
          </cell>
          <cell r="J298">
            <v>35</v>
          </cell>
          <cell r="K298">
            <v>35</v>
          </cell>
          <cell r="L298">
            <v>15</v>
          </cell>
          <cell r="M298">
            <v>290</v>
          </cell>
          <cell r="N298" t="str">
            <v>sturdy</v>
          </cell>
          <cell r="P298" t="str">
            <v>overcoat</v>
          </cell>
          <cell r="Q298">
            <v>0.6</v>
          </cell>
          <cell r="R298">
            <v>7.2</v>
          </cell>
          <cell r="S298" t="str">
            <v>It likes to make its shell thicker by adding layers of tree bark. The additional weight doesn't bother it.</v>
          </cell>
          <cell r="T298" t="str">
            <v>https://raw.githubusercontent.com/PokeAPI/sprites/master/sprites/pokemon/other/official-artwork/204.png</v>
          </cell>
          <cell r="U298" t="str">
            <v>https://raw.githubusercontent.com/PokeAPI/sprites/master/sprites/pokemon/other/official-artwork/shiny/204.png</v>
          </cell>
        </row>
        <row r="299">
          <cell r="A299">
            <v>205</v>
          </cell>
          <cell r="C299" t="str">
            <v>Forretress</v>
          </cell>
          <cell r="D299" t="str">
            <v>Standard</v>
          </cell>
          <cell r="E299" t="str">
            <v>bug</v>
          </cell>
          <cell r="F299" t="str">
            <v>steel</v>
          </cell>
          <cell r="G299">
            <v>75</v>
          </cell>
          <cell r="H299">
            <v>90</v>
          </cell>
          <cell r="I299">
            <v>140</v>
          </cell>
          <cell r="J299">
            <v>60</v>
          </cell>
          <cell r="K299">
            <v>60</v>
          </cell>
          <cell r="L299">
            <v>40</v>
          </cell>
          <cell r="M299">
            <v>465</v>
          </cell>
          <cell r="N299" t="str">
            <v>sturdy</v>
          </cell>
          <cell r="P299" t="str">
            <v>overcoat</v>
          </cell>
          <cell r="Q299">
            <v>1.2</v>
          </cell>
          <cell r="R299">
            <v>125.8</v>
          </cell>
          <cell r="S299" t="str">
            <v>Its entire body is shielded by a steel-hard shell. What lurks inside the armor is a total mystery.</v>
          </cell>
          <cell r="T299" t="str">
            <v>https://raw.githubusercontent.com/PokeAPI/sprites/master/sprites/pokemon/other/official-artwork/205.png</v>
          </cell>
          <cell r="U299" t="str">
            <v>https://raw.githubusercontent.com/PokeAPI/sprites/master/sprites/pokemon/other/official-artwork/shiny/205.png</v>
          </cell>
        </row>
        <row r="300">
          <cell r="A300">
            <v>206</v>
          </cell>
          <cell r="C300" t="str">
            <v>Dunsparce</v>
          </cell>
          <cell r="D300" t="str">
            <v>Standard</v>
          </cell>
          <cell r="E300" t="str">
            <v>normal</v>
          </cell>
          <cell r="G300">
            <v>100</v>
          </cell>
          <cell r="H300">
            <v>70</v>
          </cell>
          <cell r="I300">
            <v>70</v>
          </cell>
          <cell r="J300">
            <v>65</v>
          </cell>
          <cell r="K300">
            <v>65</v>
          </cell>
          <cell r="L300">
            <v>45</v>
          </cell>
          <cell r="M300">
            <v>415</v>
          </cell>
          <cell r="N300" t="str">
            <v>serene-grace</v>
          </cell>
          <cell r="O300" t="str">
            <v>run-away</v>
          </cell>
          <cell r="P300" t="str">
            <v>rattled</v>
          </cell>
          <cell r="Q300">
            <v>1.5</v>
          </cell>
          <cell r="R300">
            <v>14</v>
          </cell>
          <cell r="S300" t="str">
            <v>When spotted, this POKéMON escapes backward by furi­ ously boring into the ground with its tail.</v>
          </cell>
          <cell r="T300" t="str">
            <v>https://raw.githubusercontent.com/PokeAPI/sprites/master/sprites/pokemon/other/official-artwork/206.png</v>
          </cell>
          <cell r="U300" t="str">
            <v>https://raw.githubusercontent.com/PokeAPI/sprites/master/sprites/pokemon/other/official-artwork/shiny/206.png</v>
          </cell>
        </row>
        <row r="301">
          <cell r="A301">
            <v>207</v>
          </cell>
          <cell r="C301" t="str">
            <v>Gligar</v>
          </cell>
          <cell r="D301" t="str">
            <v>Standard</v>
          </cell>
          <cell r="E301" t="str">
            <v>ground</v>
          </cell>
          <cell r="F301" t="str">
            <v>flying</v>
          </cell>
          <cell r="G301">
            <v>65</v>
          </cell>
          <cell r="H301">
            <v>75</v>
          </cell>
          <cell r="I301">
            <v>105</v>
          </cell>
          <cell r="J301">
            <v>35</v>
          </cell>
          <cell r="K301">
            <v>65</v>
          </cell>
          <cell r="L301">
            <v>85</v>
          </cell>
          <cell r="M301">
            <v>430</v>
          </cell>
          <cell r="N301" t="str">
            <v>hyper-cutter</v>
          </cell>
          <cell r="O301" t="str">
            <v>sand-veil</v>
          </cell>
          <cell r="P301" t="str">
            <v>immunity</v>
          </cell>
          <cell r="Q301">
            <v>1.1000000000000001</v>
          </cell>
          <cell r="R301">
            <v>64.8</v>
          </cell>
          <cell r="S301" t="str">
            <v>It flies straight at its target's face then clamps down on the star­ tled victim to inject poison.</v>
          </cell>
          <cell r="T301" t="str">
            <v>https://raw.githubusercontent.com/PokeAPI/sprites/master/sprites/pokemon/other/official-artwork/207.png</v>
          </cell>
          <cell r="U301" t="str">
            <v>https://raw.githubusercontent.com/PokeAPI/sprites/master/sprites/pokemon/other/official-artwork/shiny/207.png</v>
          </cell>
        </row>
        <row r="302">
          <cell r="A302">
            <v>208</v>
          </cell>
          <cell r="C302" t="str">
            <v>Steelix</v>
          </cell>
          <cell r="D302" t="str">
            <v>Standard</v>
          </cell>
          <cell r="E302" t="str">
            <v>steel</v>
          </cell>
          <cell r="F302" t="str">
            <v>ground</v>
          </cell>
          <cell r="G302">
            <v>75</v>
          </cell>
          <cell r="H302">
            <v>85</v>
          </cell>
          <cell r="I302">
            <v>200</v>
          </cell>
          <cell r="J302">
            <v>55</v>
          </cell>
          <cell r="K302">
            <v>65</v>
          </cell>
          <cell r="L302">
            <v>30</v>
          </cell>
          <cell r="M302">
            <v>510</v>
          </cell>
          <cell r="N302" t="str">
            <v>rock-head</v>
          </cell>
          <cell r="O302" t="str">
            <v>sturdy</v>
          </cell>
          <cell r="P302" t="str">
            <v>sheer-force</v>
          </cell>
          <cell r="Q302">
            <v>9.1999999999999993</v>
          </cell>
          <cell r="R302">
            <v>400</v>
          </cell>
          <cell r="S302" t="str">
            <v>It is thought its body transformed as a result of iron accumulating internally from swallowing soil.</v>
          </cell>
          <cell r="T302" t="str">
            <v>https://raw.githubusercontent.com/PokeAPI/sprites/master/sprites/pokemon/other/official-artwork/208.png</v>
          </cell>
          <cell r="U302" t="str">
            <v>https://raw.githubusercontent.com/PokeAPI/sprites/master/sprites/pokemon/other/official-artwork/shiny/208.png</v>
          </cell>
        </row>
        <row r="303">
          <cell r="A303">
            <v>208</v>
          </cell>
          <cell r="C303" t="str">
            <v>Steelix Mega</v>
          </cell>
          <cell r="D303" t="str">
            <v>Mega</v>
          </cell>
          <cell r="E303" t="str">
            <v>steel</v>
          </cell>
          <cell r="F303" t="str">
            <v>ground</v>
          </cell>
          <cell r="G303">
            <v>75</v>
          </cell>
          <cell r="H303">
            <v>125</v>
          </cell>
          <cell r="I303">
            <v>230</v>
          </cell>
          <cell r="J303">
            <v>55</v>
          </cell>
          <cell r="K303">
            <v>95</v>
          </cell>
          <cell r="L303">
            <v>30</v>
          </cell>
          <cell r="M303">
            <v>610</v>
          </cell>
          <cell r="N303" t="str">
            <v>sand-force</v>
          </cell>
          <cell r="Q303">
            <v>10.5</v>
          </cell>
          <cell r="R303">
            <v>740</v>
          </cell>
          <cell r="S303" t="str">
            <v>It is thought its body transformed as a result of iron accumulating internally from swallowing soil.</v>
          </cell>
          <cell r="T303" t="str">
            <v>https://raw.githubusercontent.com/PokeAPI/sprites/master/sprites/pokemon/other/official-artwork/10072.png</v>
          </cell>
          <cell r="U303" t="str">
            <v>https://raw.githubusercontent.com/PokeAPI/sprites/master/sprites/pokemon/other/official-artwork/shiny/10072.png</v>
          </cell>
        </row>
        <row r="304">
          <cell r="A304">
            <v>209</v>
          </cell>
          <cell r="C304" t="str">
            <v>Snubbull</v>
          </cell>
          <cell r="D304" t="str">
            <v>Standard</v>
          </cell>
          <cell r="E304" t="str">
            <v>fairy</v>
          </cell>
          <cell r="G304">
            <v>60</v>
          </cell>
          <cell r="H304">
            <v>80</v>
          </cell>
          <cell r="I304">
            <v>50</v>
          </cell>
          <cell r="J304">
            <v>40</v>
          </cell>
          <cell r="K304">
            <v>40</v>
          </cell>
          <cell r="L304">
            <v>30</v>
          </cell>
          <cell r="M304">
            <v>300</v>
          </cell>
          <cell r="N304" t="str">
            <v>intimidate</v>
          </cell>
          <cell r="O304" t="str">
            <v>run-away</v>
          </cell>
          <cell r="P304" t="str">
            <v>rattled</v>
          </cell>
          <cell r="Q304">
            <v>0.6</v>
          </cell>
          <cell r="R304">
            <v>7.8</v>
          </cell>
          <cell r="S304" t="str">
            <v>Although it looks frightening, it is actually kind and affectionate. It is very popular among women.</v>
          </cell>
          <cell r="T304" t="str">
            <v>https://raw.githubusercontent.com/PokeAPI/sprites/master/sprites/pokemon/other/official-artwork/209.png</v>
          </cell>
          <cell r="U304" t="str">
            <v>https://raw.githubusercontent.com/PokeAPI/sprites/master/sprites/pokemon/other/official-artwork/shiny/209.png</v>
          </cell>
        </row>
        <row r="305">
          <cell r="A305">
            <v>210</v>
          </cell>
          <cell r="C305" t="str">
            <v>Granbull</v>
          </cell>
          <cell r="D305" t="str">
            <v>Standard</v>
          </cell>
          <cell r="E305" t="str">
            <v>fairy</v>
          </cell>
          <cell r="G305">
            <v>90</v>
          </cell>
          <cell r="H305">
            <v>120</v>
          </cell>
          <cell r="I305">
            <v>75</v>
          </cell>
          <cell r="J305">
            <v>60</v>
          </cell>
          <cell r="K305">
            <v>60</v>
          </cell>
          <cell r="L305">
            <v>45</v>
          </cell>
          <cell r="M305">
            <v>450</v>
          </cell>
          <cell r="N305" t="str">
            <v>intimidate</v>
          </cell>
          <cell r="O305" t="str">
            <v>quick-feet</v>
          </cell>
          <cell r="P305" t="str">
            <v>rattled</v>
          </cell>
          <cell r="Q305">
            <v>1.4</v>
          </cell>
          <cell r="R305">
            <v>48.7</v>
          </cell>
          <cell r="S305" t="str">
            <v>It is actually timid and easily spooked. If at­ tacked, it flails about to fend off its attacker.</v>
          </cell>
          <cell r="T305" t="str">
            <v>https://raw.githubusercontent.com/PokeAPI/sprites/master/sprites/pokemon/other/official-artwork/210.png</v>
          </cell>
          <cell r="U305" t="str">
            <v>https://raw.githubusercontent.com/PokeAPI/sprites/master/sprites/pokemon/other/official-artwork/shiny/210.png</v>
          </cell>
        </row>
        <row r="306">
          <cell r="A306">
            <v>211</v>
          </cell>
          <cell r="C306" t="str">
            <v>Qwilfish</v>
          </cell>
          <cell r="D306" t="str">
            <v>Standard</v>
          </cell>
          <cell r="E306" t="str">
            <v>water</v>
          </cell>
          <cell r="F306" t="str">
            <v>poison</v>
          </cell>
          <cell r="G306">
            <v>65</v>
          </cell>
          <cell r="H306">
            <v>95</v>
          </cell>
          <cell r="I306">
            <v>85</v>
          </cell>
          <cell r="J306">
            <v>55</v>
          </cell>
          <cell r="K306">
            <v>55</v>
          </cell>
          <cell r="L306">
            <v>85</v>
          </cell>
          <cell r="M306">
            <v>440</v>
          </cell>
          <cell r="N306" t="str">
            <v>poison-point</v>
          </cell>
          <cell r="O306" t="str">
            <v>swift-swim</v>
          </cell>
          <cell r="P306" t="str">
            <v>intimidate</v>
          </cell>
          <cell r="Q306">
            <v>0.5</v>
          </cell>
          <cell r="R306">
            <v>3.9</v>
          </cell>
          <cell r="S306" t="str">
            <v>To fire its poison spikes, it must inflate its body by drinking over 2.6 gallons of water all at once.</v>
          </cell>
          <cell r="T306" t="str">
            <v>https://raw.githubusercontent.com/PokeAPI/sprites/master/sprites/pokemon/other/official-artwork/211.png</v>
          </cell>
          <cell r="U306" t="str">
            <v>https://raw.githubusercontent.com/PokeAPI/sprites/master/sprites/pokemon/other/official-artwork/shiny/211.png</v>
          </cell>
        </row>
        <row r="307">
          <cell r="A307">
            <v>211</v>
          </cell>
          <cell r="C307" t="str">
            <v>Qwilfish Hisui</v>
          </cell>
          <cell r="D307" t="str">
            <v>Regional</v>
          </cell>
          <cell r="E307" t="str">
            <v>dark</v>
          </cell>
          <cell r="F307" t="str">
            <v>poison</v>
          </cell>
          <cell r="G307">
            <v>65</v>
          </cell>
          <cell r="H307">
            <v>95</v>
          </cell>
          <cell r="I307">
            <v>85</v>
          </cell>
          <cell r="J307">
            <v>55</v>
          </cell>
          <cell r="K307">
            <v>55</v>
          </cell>
          <cell r="L307">
            <v>85</v>
          </cell>
          <cell r="M307">
            <v>440</v>
          </cell>
          <cell r="N307" t="str">
            <v>poison-point</v>
          </cell>
          <cell r="O307" t="str">
            <v>swift-swim</v>
          </cell>
          <cell r="P307" t="str">
            <v>intimidate</v>
          </cell>
          <cell r="Q307">
            <v>0.5</v>
          </cell>
          <cell r="R307">
            <v>3.9</v>
          </cell>
          <cell r="S307" t="str">
            <v>To fire its poison spikes, it must inflate its body by drinking over 2.6 gallons of water all at once.</v>
          </cell>
          <cell r="T307" t="str">
            <v>https://raw.githubusercontent.com/PokeAPI/sprites/master/sprites/pokemon/other/official-artwork/10234.png</v>
          </cell>
          <cell r="U307" t="str">
            <v>https://raw.githubusercontent.com/PokeAPI/sprites/master/sprites/pokemon/other/official-artwork/shiny/10234.png</v>
          </cell>
        </row>
        <row r="308">
          <cell r="A308">
            <v>212</v>
          </cell>
          <cell r="C308" t="str">
            <v>Scizor</v>
          </cell>
          <cell r="D308" t="str">
            <v>Standard</v>
          </cell>
          <cell r="E308" t="str">
            <v>bug</v>
          </cell>
          <cell r="F308" t="str">
            <v>steel</v>
          </cell>
          <cell r="G308">
            <v>70</v>
          </cell>
          <cell r="H308">
            <v>130</v>
          </cell>
          <cell r="I308">
            <v>100</v>
          </cell>
          <cell r="J308">
            <v>55</v>
          </cell>
          <cell r="K308">
            <v>80</v>
          </cell>
          <cell r="L308">
            <v>65</v>
          </cell>
          <cell r="M308">
            <v>500</v>
          </cell>
          <cell r="N308" t="str">
            <v>swarm</v>
          </cell>
          <cell r="O308" t="str">
            <v>technician</v>
          </cell>
          <cell r="P308" t="str">
            <v>light-metal</v>
          </cell>
          <cell r="Q308">
            <v>1.8</v>
          </cell>
          <cell r="R308">
            <v>118</v>
          </cell>
          <cell r="S308" t="str">
            <v>It has a steel-hard body. It intimidates foes by upraising its eye-patterned pincers.</v>
          </cell>
          <cell r="T308" t="str">
            <v>https://raw.githubusercontent.com/PokeAPI/sprites/master/sprites/pokemon/other/official-artwork/212.png</v>
          </cell>
          <cell r="U308" t="str">
            <v>https://raw.githubusercontent.com/PokeAPI/sprites/master/sprites/pokemon/other/official-artwork/shiny/212.png</v>
          </cell>
        </row>
        <row r="309">
          <cell r="A309">
            <v>212</v>
          </cell>
          <cell r="C309" t="str">
            <v>Scizor Mega</v>
          </cell>
          <cell r="D309" t="str">
            <v>Mega</v>
          </cell>
          <cell r="E309" t="str">
            <v>bug</v>
          </cell>
          <cell r="F309" t="str">
            <v>steel</v>
          </cell>
          <cell r="G309">
            <v>70</v>
          </cell>
          <cell r="H309">
            <v>150</v>
          </cell>
          <cell r="I309">
            <v>140</v>
          </cell>
          <cell r="J309">
            <v>65</v>
          </cell>
          <cell r="K309">
            <v>100</v>
          </cell>
          <cell r="L309">
            <v>75</v>
          </cell>
          <cell r="M309">
            <v>600</v>
          </cell>
          <cell r="N309" t="str">
            <v>technician</v>
          </cell>
          <cell r="Q309">
            <v>2</v>
          </cell>
          <cell r="R309">
            <v>125</v>
          </cell>
          <cell r="S309" t="str">
            <v>It has a steel-hard body. It intimidates foes by upraising its eye-patterned pincers.</v>
          </cell>
          <cell r="T309" t="str">
            <v>https://raw.githubusercontent.com/PokeAPI/sprites/master/sprites/pokemon/other/official-artwork/10046.png</v>
          </cell>
          <cell r="U309" t="str">
            <v>https://raw.githubusercontent.com/PokeAPI/sprites/master/sprites/pokemon/other/official-artwork/shiny/10046.png</v>
          </cell>
        </row>
        <row r="310">
          <cell r="A310">
            <v>213</v>
          </cell>
          <cell r="C310" t="str">
            <v>Shuckle</v>
          </cell>
          <cell r="D310" t="str">
            <v>Standard</v>
          </cell>
          <cell r="E310" t="str">
            <v>bug</v>
          </cell>
          <cell r="F310" t="str">
            <v>rock</v>
          </cell>
          <cell r="G310">
            <v>20</v>
          </cell>
          <cell r="H310">
            <v>10</v>
          </cell>
          <cell r="I310">
            <v>230</v>
          </cell>
          <cell r="J310">
            <v>10</v>
          </cell>
          <cell r="K310">
            <v>230</v>
          </cell>
          <cell r="L310">
            <v>5</v>
          </cell>
          <cell r="M310">
            <v>505</v>
          </cell>
          <cell r="N310" t="str">
            <v>sturdy</v>
          </cell>
          <cell r="O310" t="str">
            <v>gluttony</v>
          </cell>
          <cell r="P310" t="str">
            <v>contrary</v>
          </cell>
          <cell r="Q310">
            <v>0.6</v>
          </cell>
          <cell r="R310">
            <v>20.5</v>
          </cell>
          <cell r="S310" t="str">
            <v>The BERRIES it stores in its vase-like shell decompose and become a gooey liquid.</v>
          </cell>
          <cell r="T310" t="str">
            <v>https://raw.githubusercontent.com/PokeAPI/sprites/master/sprites/pokemon/other/official-artwork/213.png</v>
          </cell>
          <cell r="U310" t="str">
            <v>https://raw.githubusercontent.com/PokeAPI/sprites/master/sprites/pokemon/other/official-artwork/shiny/213.png</v>
          </cell>
        </row>
        <row r="311">
          <cell r="A311">
            <v>214</v>
          </cell>
          <cell r="C311" t="str">
            <v>Heracross</v>
          </cell>
          <cell r="D311" t="str">
            <v>Standard</v>
          </cell>
          <cell r="E311" t="str">
            <v>bug</v>
          </cell>
          <cell r="F311" t="str">
            <v>fighting</v>
          </cell>
          <cell r="G311">
            <v>80</v>
          </cell>
          <cell r="H311">
            <v>125</v>
          </cell>
          <cell r="I311">
            <v>75</v>
          </cell>
          <cell r="J311">
            <v>40</v>
          </cell>
          <cell r="K311">
            <v>95</v>
          </cell>
          <cell r="L311">
            <v>85</v>
          </cell>
          <cell r="M311">
            <v>500</v>
          </cell>
          <cell r="N311" t="str">
            <v>swarm</v>
          </cell>
          <cell r="O311" t="str">
            <v>guts</v>
          </cell>
          <cell r="P311" t="str">
            <v>moxie</v>
          </cell>
          <cell r="Q311">
            <v>1.5</v>
          </cell>
          <cell r="R311">
            <v>54</v>
          </cell>
          <cell r="S311" t="str">
            <v>It is usually docile, but if it is disturbed while sipping honey, it chases off the intruder with its horn.</v>
          </cell>
          <cell r="T311" t="str">
            <v>https://raw.githubusercontent.com/PokeAPI/sprites/master/sprites/pokemon/other/official-artwork/214.png</v>
          </cell>
          <cell r="U311" t="str">
            <v>https://raw.githubusercontent.com/PokeAPI/sprites/master/sprites/pokemon/other/official-artwork/shiny/214.png</v>
          </cell>
        </row>
        <row r="312">
          <cell r="A312">
            <v>214</v>
          </cell>
          <cell r="C312" t="str">
            <v>Heracross Mega</v>
          </cell>
          <cell r="D312" t="str">
            <v>Mega</v>
          </cell>
          <cell r="E312" t="str">
            <v>bug</v>
          </cell>
          <cell r="F312" t="str">
            <v>fighting</v>
          </cell>
          <cell r="G312">
            <v>80</v>
          </cell>
          <cell r="H312">
            <v>185</v>
          </cell>
          <cell r="I312">
            <v>115</v>
          </cell>
          <cell r="J312">
            <v>40</v>
          </cell>
          <cell r="K312">
            <v>105</v>
          </cell>
          <cell r="L312">
            <v>75</v>
          </cell>
          <cell r="M312">
            <v>600</v>
          </cell>
          <cell r="N312" t="str">
            <v>skill-link</v>
          </cell>
          <cell r="Q312">
            <v>1.7</v>
          </cell>
          <cell r="R312">
            <v>62.5</v>
          </cell>
          <cell r="S312" t="str">
            <v>It is usually docile, but if it is disturbed while sipping honey, it chases off the intruder with its horn.</v>
          </cell>
          <cell r="T312" t="str">
            <v>https://raw.githubusercontent.com/PokeAPI/sprites/master/sprites/pokemon/other/official-artwork/10047.png</v>
          </cell>
          <cell r="U312" t="str">
            <v>https://raw.githubusercontent.com/PokeAPI/sprites/master/sprites/pokemon/other/official-artwork/shiny/10047.png</v>
          </cell>
        </row>
        <row r="313">
          <cell r="A313">
            <v>215</v>
          </cell>
          <cell r="C313" t="str">
            <v>Sneasel</v>
          </cell>
          <cell r="D313" t="str">
            <v>Standard</v>
          </cell>
          <cell r="E313" t="str">
            <v>dark</v>
          </cell>
          <cell r="F313" t="str">
            <v>ice</v>
          </cell>
          <cell r="G313">
            <v>55</v>
          </cell>
          <cell r="H313">
            <v>95</v>
          </cell>
          <cell r="I313">
            <v>55</v>
          </cell>
          <cell r="J313">
            <v>35</v>
          </cell>
          <cell r="K313">
            <v>75</v>
          </cell>
          <cell r="L313">
            <v>115</v>
          </cell>
          <cell r="M313">
            <v>430</v>
          </cell>
          <cell r="N313" t="str">
            <v>inner-focus</v>
          </cell>
          <cell r="O313" t="str">
            <v>keen-eye</v>
          </cell>
          <cell r="P313" t="str">
            <v>pickpocket</v>
          </cell>
          <cell r="Q313">
            <v>0.9</v>
          </cell>
          <cell r="R313">
            <v>28</v>
          </cell>
          <cell r="S313" t="str">
            <v>Its paws conceal sharp claws. If attacked, it sud­ denly extends the claws and startles its enemy.</v>
          </cell>
          <cell r="T313" t="str">
            <v>https://raw.githubusercontent.com/PokeAPI/sprites/master/sprites/pokemon/other/official-artwork/215.png</v>
          </cell>
          <cell r="U313" t="str">
            <v>https://raw.githubusercontent.com/PokeAPI/sprites/master/sprites/pokemon/other/official-artwork/shiny/215.png</v>
          </cell>
        </row>
        <row r="314">
          <cell r="A314">
            <v>215</v>
          </cell>
          <cell r="C314" t="str">
            <v>Sneasel Hisui</v>
          </cell>
          <cell r="D314" t="str">
            <v>Regional</v>
          </cell>
          <cell r="E314" t="str">
            <v>fighting</v>
          </cell>
          <cell r="F314" t="str">
            <v>poison</v>
          </cell>
          <cell r="G314">
            <v>55</v>
          </cell>
          <cell r="H314">
            <v>95</v>
          </cell>
          <cell r="I314">
            <v>55</v>
          </cell>
          <cell r="J314">
            <v>35</v>
          </cell>
          <cell r="K314">
            <v>75</v>
          </cell>
          <cell r="L314">
            <v>115</v>
          </cell>
          <cell r="M314">
            <v>430</v>
          </cell>
          <cell r="N314" t="str">
            <v>inner-focus</v>
          </cell>
          <cell r="O314" t="str">
            <v>keen-eye</v>
          </cell>
          <cell r="P314" t="str">
            <v>pickpocket</v>
          </cell>
          <cell r="Q314">
            <v>0.9</v>
          </cell>
          <cell r="R314">
            <v>27</v>
          </cell>
          <cell r="S314" t="str">
            <v>Its paws conceal sharp claws. If attacked, it sud­ denly extends the claws and startles its enemy.</v>
          </cell>
          <cell r="T314" t="str">
            <v>https://raw.githubusercontent.com/PokeAPI/sprites/master/sprites/pokemon/other/official-artwork/10235.png</v>
          </cell>
          <cell r="U314" t="str">
            <v>https://raw.githubusercontent.com/PokeAPI/sprites/master/sprites/pokemon/other/official-artwork/shiny/10235.png</v>
          </cell>
        </row>
        <row r="315">
          <cell r="A315">
            <v>216</v>
          </cell>
          <cell r="C315" t="str">
            <v>Teddiursa</v>
          </cell>
          <cell r="D315" t="str">
            <v>Standard</v>
          </cell>
          <cell r="E315" t="str">
            <v>normal</v>
          </cell>
          <cell r="G315">
            <v>60</v>
          </cell>
          <cell r="H315">
            <v>80</v>
          </cell>
          <cell r="I315">
            <v>50</v>
          </cell>
          <cell r="J315">
            <v>50</v>
          </cell>
          <cell r="K315">
            <v>50</v>
          </cell>
          <cell r="L315">
            <v>40</v>
          </cell>
          <cell r="M315">
            <v>330</v>
          </cell>
          <cell r="N315" t="str">
            <v>pickup</v>
          </cell>
          <cell r="O315" t="str">
            <v>quick-feet</v>
          </cell>
          <cell r="P315" t="str">
            <v>honey-gather</v>
          </cell>
          <cell r="Q315">
            <v>0.6</v>
          </cell>
          <cell r="R315">
            <v>8.8000000000000007</v>
          </cell>
          <cell r="S315" t="str">
            <v>If it finds honey, its crescent mark glows. It always licks its paws because they are soaked with honey.</v>
          </cell>
          <cell r="T315" t="str">
            <v>https://raw.githubusercontent.com/PokeAPI/sprites/master/sprites/pokemon/other/official-artwork/216.png</v>
          </cell>
          <cell r="U315" t="str">
            <v>https://raw.githubusercontent.com/PokeAPI/sprites/master/sprites/pokemon/other/official-artwork/shiny/216.png</v>
          </cell>
        </row>
        <row r="316">
          <cell r="A316">
            <v>217</v>
          </cell>
          <cell r="C316" t="str">
            <v>Ursaring</v>
          </cell>
          <cell r="D316" t="str">
            <v>Standard</v>
          </cell>
          <cell r="E316" t="str">
            <v>normal</v>
          </cell>
          <cell r="G316">
            <v>90</v>
          </cell>
          <cell r="H316">
            <v>130</v>
          </cell>
          <cell r="I316">
            <v>75</v>
          </cell>
          <cell r="J316">
            <v>75</v>
          </cell>
          <cell r="K316">
            <v>75</v>
          </cell>
          <cell r="L316">
            <v>55</v>
          </cell>
          <cell r="M316">
            <v>500</v>
          </cell>
          <cell r="N316" t="str">
            <v>guts</v>
          </cell>
          <cell r="O316" t="str">
            <v>quick-feet</v>
          </cell>
          <cell r="P316" t="str">
            <v>unnerve</v>
          </cell>
          <cell r="Q316">
            <v>1.8</v>
          </cell>
          <cell r="R316">
            <v>125.8</v>
          </cell>
          <cell r="S316" t="str">
            <v>Although it is a good climber, it prefers to snap trees with its forelegs and eat fallen BERRIES.</v>
          </cell>
          <cell r="T316" t="str">
            <v>https://raw.githubusercontent.com/PokeAPI/sprites/master/sprites/pokemon/other/official-artwork/217.png</v>
          </cell>
          <cell r="U316" t="str">
            <v>https://raw.githubusercontent.com/PokeAPI/sprites/master/sprites/pokemon/other/official-artwork/shiny/217.png</v>
          </cell>
        </row>
        <row r="317">
          <cell r="A317">
            <v>218</v>
          </cell>
          <cell r="C317" t="str">
            <v>Slugma</v>
          </cell>
          <cell r="D317" t="str">
            <v>Standard</v>
          </cell>
          <cell r="E317" t="str">
            <v>fire</v>
          </cell>
          <cell r="G317">
            <v>40</v>
          </cell>
          <cell r="H317">
            <v>40</v>
          </cell>
          <cell r="I317">
            <v>40</v>
          </cell>
          <cell r="J317">
            <v>70</v>
          </cell>
          <cell r="K317">
            <v>40</v>
          </cell>
          <cell r="L317">
            <v>20</v>
          </cell>
          <cell r="M317">
            <v>250</v>
          </cell>
          <cell r="N317" t="str">
            <v>magma-armor</v>
          </cell>
          <cell r="O317" t="str">
            <v>flame-body</v>
          </cell>
          <cell r="P317" t="str">
            <v>weak-armor</v>
          </cell>
          <cell r="Q317">
            <v>0.7</v>
          </cell>
          <cell r="R317">
            <v>35</v>
          </cell>
          <cell r="S317" t="str">
            <v>It never sleeps. It has to keep moving because if it stopped, its magma body would cool and harden.</v>
          </cell>
          <cell r="T317" t="str">
            <v>https://raw.githubusercontent.com/PokeAPI/sprites/master/sprites/pokemon/other/official-artwork/218.png</v>
          </cell>
          <cell r="U317" t="str">
            <v>https://raw.githubusercontent.com/PokeAPI/sprites/master/sprites/pokemon/other/official-artwork/shiny/218.png</v>
          </cell>
        </row>
        <row r="318">
          <cell r="A318">
            <v>219</v>
          </cell>
          <cell r="C318" t="str">
            <v>Magcargo</v>
          </cell>
          <cell r="D318" t="str">
            <v>Standard</v>
          </cell>
          <cell r="E318" t="str">
            <v>fire</v>
          </cell>
          <cell r="F318" t="str">
            <v>rock</v>
          </cell>
          <cell r="G318">
            <v>60</v>
          </cell>
          <cell r="H318">
            <v>50</v>
          </cell>
          <cell r="I318">
            <v>120</v>
          </cell>
          <cell r="J318">
            <v>90</v>
          </cell>
          <cell r="K318">
            <v>80</v>
          </cell>
          <cell r="L318">
            <v>30</v>
          </cell>
          <cell r="M318">
            <v>430</v>
          </cell>
          <cell r="N318" t="str">
            <v>magma-armor</v>
          </cell>
          <cell r="O318" t="str">
            <v>flame-body</v>
          </cell>
          <cell r="P318" t="str">
            <v>weak-armor</v>
          </cell>
          <cell r="Q318">
            <v>0.8</v>
          </cell>
          <cell r="R318">
            <v>55</v>
          </cell>
          <cell r="S318" t="str">
            <v>The shell on its back is just skin that has cooled and hardened. It breaks easily with a slight touch.</v>
          </cell>
          <cell r="T318" t="str">
            <v>https://raw.githubusercontent.com/PokeAPI/sprites/master/sprites/pokemon/other/official-artwork/219.png</v>
          </cell>
          <cell r="U318" t="str">
            <v>https://raw.githubusercontent.com/PokeAPI/sprites/master/sprites/pokemon/other/official-artwork/shiny/219.png</v>
          </cell>
        </row>
        <row r="319">
          <cell r="A319">
            <v>220</v>
          </cell>
          <cell r="C319" t="str">
            <v>Swinub</v>
          </cell>
          <cell r="D319" t="str">
            <v>Standard</v>
          </cell>
          <cell r="E319" t="str">
            <v>ice</v>
          </cell>
          <cell r="F319" t="str">
            <v>ground</v>
          </cell>
          <cell r="G319">
            <v>50</v>
          </cell>
          <cell r="H319">
            <v>50</v>
          </cell>
          <cell r="I319">
            <v>40</v>
          </cell>
          <cell r="J319">
            <v>30</v>
          </cell>
          <cell r="K319">
            <v>30</v>
          </cell>
          <cell r="L319">
            <v>50</v>
          </cell>
          <cell r="M319">
            <v>250</v>
          </cell>
          <cell r="N319" t="str">
            <v>oblivious</v>
          </cell>
          <cell r="O319" t="str">
            <v>snow-cloak</v>
          </cell>
          <cell r="P319" t="str">
            <v>thick-fat</v>
          </cell>
          <cell r="Q319">
            <v>0.4</v>
          </cell>
          <cell r="R319">
            <v>6.5</v>
          </cell>
          <cell r="S319" t="str">
            <v>It rubs its snout on the ground to find and dig up food. It sometimes discovers hot springs.</v>
          </cell>
          <cell r="T319" t="str">
            <v>https://raw.githubusercontent.com/PokeAPI/sprites/master/sprites/pokemon/other/official-artwork/220.png</v>
          </cell>
          <cell r="U319" t="str">
            <v>https://raw.githubusercontent.com/PokeAPI/sprites/master/sprites/pokemon/other/official-artwork/shiny/220.png</v>
          </cell>
        </row>
        <row r="320">
          <cell r="A320">
            <v>221</v>
          </cell>
          <cell r="C320" t="str">
            <v>Piloswine</v>
          </cell>
          <cell r="D320" t="str">
            <v>Standard</v>
          </cell>
          <cell r="E320" t="str">
            <v>ice</v>
          </cell>
          <cell r="F320" t="str">
            <v>ground</v>
          </cell>
          <cell r="G320">
            <v>100</v>
          </cell>
          <cell r="H320">
            <v>100</v>
          </cell>
          <cell r="I320">
            <v>80</v>
          </cell>
          <cell r="J320">
            <v>60</v>
          </cell>
          <cell r="K320">
            <v>60</v>
          </cell>
          <cell r="L320">
            <v>50</v>
          </cell>
          <cell r="M320">
            <v>450</v>
          </cell>
          <cell r="N320" t="str">
            <v>oblivious</v>
          </cell>
          <cell r="O320" t="str">
            <v>snow-cloak</v>
          </cell>
          <cell r="P320" t="str">
            <v>thick-fat</v>
          </cell>
          <cell r="Q320">
            <v>1.1000000000000001</v>
          </cell>
          <cell r="R320">
            <v>55.8</v>
          </cell>
          <cell r="S320" t="str">
            <v>Because the long hair all over its body obscures its sight, it just keeps charging repeatedly.</v>
          </cell>
          <cell r="T320" t="str">
            <v>https://raw.githubusercontent.com/PokeAPI/sprites/master/sprites/pokemon/other/official-artwork/221.png</v>
          </cell>
          <cell r="U320" t="str">
            <v>https://raw.githubusercontent.com/PokeAPI/sprites/master/sprites/pokemon/other/official-artwork/shiny/221.png</v>
          </cell>
        </row>
        <row r="321">
          <cell r="A321">
            <v>222</v>
          </cell>
          <cell r="C321" t="str">
            <v>Corsola</v>
          </cell>
          <cell r="D321" t="str">
            <v>Standard</v>
          </cell>
          <cell r="E321" t="str">
            <v>water</v>
          </cell>
          <cell r="F321" t="str">
            <v>rock</v>
          </cell>
          <cell r="G321">
            <v>65</v>
          </cell>
          <cell r="H321">
            <v>55</v>
          </cell>
          <cell r="I321">
            <v>95</v>
          </cell>
          <cell r="J321">
            <v>65</v>
          </cell>
          <cell r="K321">
            <v>95</v>
          </cell>
          <cell r="L321">
            <v>35</v>
          </cell>
          <cell r="M321">
            <v>410</v>
          </cell>
          <cell r="N321" t="str">
            <v>hustle</v>
          </cell>
          <cell r="O321" t="str">
            <v>natural-cure</v>
          </cell>
          <cell r="P321" t="str">
            <v>regenerator</v>
          </cell>
          <cell r="Q321">
            <v>0.6</v>
          </cell>
          <cell r="R321">
            <v>5</v>
          </cell>
          <cell r="S321" t="str">
            <v>It continuously sheds and grows. The tip of its head is prized as a treasure for its beauty.</v>
          </cell>
          <cell r="T321" t="str">
            <v>https://raw.githubusercontent.com/PokeAPI/sprites/master/sprites/pokemon/other/official-artwork/222.png</v>
          </cell>
          <cell r="U321" t="str">
            <v>https://raw.githubusercontent.com/PokeAPI/sprites/master/sprites/pokemon/other/official-artwork/shiny/222.png</v>
          </cell>
        </row>
        <row r="322">
          <cell r="A322">
            <v>222</v>
          </cell>
          <cell r="C322" t="str">
            <v>Corsola Galar</v>
          </cell>
          <cell r="D322" t="str">
            <v>Regional</v>
          </cell>
          <cell r="E322" t="str">
            <v>ghost</v>
          </cell>
          <cell r="G322">
            <v>60</v>
          </cell>
          <cell r="H322">
            <v>55</v>
          </cell>
          <cell r="I322">
            <v>100</v>
          </cell>
          <cell r="J322">
            <v>65</v>
          </cell>
          <cell r="K322">
            <v>100</v>
          </cell>
          <cell r="L322">
            <v>30</v>
          </cell>
          <cell r="M322">
            <v>410</v>
          </cell>
          <cell r="N322" t="str">
            <v>weak-armor</v>
          </cell>
          <cell r="P322" t="str">
            <v>cursed-body</v>
          </cell>
          <cell r="Q322">
            <v>0.6</v>
          </cell>
          <cell r="R322">
            <v>0.5</v>
          </cell>
          <cell r="S322" t="str">
            <v>It continuously sheds and grows. The tip of its head is prized as a treasure for its beauty.</v>
          </cell>
          <cell r="T322" t="str">
            <v>https://raw.githubusercontent.com/PokeAPI/sprites/master/sprites/pokemon/other/official-artwork/10173.png</v>
          </cell>
          <cell r="U322" t="str">
            <v>https://raw.githubusercontent.com/PokeAPI/sprites/master/sprites/pokemon/other/official-artwork/shiny/10173.png</v>
          </cell>
        </row>
        <row r="323">
          <cell r="A323">
            <v>223</v>
          </cell>
          <cell r="C323" t="str">
            <v>Remoraid</v>
          </cell>
          <cell r="D323" t="str">
            <v>Standard</v>
          </cell>
          <cell r="E323" t="str">
            <v>water</v>
          </cell>
          <cell r="G323">
            <v>35</v>
          </cell>
          <cell r="H323">
            <v>65</v>
          </cell>
          <cell r="I323">
            <v>35</v>
          </cell>
          <cell r="J323">
            <v>65</v>
          </cell>
          <cell r="K323">
            <v>35</v>
          </cell>
          <cell r="L323">
            <v>65</v>
          </cell>
          <cell r="M323">
            <v>300</v>
          </cell>
          <cell r="N323" t="str">
            <v>hustle</v>
          </cell>
          <cell r="O323" t="str">
            <v>sniper</v>
          </cell>
          <cell r="P323" t="str">
            <v>moody</v>
          </cell>
          <cell r="Q323">
            <v>0.6</v>
          </cell>
          <cell r="R323">
            <v>12</v>
          </cell>
          <cell r="S323" t="str">
            <v>It has superb ac­ curacy. The water it shoots out can strike even moving prey from more than 300 feet.</v>
          </cell>
          <cell r="T323" t="str">
            <v>https://raw.githubusercontent.com/PokeAPI/sprites/master/sprites/pokemon/other/official-artwork/223.png</v>
          </cell>
          <cell r="U323" t="str">
            <v>https://raw.githubusercontent.com/PokeAPI/sprites/master/sprites/pokemon/other/official-artwork/shiny/223.png</v>
          </cell>
        </row>
        <row r="324">
          <cell r="A324">
            <v>224</v>
          </cell>
          <cell r="C324" t="str">
            <v>Octillery</v>
          </cell>
          <cell r="D324" t="str">
            <v>Standard</v>
          </cell>
          <cell r="E324" t="str">
            <v>water</v>
          </cell>
          <cell r="G324">
            <v>75</v>
          </cell>
          <cell r="H324">
            <v>105</v>
          </cell>
          <cell r="I324">
            <v>75</v>
          </cell>
          <cell r="J324">
            <v>105</v>
          </cell>
          <cell r="K324">
            <v>75</v>
          </cell>
          <cell r="L324">
            <v>45</v>
          </cell>
          <cell r="M324">
            <v>480</v>
          </cell>
          <cell r="N324" t="str">
            <v>suction-cups</v>
          </cell>
          <cell r="O324" t="str">
            <v>sniper</v>
          </cell>
          <cell r="P324" t="str">
            <v>moody</v>
          </cell>
          <cell r="Q324">
            <v>0.9</v>
          </cell>
          <cell r="R324">
            <v>28.5</v>
          </cell>
          <cell r="S324" t="str">
            <v>It traps enemies with its suction- cupped tentacles then smashes them with its rock-hard head.</v>
          </cell>
          <cell r="T324" t="str">
            <v>https://raw.githubusercontent.com/PokeAPI/sprites/master/sprites/pokemon/other/official-artwork/224.png</v>
          </cell>
          <cell r="U324" t="str">
            <v>https://raw.githubusercontent.com/PokeAPI/sprites/master/sprites/pokemon/other/official-artwork/shiny/224.png</v>
          </cell>
        </row>
        <row r="325">
          <cell r="A325">
            <v>225</v>
          </cell>
          <cell r="C325" t="str">
            <v>Delibird</v>
          </cell>
          <cell r="D325" t="str">
            <v>Standard</v>
          </cell>
          <cell r="E325" t="str">
            <v>ice</v>
          </cell>
          <cell r="F325" t="str">
            <v>flying</v>
          </cell>
          <cell r="G325">
            <v>45</v>
          </cell>
          <cell r="H325">
            <v>55</v>
          </cell>
          <cell r="I325">
            <v>45</v>
          </cell>
          <cell r="J325">
            <v>65</v>
          </cell>
          <cell r="K325">
            <v>45</v>
          </cell>
          <cell r="L325">
            <v>75</v>
          </cell>
          <cell r="M325">
            <v>330</v>
          </cell>
          <cell r="N325" t="str">
            <v>vital-spirit</v>
          </cell>
          <cell r="O325" t="str">
            <v>hustle</v>
          </cell>
          <cell r="P325" t="str">
            <v>insomnia</v>
          </cell>
          <cell r="Q325">
            <v>0.9</v>
          </cell>
          <cell r="R325">
            <v>16</v>
          </cell>
          <cell r="S325" t="str">
            <v>It carries food all day long. There are tales about lost people who were saved by the food it had.</v>
          </cell>
          <cell r="T325" t="str">
            <v>https://raw.githubusercontent.com/PokeAPI/sprites/master/sprites/pokemon/other/official-artwork/225.png</v>
          </cell>
          <cell r="U325" t="str">
            <v>https://raw.githubusercontent.com/PokeAPI/sprites/master/sprites/pokemon/other/official-artwork/shiny/225.png</v>
          </cell>
        </row>
        <row r="326">
          <cell r="A326">
            <v>226</v>
          </cell>
          <cell r="C326" t="str">
            <v>Mantine</v>
          </cell>
          <cell r="D326" t="str">
            <v>Standard</v>
          </cell>
          <cell r="E326" t="str">
            <v>water</v>
          </cell>
          <cell r="F326" t="str">
            <v>flying</v>
          </cell>
          <cell r="G326">
            <v>85</v>
          </cell>
          <cell r="H326">
            <v>40</v>
          </cell>
          <cell r="I326">
            <v>70</v>
          </cell>
          <cell r="J326">
            <v>80</v>
          </cell>
          <cell r="K326">
            <v>140</v>
          </cell>
          <cell r="L326">
            <v>70</v>
          </cell>
          <cell r="M326">
            <v>485</v>
          </cell>
          <cell r="N326" t="str">
            <v>swift-swim</v>
          </cell>
          <cell r="O326" t="str">
            <v>water-absorb</v>
          </cell>
          <cell r="P326" t="str">
            <v>water-veil</v>
          </cell>
          <cell r="Q326">
            <v>2.1</v>
          </cell>
          <cell r="R326">
            <v>220</v>
          </cell>
          <cell r="S326" t="str">
            <v>As it majestically swims, it doesn't care if REMORAID attach to it for scavenging its leftovers.</v>
          </cell>
          <cell r="T326" t="str">
            <v>https://raw.githubusercontent.com/PokeAPI/sprites/master/sprites/pokemon/other/official-artwork/226.png</v>
          </cell>
          <cell r="U326" t="str">
            <v>https://raw.githubusercontent.com/PokeAPI/sprites/master/sprites/pokemon/other/official-artwork/shiny/226.png</v>
          </cell>
        </row>
        <row r="327">
          <cell r="A327">
            <v>227</v>
          </cell>
          <cell r="C327" t="str">
            <v>Skarmory</v>
          </cell>
          <cell r="D327" t="str">
            <v>Standard</v>
          </cell>
          <cell r="E327" t="str">
            <v>steel</v>
          </cell>
          <cell r="F327" t="str">
            <v>flying</v>
          </cell>
          <cell r="G327">
            <v>65</v>
          </cell>
          <cell r="H327">
            <v>80</v>
          </cell>
          <cell r="I327">
            <v>140</v>
          </cell>
          <cell r="J327">
            <v>40</v>
          </cell>
          <cell r="K327">
            <v>70</v>
          </cell>
          <cell r="L327">
            <v>70</v>
          </cell>
          <cell r="M327">
            <v>465</v>
          </cell>
          <cell r="N327" t="str">
            <v>keen-eye</v>
          </cell>
          <cell r="O327" t="str">
            <v>sturdy</v>
          </cell>
          <cell r="P327" t="str">
            <v>weak-armor</v>
          </cell>
          <cell r="Q327">
            <v>1.7</v>
          </cell>
          <cell r="R327">
            <v>50.5</v>
          </cell>
          <cell r="S327" t="str">
            <v>Its sturdy wings look heavy, but they are actually hollow and light, allowing it to fly freely in the sky.</v>
          </cell>
          <cell r="T327" t="str">
            <v>https://raw.githubusercontent.com/PokeAPI/sprites/master/sprites/pokemon/other/official-artwork/227.png</v>
          </cell>
          <cell r="U327" t="str">
            <v>https://raw.githubusercontent.com/PokeAPI/sprites/master/sprites/pokemon/other/official-artwork/shiny/227.png</v>
          </cell>
        </row>
        <row r="328">
          <cell r="A328">
            <v>227</v>
          </cell>
          <cell r="C328" t="str">
            <v>Skarmory Mega</v>
          </cell>
          <cell r="D328" t="str">
            <v>Mega</v>
          </cell>
          <cell r="E328" t="str">
            <v>steel</v>
          </cell>
          <cell r="F328" t="str">
            <v>flying</v>
          </cell>
          <cell r="G328">
            <v>65</v>
          </cell>
          <cell r="H328">
            <v>140</v>
          </cell>
          <cell r="I328">
            <v>110</v>
          </cell>
          <cell r="J328">
            <v>40</v>
          </cell>
          <cell r="K328">
            <v>100</v>
          </cell>
          <cell r="L328">
            <v>110</v>
          </cell>
          <cell r="M328">
            <v>565</v>
          </cell>
          <cell r="Q328">
            <v>1.7</v>
          </cell>
          <cell r="R328">
            <v>40.4</v>
          </cell>
          <cell r="S328" t="str">
            <v>Its sturdy wings look heavy, but they are actually hollow and light, allowing it to fly freely in the sky.</v>
          </cell>
          <cell r="T328" t="str">
            <v>https://raw.githubusercontent.com/PokeAPI/sprites/master/sprites/pokemon/other/showdown/10284.gif</v>
          </cell>
          <cell r="U328" t="str">
            <v>https://raw.githubusercontent.com/PokeAPI/sprites/master/sprites/pokemon/other/showdown/shiny/10284.gif</v>
          </cell>
        </row>
        <row r="329">
          <cell r="A329">
            <v>228</v>
          </cell>
          <cell r="C329" t="str">
            <v>Houndour</v>
          </cell>
          <cell r="D329" t="str">
            <v>Standard</v>
          </cell>
          <cell r="E329" t="str">
            <v>dark</v>
          </cell>
          <cell r="F329" t="str">
            <v>fire</v>
          </cell>
          <cell r="G329">
            <v>45</v>
          </cell>
          <cell r="H329">
            <v>60</v>
          </cell>
          <cell r="I329">
            <v>30</v>
          </cell>
          <cell r="J329">
            <v>80</v>
          </cell>
          <cell r="K329">
            <v>50</v>
          </cell>
          <cell r="L329">
            <v>65</v>
          </cell>
          <cell r="M329">
            <v>330</v>
          </cell>
          <cell r="N329" t="str">
            <v>early-bird</v>
          </cell>
          <cell r="O329" t="str">
            <v>flash-fire</v>
          </cell>
          <cell r="P329" t="str">
            <v>unnerve</v>
          </cell>
          <cell r="Q329">
            <v>0.6</v>
          </cell>
          <cell r="R329">
            <v>10.8</v>
          </cell>
          <cell r="S329" t="str">
            <v>It uses different kinds of cries for communicating with others of its kind and for pursuing its prey.</v>
          </cell>
          <cell r="T329" t="str">
            <v>https://raw.githubusercontent.com/PokeAPI/sprites/master/sprites/pokemon/other/official-artwork/228.png</v>
          </cell>
          <cell r="U329" t="str">
            <v>https://raw.githubusercontent.com/PokeAPI/sprites/master/sprites/pokemon/other/official-artwork/shiny/228.png</v>
          </cell>
        </row>
        <row r="330">
          <cell r="A330">
            <v>229</v>
          </cell>
          <cell r="C330" t="str">
            <v>Houndoom</v>
          </cell>
          <cell r="D330" t="str">
            <v>Standard</v>
          </cell>
          <cell r="E330" t="str">
            <v>dark</v>
          </cell>
          <cell r="F330" t="str">
            <v>fire</v>
          </cell>
          <cell r="G330">
            <v>75</v>
          </cell>
          <cell r="H330">
            <v>90</v>
          </cell>
          <cell r="I330">
            <v>50</v>
          </cell>
          <cell r="J330">
            <v>110</v>
          </cell>
          <cell r="K330">
            <v>80</v>
          </cell>
          <cell r="L330">
            <v>95</v>
          </cell>
          <cell r="M330">
            <v>500</v>
          </cell>
          <cell r="N330" t="str">
            <v>early-bird</v>
          </cell>
          <cell r="O330" t="str">
            <v>flash-fire</v>
          </cell>
          <cell r="P330" t="str">
            <v>unnerve</v>
          </cell>
          <cell r="Q330">
            <v>1.4</v>
          </cell>
          <cell r="R330">
            <v>35</v>
          </cell>
          <cell r="S330" t="str">
            <v>If you are burned by the flames it shoots from its mouth, the pain will never go away.</v>
          </cell>
          <cell r="T330" t="str">
            <v>https://raw.githubusercontent.com/PokeAPI/sprites/master/sprites/pokemon/other/official-artwork/229.png</v>
          </cell>
          <cell r="U330" t="str">
            <v>https://raw.githubusercontent.com/PokeAPI/sprites/master/sprites/pokemon/other/official-artwork/shiny/229.png</v>
          </cell>
        </row>
        <row r="331">
          <cell r="A331">
            <v>229</v>
          </cell>
          <cell r="C331" t="str">
            <v>Houndoom Mega</v>
          </cell>
          <cell r="D331" t="str">
            <v>Mega</v>
          </cell>
          <cell r="E331" t="str">
            <v>dark</v>
          </cell>
          <cell r="F331" t="str">
            <v>fire</v>
          </cell>
          <cell r="G331">
            <v>75</v>
          </cell>
          <cell r="H331">
            <v>90</v>
          </cell>
          <cell r="I331">
            <v>90</v>
          </cell>
          <cell r="J331">
            <v>140</v>
          </cell>
          <cell r="K331">
            <v>90</v>
          </cell>
          <cell r="L331">
            <v>115</v>
          </cell>
          <cell r="M331">
            <v>600</v>
          </cell>
          <cell r="N331" t="str">
            <v>solar-power</v>
          </cell>
          <cell r="Q331">
            <v>1.9</v>
          </cell>
          <cell r="R331">
            <v>49.5</v>
          </cell>
          <cell r="S331" t="str">
            <v>If you are burned by the flames it shoots from its mouth, the pain will never go away.</v>
          </cell>
          <cell r="T331" t="str">
            <v>https://raw.githubusercontent.com/PokeAPI/sprites/master/sprites/pokemon/other/official-artwork/10048.png</v>
          </cell>
          <cell r="U331" t="str">
            <v>https://raw.githubusercontent.com/PokeAPI/sprites/master/sprites/pokemon/other/official-artwork/shiny/10048.png</v>
          </cell>
        </row>
        <row r="332">
          <cell r="A332">
            <v>230</v>
          </cell>
          <cell r="C332" t="str">
            <v>Kingdra</v>
          </cell>
          <cell r="D332" t="str">
            <v>Standard</v>
          </cell>
          <cell r="E332" t="str">
            <v>water</v>
          </cell>
          <cell r="F332" t="str">
            <v>dragon</v>
          </cell>
          <cell r="G332">
            <v>75</v>
          </cell>
          <cell r="H332">
            <v>95</v>
          </cell>
          <cell r="I332">
            <v>95</v>
          </cell>
          <cell r="J332">
            <v>95</v>
          </cell>
          <cell r="K332">
            <v>95</v>
          </cell>
          <cell r="L332">
            <v>85</v>
          </cell>
          <cell r="M332">
            <v>540</v>
          </cell>
          <cell r="N332" t="str">
            <v>swift-swim</v>
          </cell>
          <cell r="O332" t="str">
            <v>sniper</v>
          </cell>
          <cell r="P332" t="str">
            <v>damp</v>
          </cell>
          <cell r="Q332">
            <v>1.8</v>
          </cell>
          <cell r="R332">
            <v>152</v>
          </cell>
          <cell r="S332" t="str">
            <v>It is said that it usually hides in underwater caves. It can create whirlpools by yawning.</v>
          </cell>
          <cell r="T332" t="str">
            <v>https://raw.githubusercontent.com/PokeAPI/sprites/master/sprites/pokemon/other/official-artwork/230.png</v>
          </cell>
          <cell r="U332" t="str">
            <v>https://raw.githubusercontent.com/PokeAPI/sprites/master/sprites/pokemon/other/official-artwork/shiny/230.png</v>
          </cell>
        </row>
        <row r="333">
          <cell r="A333">
            <v>231</v>
          </cell>
          <cell r="C333" t="str">
            <v>Phanpy</v>
          </cell>
          <cell r="D333" t="str">
            <v>Standard</v>
          </cell>
          <cell r="E333" t="str">
            <v>ground</v>
          </cell>
          <cell r="G333">
            <v>90</v>
          </cell>
          <cell r="H333">
            <v>60</v>
          </cell>
          <cell r="I333">
            <v>60</v>
          </cell>
          <cell r="J333">
            <v>40</v>
          </cell>
          <cell r="K333">
            <v>40</v>
          </cell>
          <cell r="L333">
            <v>40</v>
          </cell>
          <cell r="M333">
            <v>330</v>
          </cell>
          <cell r="N333" t="str">
            <v>pickup</v>
          </cell>
          <cell r="P333" t="str">
            <v>sand-veil</v>
          </cell>
          <cell r="Q333">
            <v>0.5</v>
          </cell>
          <cell r="R333">
            <v>33.5</v>
          </cell>
          <cell r="S333" t="str">
            <v>It swings its long snout around play­ fully, but because it is so strong, that can be dan­ gerous.</v>
          </cell>
          <cell r="T333" t="str">
            <v>https://raw.githubusercontent.com/PokeAPI/sprites/master/sprites/pokemon/other/official-artwork/231.png</v>
          </cell>
          <cell r="U333" t="str">
            <v>https://raw.githubusercontent.com/PokeAPI/sprites/master/sprites/pokemon/other/official-artwork/shiny/231.png</v>
          </cell>
        </row>
        <row r="334">
          <cell r="A334">
            <v>232</v>
          </cell>
          <cell r="C334" t="str">
            <v>Donphan</v>
          </cell>
          <cell r="D334" t="str">
            <v>Standard</v>
          </cell>
          <cell r="E334" t="str">
            <v>ground</v>
          </cell>
          <cell r="G334">
            <v>90</v>
          </cell>
          <cell r="H334">
            <v>120</v>
          </cell>
          <cell r="I334">
            <v>120</v>
          </cell>
          <cell r="J334">
            <v>60</v>
          </cell>
          <cell r="K334">
            <v>60</v>
          </cell>
          <cell r="L334">
            <v>50</v>
          </cell>
          <cell r="M334">
            <v>500</v>
          </cell>
          <cell r="N334" t="str">
            <v>sturdy</v>
          </cell>
          <cell r="P334" t="str">
            <v>sand-veil</v>
          </cell>
          <cell r="Q334">
            <v>1.1000000000000001</v>
          </cell>
          <cell r="R334">
            <v>120</v>
          </cell>
          <cell r="S334" t="str">
            <v>It has sharp, hard tusks and a rugged hide. Its TACKLE is strong enough to knock down a house.</v>
          </cell>
          <cell r="T334" t="str">
            <v>https://raw.githubusercontent.com/PokeAPI/sprites/master/sprites/pokemon/other/official-artwork/232.png</v>
          </cell>
          <cell r="U334" t="str">
            <v>https://raw.githubusercontent.com/PokeAPI/sprites/master/sprites/pokemon/other/official-artwork/shiny/232.png</v>
          </cell>
        </row>
        <row r="335">
          <cell r="A335">
            <v>233</v>
          </cell>
          <cell r="C335" t="str">
            <v>Porygon2</v>
          </cell>
          <cell r="D335" t="str">
            <v>Standard</v>
          </cell>
          <cell r="E335" t="str">
            <v>normal</v>
          </cell>
          <cell r="G335">
            <v>85</v>
          </cell>
          <cell r="H335">
            <v>80</v>
          </cell>
          <cell r="I335">
            <v>90</v>
          </cell>
          <cell r="J335">
            <v>105</v>
          </cell>
          <cell r="K335">
            <v>95</v>
          </cell>
          <cell r="L335">
            <v>60</v>
          </cell>
          <cell r="M335">
            <v>515</v>
          </cell>
          <cell r="N335" t="str">
            <v>trace</v>
          </cell>
          <cell r="O335" t="str">
            <v>download</v>
          </cell>
          <cell r="P335" t="str">
            <v>analytic</v>
          </cell>
          <cell r="Q335">
            <v>0.6</v>
          </cell>
          <cell r="R335">
            <v>32.5</v>
          </cell>
          <cell r="S335" t="str">
            <v>This upgraded version of PORYGON is designed for space exploration. It can't fly, though.</v>
          </cell>
          <cell r="T335" t="str">
            <v>https://raw.githubusercontent.com/PokeAPI/sprites/master/sprites/pokemon/other/official-artwork/233.png</v>
          </cell>
          <cell r="U335" t="str">
            <v>https://raw.githubusercontent.com/PokeAPI/sprites/master/sprites/pokemon/other/official-artwork/shiny/233.png</v>
          </cell>
        </row>
        <row r="336">
          <cell r="A336">
            <v>234</v>
          </cell>
          <cell r="C336" t="str">
            <v>Stantler</v>
          </cell>
          <cell r="D336" t="str">
            <v>Standard</v>
          </cell>
          <cell r="E336" t="str">
            <v>normal</v>
          </cell>
          <cell r="G336">
            <v>73</v>
          </cell>
          <cell r="H336">
            <v>95</v>
          </cell>
          <cell r="I336">
            <v>62</v>
          </cell>
          <cell r="J336">
            <v>85</v>
          </cell>
          <cell r="K336">
            <v>65</v>
          </cell>
          <cell r="L336">
            <v>85</v>
          </cell>
          <cell r="M336">
            <v>465</v>
          </cell>
          <cell r="N336" t="str">
            <v>intimidate</v>
          </cell>
          <cell r="O336" t="str">
            <v>frisk</v>
          </cell>
          <cell r="P336" t="str">
            <v>sap-sipper</v>
          </cell>
          <cell r="Q336">
            <v>1.4</v>
          </cell>
          <cell r="R336">
            <v>71.2</v>
          </cell>
          <cell r="S336" t="str">
            <v>The curved antlers subtly change the flow of air to create a strange space where real­ ity is distorted.</v>
          </cell>
          <cell r="T336" t="str">
            <v>https://raw.githubusercontent.com/PokeAPI/sprites/master/sprites/pokemon/other/official-artwork/234.png</v>
          </cell>
          <cell r="U336" t="str">
            <v>https://raw.githubusercontent.com/PokeAPI/sprites/master/sprites/pokemon/other/official-artwork/shiny/234.png</v>
          </cell>
        </row>
        <row r="337">
          <cell r="A337">
            <v>235</v>
          </cell>
          <cell r="C337" t="str">
            <v>Smeargle</v>
          </cell>
          <cell r="D337" t="str">
            <v>Standard</v>
          </cell>
          <cell r="E337" t="str">
            <v>normal</v>
          </cell>
          <cell r="G337">
            <v>55</v>
          </cell>
          <cell r="H337">
            <v>20</v>
          </cell>
          <cell r="I337">
            <v>35</v>
          </cell>
          <cell r="J337">
            <v>20</v>
          </cell>
          <cell r="K337">
            <v>45</v>
          </cell>
          <cell r="L337">
            <v>75</v>
          </cell>
          <cell r="M337">
            <v>250</v>
          </cell>
          <cell r="N337" t="str">
            <v>own-tempo</v>
          </cell>
          <cell r="O337" t="str">
            <v>technician</v>
          </cell>
          <cell r="P337" t="str">
            <v>moody</v>
          </cell>
          <cell r="Q337">
            <v>1.2</v>
          </cell>
          <cell r="R337">
            <v>58</v>
          </cell>
          <cell r="S337" t="str">
            <v>A special fluid oozes from the tip of its tail. It paints the fluid everywhere to mark its territory.</v>
          </cell>
          <cell r="T337" t="str">
            <v>https://raw.githubusercontent.com/PokeAPI/sprites/master/sprites/pokemon/other/official-artwork/235.png</v>
          </cell>
          <cell r="U337" t="str">
            <v>https://raw.githubusercontent.com/PokeAPI/sprites/master/sprites/pokemon/other/official-artwork/shiny/235.png</v>
          </cell>
        </row>
        <row r="338">
          <cell r="A338">
            <v>236</v>
          </cell>
          <cell r="C338" t="str">
            <v>Tyrogue</v>
          </cell>
          <cell r="D338" t="str">
            <v>Standard</v>
          </cell>
          <cell r="E338" t="str">
            <v>fighting</v>
          </cell>
          <cell r="G338">
            <v>35</v>
          </cell>
          <cell r="H338">
            <v>35</v>
          </cell>
          <cell r="I338">
            <v>35</v>
          </cell>
          <cell r="J338">
            <v>35</v>
          </cell>
          <cell r="K338">
            <v>35</v>
          </cell>
          <cell r="L338">
            <v>35</v>
          </cell>
          <cell r="M338">
            <v>210</v>
          </cell>
          <cell r="N338" t="str">
            <v>guts</v>
          </cell>
          <cell r="O338" t="str">
            <v>steadfast</v>
          </cell>
          <cell r="P338" t="str">
            <v>vital-spirit</v>
          </cell>
          <cell r="Q338">
            <v>0.7</v>
          </cell>
          <cell r="R338">
            <v>21</v>
          </cell>
          <cell r="S338" t="str">
            <v>It is always bursting with en­ ergy. To make it­ self stronger, it keeps on fighting even if it loses.</v>
          </cell>
          <cell r="T338" t="str">
            <v>https://raw.githubusercontent.com/PokeAPI/sprites/master/sprites/pokemon/other/official-artwork/236.png</v>
          </cell>
          <cell r="U338" t="str">
            <v>https://raw.githubusercontent.com/PokeAPI/sprites/master/sprites/pokemon/other/official-artwork/shiny/236.png</v>
          </cell>
        </row>
        <row r="339">
          <cell r="A339">
            <v>237</v>
          </cell>
          <cell r="C339" t="str">
            <v>Hitmontop</v>
          </cell>
          <cell r="D339" t="str">
            <v>Standard</v>
          </cell>
          <cell r="E339" t="str">
            <v>fighting</v>
          </cell>
          <cell r="G339">
            <v>50</v>
          </cell>
          <cell r="H339">
            <v>95</v>
          </cell>
          <cell r="I339">
            <v>95</v>
          </cell>
          <cell r="J339">
            <v>35</v>
          </cell>
          <cell r="K339">
            <v>110</v>
          </cell>
          <cell r="L339">
            <v>70</v>
          </cell>
          <cell r="M339">
            <v>455</v>
          </cell>
          <cell r="N339" t="str">
            <v>intimidate</v>
          </cell>
          <cell r="O339" t="str">
            <v>technician</v>
          </cell>
          <cell r="P339" t="str">
            <v>steadfast</v>
          </cell>
          <cell r="Q339">
            <v>1.4</v>
          </cell>
          <cell r="R339">
            <v>48</v>
          </cell>
          <cell r="S339" t="str">
            <v>If you become enchanted by its smooth, elegant, dance-like kicks, you may get drilled hard.</v>
          </cell>
          <cell r="T339" t="str">
            <v>https://raw.githubusercontent.com/PokeAPI/sprites/master/sprites/pokemon/other/official-artwork/237.png</v>
          </cell>
          <cell r="U339" t="str">
            <v>https://raw.githubusercontent.com/PokeAPI/sprites/master/sprites/pokemon/other/official-artwork/shiny/237.png</v>
          </cell>
        </row>
        <row r="340">
          <cell r="A340">
            <v>238</v>
          </cell>
          <cell r="C340" t="str">
            <v>Smoochum</v>
          </cell>
          <cell r="D340" t="str">
            <v>Standard</v>
          </cell>
          <cell r="E340" t="str">
            <v>ice</v>
          </cell>
          <cell r="F340" t="str">
            <v>psychic</v>
          </cell>
          <cell r="G340">
            <v>45</v>
          </cell>
          <cell r="H340">
            <v>30</v>
          </cell>
          <cell r="I340">
            <v>15</v>
          </cell>
          <cell r="J340">
            <v>85</v>
          </cell>
          <cell r="K340">
            <v>65</v>
          </cell>
          <cell r="L340">
            <v>65</v>
          </cell>
          <cell r="M340">
            <v>305</v>
          </cell>
          <cell r="N340" t="str">
            <v>oblivious</v>
          </cell>
          <cell r="O340" t="str">
            <v>forewarn</v>
          </cell>
          <cell r="P340" t="str">
            <v>hydration</v>
          </cell>
          <cell r="Q340">
            <v>0.4</v>
          </cell>
          <cell r="R340">
            <v>6</v>
          </cell>
          <cell r="S340" t="str">
            <v>Its lips are the most sensitive parts on its body. It always uses its lips first to examine things.</v>
          </cell>
          <cell r="T340" t="str">
            <v>https://raw.githubusercontent.com/PokeAPI/sprites/master/sprites/pokemon/other/official-artwork/238.png</v>
          </cell>
          <cell r="U340" t="str">
            <v>https://raw.githubusercontent.com/PokeAPI/sprites/master/sprites/pokemon/other/official-artwork/shiny/238.png</v>
          </cell>
        </row>
        <row r="341">
          <cell r="A341">
            <v>239</v>
          </cell>
          <cell r="C341" t="str">
            <v>Elekid</v>
          </cell>
          <cell r="D341" t="str">
            <v>Standard</v>
          </cell>
          <cell r="E341" t="str">
            <v>electric</v>
          </cell>
          <cell r="G341">
            <v>45</v>
          </cell>
          <cell r="H341">
            <v>63</v>
          </cell>
          <cell r="I341">
            <v>37</v>
          </cell>
          <cell r="J341">
            <v>65</v>
          </cell>
          <cell r="K341">
            <v>55</v>
          </cell>
          <cell r="L341">
            <v>95</v>
          </cell>
          <cell r="M341">
            <v>360</v>
          </cell>
          <cell r="N341" t="str">
            <v>static</v>
          </cell>
          <cell r="P341" t="str">
            <v>vital-spirit</v>
          </cell>
          <cell r="Q341">
            <v>0.6</v>
          </cell>
          <cell r="R341">
            <v>23.5</v>
          </cell>
          <cell r="S341" t="str">
            <v>It rotates its arms to generate electricity, but it tires easily, so it charges up only a little bit.</v>
          </cell>
          <cell r="T341" t="str">
            <v>https://raw.githubusercontent.com/PokeAPI/sprites/master/sprites/pokemon/other/official-artwork/239.png</v>
          </cell>
          <cell r="U341" t="str">
            <v>https://raw.githubusercontent.com/PokeAPI/sprites/master/sprites/pokemon/other/official-artwork/shiny/239.png</v>
          </cell>
        </row>
        <row r="342">
          <cell r="A342">
            <v>240</v>
          </cell>
          <cell r="C342" t="str">
            <v>Magby</v>
          </cell>
          <cell r="D342" t="str">
            <v>Standard</v>
          </cell>
          <cell r="E342" t="str">
            <v>fire</v>
          </cell>
          <cell r="G342">
            <v>45</v>
          </cell>
          <cell r="H342">
            <v>75</v>
          </cell>
          <cell r="I342">
            <v>37</v>
          </cell>
          <cell r="J342">
            <v>70</v>
          </cell>
          <cell r="K342">
            <v>55</v>
          </cell>
          <cell r="L342">
            <v>83</v>
          </cell>
          <cell r="M342">
            <v>365</v>
          </cell>
          <cell r="N342" t="str">
            <v>flame-body</v>
          </cell>
          <cell r="P342" t="str">
            <v>vital-spirit</v>
          </cell>
          <cell r="Q342">
            <v>0.7</v>
          </cell>
          <cell r="R342">
            <v>21.4</v>
          </cell>
          <cell r="S342" t="str">
            <v>Each and every time it inhales and exhales, hot embers dribble out of its mouth and nostrils.</v>
          </cell>
          <cell r="T342" t="str">
            <v>https://raw.githubusercontent.com/PokeAPI/sprites/master/sprites/pokemon/other/official-artwork/240.png</v>
          </cell>
          <cell r="U342" t="str">
            <v>https://raw.githubusercontent.com/PokeAPI/sprites/master/sprites/pokemon/other/official-artwork/shiny/240.png</v>
          </cell>
        </row>
        <row r="343">
          <cell r="A343">
            <v>241</v>
          </cell>
          <cell r="C343" t="str">
            <v>Miltank</v>
          </cell>
          <cell r="D343" t="str">
            <v>Standard</v>
          </cell>
          <cell r="E343" t="str">
            <v>normal</v>
          </cell>
          <cell r="G343">
            <v>95</v>
          </cell>
          <cell r="H343">
            <v>80</v>
          </cell>
          <cell r="I343">
            <v>105</v>
          </cell>
          <cell r="J343">
            <v>40</v>
          </cell>
          <cell r="K343">
            <v>70</v>
          </cell>
          <cell r="L343">
            <v>100</v>
          </cell>
          <cell r="M343">
            <v>490</v>
          </cell>
          <cell r="N343" t="str">
            <v>thick-fat</v>
          </cell>
          <cell r="O343" t="str">
            <v>scrappy</v>
          </cell>
          <cell r="P343" t="str">
            <v>sap-sipper</v>
          </cell>
          <cell r="Q343">
            <v>1.2</v>
          </cell>
          <cell r="R343">
            <v>75.5</v>
          </cell>
          <cell r="S343" t="str">
            <v>Its milk is packed with nutrition, making it the ultimate beverage for the sick or weary.</v>
          </cell>
          <cell r="T343" t="str">
            <v>https://raw.githubusercontent.com/PokeAPI/sprites/master/sprites/pokemon/other/official-artwork/241.png</v>
          </cell>
          <cell r="U343" t="str">
            <v>https://raw.githubusercontent.com/PokeAPI/sprites/master/sprites/pokemon/other/official-artwork/shiny/241.png</v>
          </cell>
        </row>
        <row r="344">
          <cell r="A344">
            <v>242</v>
          </cell>
          <cell r="C344" t="str">
            <v>Blissey</v>
          </cell>
          <cell r="D344" t="str">
            <v>Standard</v>
          </cell>
          <cell r="E344" t="str">
            <v>normal</v>
          </cell>
          <cell r="G344">
            <v>255</v>
          </cell>
          <cell r="H344">
            <v>10</v>
          </cell>
          <cell r="I344">
            <v>10</v>
          </cell>
          <cell r="J344">
            <v>75</v>
          </cell>
          <cell r="K344">
            <v>135</v>
          </cell>
          <cell r="L344">
            <v>55</v>
          </cell>
          <cell r="M344">
            <v>540</v>
          </cell>
          <cell r="N344" t="str">
            <v>natural-cure</v>
          </cell>
          <cell r="O344" t="str">
            <v>serene-grace</v>
          </cell>
          <cell r="P344" t="str">
            <v>healer</v>
          </cell>
          <cell r="Q344">
            <v>1.5</v>
          </cell>
          <cell r="R344">
            <v>46.8</v>
          </cell>
          <cell r="S344" t="str">
            <v>Anyone who takes even one bite of BLISSEY's egg be­ comes unfailingly caring and pleas­ ant to everyone.</v>
          </cell>
          <cell r="T344" t="str">
            <v>https://raw.githubusercontent.com/PokeAPI/sprites/master/sprites/pokemon/other/official-artwork/242.png</v>
          </cell>
          <cell r="U344" t="str">
            <v>https://raw.githubusercontent.com/PokeAPI/sprites/master/sprites/pokemon/other/official-artwork/shiny/242.png</v>
          </cell>
        </row>
        <row r="345">
          <cell r="A345">
            <v>243</v>
          </cell>
          <cell r="C345" t="str">
            <v>Raikou</v>
          </cell>
          <cell r="D345" t="str">
            <v>Standard</v>
          </cell>
          <cell r="E345" t="str">
            <v>electric</v>
          </cell>
          <cell r="G345">
            <v>90</v>
          </cell>
          <cell r="H345">
            <v>85</v>
          </cell>
          <cell r="I345">
            <v>75</v>
          </cell>
          <cell r="J345">
            <v>115</v>
          </cell>
          <cell r="K345">
            <v>100</v>
          </cell>
          <cell r="L345">
            <v>115</v>
          </cell>
          <cell r="M345">
            <v>580</v>
          </cell>
          <cell r="N345" t="str">
            <v>pressure</v>
          </cell>
          <cell r="P345" t="str">
            <v>inner-focus</v>
          </cell>
          <cell r="Q345">
            <v>1.9</v>
          </cell>
          <cell r="R345">
            <v>178</v>
          </cell>
          <cell r="S345" t="str">
            <v>The rain clouds it carries let it fire thunderbolts at will. They say that it descended with lightning.</v>
          </cell>
          <cell r="T345" t="str">
            <v>https://raw.githubusercontent.com/PokeAPI/sprites/master/sprites/pokemon/other/official-artwork/243.png</v>
          </cell>
          <cell r="U345" t="str">
            <v>https://raw.githubusercontent.com/PokeAPI/sprites/master/sprites/pokemon/other/official-artwork/shiny/243.png</v>
          </cell>
        </row>
        <row r="346">
          <cell r="A346">
            <v>244</v>
          </cell>
          <cell r="C346" t="str">
            <v>Entei</v>
          </cell>
          <cell r="D346" t="str">
            <v>Standard</v>
          </cell>
          <cell r="E346" t="str">
            <v>fire</v>
          </cell>
          <cell r="G346">
            <v>115</v>
          </cell>
          <cell r="H346">
            <v>115</v>
          </cell>
          <cell r="I346">
            <v>85</v>
          </cell>
          <cell r="J346">
            <v>90</v>
          </cell>
          <cell r="K346">
            <v>75</v>
          </cell>
          <cell r="L346">
            <v>100</v>
          </cell>
          <cell r="M346">
            <v>580</v>
          </cell>
          <cell r="N346" t="str">
            <v>pressure</v>
          </cell>
          <cell r="P346" t="str">
            <v>inner-focus</v>
          </cell>
          <cell r="Q346">
            <v>2.1</v>
          </cell>
          <cell r="R346">
            <v>198</v>
          </cell>
          <cell r="S346" t="str">
            <v>Volcanoes erupt when it barks. Un­ able to restrain its extreme power, it races headlong around the land.</v>
          </cell>
          <cell r="T346" t="str">
            <v>https://raw.githubusercontent.com/PokeAPI/sprites/master/sprites/pokemon/other/official-artwork/244.png</v>
          </cell>
          <cell r="U346" t="str">
            <v>https://raw.githubusercontent.com/PokeAPI/sprites/master/sprites/pokemon/other/official-artwork/shiny/244.png</v>
          </cell>
        </row>
        <row r="347">
          <cell r="A347">
            <v>245</v>
          </cell>
          <cell r="C347" t="str">
            <v>Suicune</v>
          </cell>
          <cell r="D347" t="str">
            <v>Standard</v>
          </cell>
          <cell r="E347" t="str">
            <v>water</v>
          </cell>
          <cell r="G347">
            <v>100</v>
          </cell>
          <cell r="H347">
            <v>75</v>
          </cell>
          <cell r="I347">
            <v>115</v>
          </cell>
          <cell r="J347">
            <v>90</v>
          </cell>
          <cell r="K347">
            <v>115</v>
          </cell>
          <cell r="L347">
            <v>85</v>
          </cell>
          <cell r="M347">
            <v>580</v>
          </cell>
          <cell r="N347" t="str">
            <v>pressure</v>
          </cell>
          <cell r="P347" t="str">
            <v>inner-focus</v>
          </cell>
          <cell r="Q347">
            <v>2</v>
          </cell>
          <cell r="R347">
            <v>187</v>
          </cell>
          <cell r="S347" t="str">
            <v>It races around the world to purify fouled water. It dashes away with the north wind.</v>
          </cell>
          <cell r="T347" t="str">
            <v>https://raw.githubusercontent.com/PokeAPI/sprites/master/sprites/pokemon/other/official-artwork/245.png</v>
          </cell>
          <cell r="U347" t="str">
            <v>https://raw.githubusercontent.com/PokeAPI/sprites/master/sprites/pokemon/other/official-artwork/shiny/245.png</v>
          </cell>
        </row>
        <row r="348">
          <cell r="A348">
            <v>246</v>
          </cell>
          <cell r="C348" t="str">
            <v>Larvitar</v>
          </cell>
          <cell r="D348" t="str">
            <v>Standard</v>
          </cell>
          <cell r="E348" t="str">
            <v>rock</v>
          </cell>
          <cell r="F348" t="str">
            <v>ground</v>
          </cell>
          <cell r="G348">
            <v>50</v>
          </cell>
          <cell r="H348">
            <v>64</v>
          </cell>
          <cell r="I348">
            <v>50</v>
          </cell>
          <cell r="J348">
            <v>45</v>
          </cell>
          <cell r="K348">
            <v>50</v>
          </cell>
          <cell r="L348">
            <v>41</v>
          </cell>
          <cell r="M348">
            <v>300</v>
          </cell>
          <cell r="N348" t="str">
            <v>guts</v>
          </cell>
          <cell r="P348" t="str">
            <v>sand-veil</v>
          </cell>
          <cell r="Q348">
            <v>0.6</v>
          </cell>
          <cell r="R348">
            <v>72</v>
          </cell>
          <cell r="S348" t="str">
            <v>It feeds on soil. After it has eaten a large mountain, it will fall asleep so it can grow.</v>
          </cell>
          <cell r="T348" t="str">
            <v>https://raw.githubusercontent.com/PokeAPI/sprites/master/sprites/pokemon/other/official-artwork/246.png</v>
          </cell>
          <cell r="U348" t="str">
            <v>https://raw.githubusercontent.com/PokeAPI/sprites/master/sprites/pokemon/other/official-artwork/shiny/246.png</v>
          </cell>
        </row>
        <row r="349">
          <cell r="A349">
            <v>247</v>
          </cell>
          <cell r="C349" t="str">
            <v>Pupitar</v>
          </cell>
          <cell r="D349" t="str">
            <v>Standard</v>
          </cell>
          <cell r="E349" t="str">
            <v>rock</v>
          </cell>
          <cell r="F349" t="str">
            <v>ground</v>
          </cell>
          <cell r="G349">
            <v>70</v>
          </cell>
          <cell r="H349">
            <v>84</v>
          </cell>
          <cell r="I349">
            <v>70</v>
          </cell>
          <cell r="J349">
            <v>65</v>
          </cell>
          <cell r="K349">
            <v>70</v>
          </cell>
          <cell r="L349">
            <v>51</v>
          </cell>
          <cell r="M349">
            <v>410</v>
          </cell>
          <cell r="N349" t="str">
            <v>shed-skin</v>
          </cell>
          <cell r="Q349">
            <v>1.2</v>
          </cell>
          <cell r="R349">
            <v>152</v>
          </cell>
          <cell r="S349" t="str">
            <v>Its shell is as hard as sheet rock, and it is also very strong. Its THRASHING can topple a mountain.</v>
          </cell>
          <cell r="T349" t="str">
            <v>https://raw.githubusercontent.com/PokeAPI/sprites/master/sprites/pokemon/other/official-artwork/247.png</v>
          </cell>
          <cell r="U349" t="str">
            <v>https://raw.githubusercontent.com/PokeAPI/sprites/master/sprites/pokemon/other/official-artwork/shiny/247.png</v>
          </cell>
        </row>
        <row r="350">
          <cell r="A350">
            <v>248</v>
          </cell>
          <cell r="C350" t="str">
            <v>Tyranitar</v>
          </cell>
          <cell r="D350" t="str">
            <v>Standard</v>
          </cell>
          <cell r="E350" t="str">
            <v>rock</v>
          </cell>
          <cell r="F350" t="str">
            <v>dark</v>
          </cell>
          <cell r="G350">
            <v>100</v>
          </cell>
          <cell r="H350">
            <v>134</v>
          </cell>
          <cell r="I350">
            <v>110</v>
          </cell>
          <cell r="J350">
            <v>95</v>
          </cell>
          <cell r="K350">
            <v>100</v>
          </cell>
          <cell r="L350">
            <v>61</v>
          </cell>
          <cell r="M350">
            <v>600</v>
          </cell>
          <cell r="N350" t="str">
            <v>sand-stream</v>
          </cell>
          <cell r="P350" t="str">
            <v>unnerve</v>
          </cell>
          <cell r="Q350">
            <v>2</v>
          </cell>
          <cell r="R350">
            <v>202</v>
          </cell>
          <cell r="S350" t="str">
            <v>Its body can't be harmed by any sort of attack, so it is very eager to make challenges against enemies.</v>
          </cell>
          <cell r="T350" t="str">
            <v>https://raw.githubusercontent.com/PokeAPI/sprites/master/sprites/pokemon/other/official-artwork/248.png</v>
          </cell>
          <cell r="U350" t="str">
            <v>https://raw.githubusercontent.com/PokeAPI/sprites/master/sprites/pokemon/other/official-artwork/shiny/248.png</v>
          </cell>
        </row>
        <row r="351">
          <cell r="A351">
            <v>248</v>
          </cell>
          <cell r="C351" t="str">
            <v>Tyranitar Mega</v>
          </cell>
          <cell r="D351" t="str">
            <v>Mega</v>
          </cell>
          <cell r="E351" t="str">
            <v>rock</v>
          </cell>
          <cell r="F351" t="str">
            <v>dark</v>
          </cell>
          <cell r="G351">
            <v>100</v>
          </cell>
          <cell r="H351">
            <v>164</v>
          </cell>
          <cell r="I351">
            <v>150</v>
          </cell>
          <cell r="J351">
            <v>95</v>
          </cell>
          <cell r="K351">
            <v>120</v>
          </cell>
          <cell r="L351">
            <v>71</v>
          </cell>
          <cell r="M351">
            <v>700</v>
          </cell>
          <cell r="N351" t="str">
            <v>sand-stream</v>
          </cell>
          <cell r="Q351">
            <v>2.5</v>
          </cell>
          <cell r="R351">
            <v>255</v>
          </cell>
          <cell r="S351" t="str">
            <v>Its body can't be harmed by any sort of attack, so it is very eager to make challenges against enemies.</v>
          </cell>
          <cell r="T351" t="str">
            <v>https://raw.githubusercontent.com/PokeAPI/sprites/master/sprites/pokemon/other/official-artwork/10049.png</v>
          </cell>
          <cell r="U351" t="str">
            <v>https://raw.githubusercontent.com/PokeAPI/sprites/master/sprites/pokemon/other/official-artwork/shiny/10049.png</v>
          </cell>
        </row>
        <row r="352">
          <cell r="A352">
            <v>249</v>
          </cell>
          <cell r="C352" t="str">
            <v>Lugia</v>
          </cell>
          <cell r="D352" t="str">
            <v>Standard</v>
          </cell>
          <cell r="E352" t="str">
            <v>psychic</v>
          </cell>
          <cell r="F352" t="str">
            <v>flying</v>
          </cell>
          <cell r="G352">
            <v>106</v>
          </cell>
          <cell r="H352">
            <v>90</v>
          </cell>
          <cell r="I352">
            <v>130</v>
          </cell>
          <cell r="J352">
            <v>90</v>
          </cell>
          <cell r="K352">
            <v>154</v>
          </cell>
          <cell r="L352">
            <v>110</v>
          </cell>
          <cell r="M352">
            <v>680</v>
          </cell>
          <cell r="N352" t="str">
            <v>pressure</v>
          </cell>
          <cell r="P352" t="str">
            <v>multiscale</v>
          </cell>
          <cell r="Q352">
            <v>5.2</v>
          </cell>
          <cell r="R352">
            <v>216</v>
          </cell>
          <cell r="S352" t="str">
            <v>It is said that it quietly spends its time deep at the bottom of the sea because its powers are too strong.</v>
          </cell>
          <cell r="T352" t="str">
            <v>https://raw.githubusercontent.com/PokeAPI/sprites/master/sprites/pokemon/other/official-artwork/249.png</v>
          </cell>
          <cell r="U352" t="str">
            <v>https://raw.githubusercontent.com/PokeAPI/sprites/master/sprites/pokemon/other/official-artwork/shiny/249.png</v>
          </cell>
        </row>
        <row r="353">
          <cell r="A353">
            <v>250</v>
          </cell>
          <cell r="C353" t="str">
            <v>Ho Oh</v>
          </cell>
          <cell r="D353" t="str">
            <v>Other</v>
          </cell>
          <cell r="E353" t="str">
            <v>fire</v>
          </cell>
          <cell r="F353" t="str">
            <v>flying</v>
          </cell>
          <cell r="G353">
            <v>106</v>
          </cell>
          <cell r="H353">
            <v>130</v>
          </cell>
          <cell r="I353">
            <v>90</v>
          </cell>
          <cell r="J353">
            <v>110</v>
          </cell>
          <cell r="K353">
            <v>154</v>
          </cell>
          <cell r="L353">
            <v>90</v>
          </cell>
          <cell r="M353">
            <v>680</v>
          </cell>
          <cell r="N353" t="str">
            <v>pressure</v>
          </cell>
          <cell r="P353" t="str">
            <v>regenerator</v>
          </cell>
          <cell r="Q353">
            <v>3.8</v>
          </cell>
          <cell r="R353">
            <v>199</v>
          </cell>
          <cell r="S353" t="str">
            <v>Legends claim this POKéMON flies the world's skies con­ tinuously on its magnificent seven- colored wings.</v>
          </cell>
          <cell r="T353" t="str">
            <v>https://raw.githubusercontent.com/PokeAPI/sprites/master/sprites/pokemon/other/official-artwork/250.png</v>
          </cell>
          <cell r="U353" t="str">
            <v>https://raw.githubusercontent.com/PokeAPI/sprites/master/sprites/pokemon/other/official-artwork/shiny/250.png</v>
          </cell>
        </row>
        <row r="354">
          <cell r="A354">
            <v>251</v>
          </cell>
          <cell r="C354" t="str">
            <v>Celebi</v>
          </cell>
          <cell r="D354" t="str">
            <v>Standard</v>
          </cell>
          <cell r="E354" t="str">
            <v>psychic</v>
          </cell>
          <cell r="F354" t="str">
            <v>grass</v>
          </cell>
          <cell r="G354">
            <v>100</v>
          </cell>
          <cell r="H354">
            <v>100</v>
          </cell>
          <cell r="I354">
            <v>100</v>
          </cell>
          <cell r="J354">
            <v>100</v>
          </cell>
          <cell r="K354">
            <v>100</v>
          </cell>
          <cell r="L354">
            <v>100</v>
          </cell>
          <cell r="M354">
            <v>600</v>
          </cell>
          <cell r="N354" t="str">
            <v>natural-cure</v>
          </cell>
          <cell r="Q354">
            <v>0.6</v>
          </cell>
          <cell r="R354">
            <v>5</v>
          </cell>
          <cell r="S354" t="str">
            <v>This POKéMON wan­ ders across time. Grass and trees flourish in the forests in which it has appeared.</v>
          </cell>
          <cell r="T354" t="str">
            <v>https://raw.githubusercontent.com/PokeAPI/sprites/master/sprites/pokemon/other/official-artwork/251.png</v>
          </cell>
          <cell r="U354" t="str">
            <v>https://raw.githubusercontent.com/PokeAPI/sprites/master/sprites/pokemon/other/official-artwork/shiny/251.png</v>
          </cell>
        </row>
        <row r="355">
          <cell r="A355">
            <v>252</v>
          </cell>
          <cell r="C355" t="str">
            <v>Treecko</v>
          </cell>
          <cell r="D355" t="str">
            <v>Standard</v>
          </cell>
          <cell r="E355" t="str">
            <v>grass</v>
          </cell>
          <cell r="G355">
            <v>40</v>
          </cell>
          <cell r="H355">
            <v>45</v>
          </cell>
          <cell r="I355">
            <v>35</v>
          </cell>
          <cell r="J355">
            <v>65</v>
          </cell>
          <cell r="K355">
            <v>55</v>
          </cell>
          <cell r="L355">
            <v>70</v>
          </cell>
          <cell r="M355">
            <v>310</v>
          </cell>
          <cell r="N355" t="str">
            <v>overgrow</v>
          </cell>
          <cell r="P355" t="str">
            <v>unburden</v>
          </cell>
          <cell r="Q355">
            <v>0.5</v>
          </cell>
          <cell r="R355">
            <v>5</v>
          </cell>
          <cell r="S355" t="str">
            <v>TREECKO has small hooks on the bottom of its feet that enable it to scale vertical walls. This POKéMON attacks by slamming foes with its thick tail.</v>
          </cell>
          <cell r="T355" t="str">
            <v>https://raw.githubusercontent.com/PokeAPI/sprites/master/sprites/pokemon/other/official-artwork/252.png</v>
          </cell>
          <cell r="U355" t="str">
            <v>https://raw.githubusercontent.com/PokeAPI/sprites/master/sprites/pokemon/other/official-artwork/shiny/252.png</v>
          </cell>
        </row>
        <row r="356">
          <cell r="A356">
            <v>253</v>
          </cell>
          <cell r="C356" t="str">
            <v>Grovyle</v>
          </cell>
          <cell r="D356" t="str">
            <v>Standard</v>
          </cell>
          <cell r="E356" t="str">
            <v>grass</v>
          </cell>
          <cell r="G356">
            <v>50</v>
          </cell>
          <cell r="H356">
            <v>65</v>
          </cell>
          <cell r="I356">
            <v>45</v>
          </cell>
          <cell r="J356">
            <v>85</v>
          </cell>
          <cell r="K356">
            <v>65</v>
          </cell>
          <cell r="L356">
            <v>95</v>
          </cell>
          <cell r="M356">
            <v>405</v>
          </cell>
          <cell r="N356" t="str">
            <v>overgrow</v>
          </cell>
          <cell r="P356" t="str">
            <v>unburden</v>
          </cell>
          <cell r="Q356">
            <v>0.9</v>
          </cell>
          <cell r="R356">
            <v>21.6</v>
          </cell>
          <cell r="S356" t="str">
            <v>The leaves growing out of GROVYLE’s body are convenient for camouflaging it from enemies in the forest. This POKéMON is a master at climbing trees in jungles.</v>
          </cell>
          <cell r="T356" t="str">
            <v>https://raw.githubusercontent.com/PokeAPI/sprites/master/sprites/pokemon/other/official-artwork/253.png</v>
          </cell>
          <cell r="U356" t="str">
            <v>https://raw.githubusercontent.com/PokeAPI/sprites/master/sprites/pokemon/other/official-artwork/shiny/253.png</v>
          </cell>
        </row>
        <row r="357">
          <cell r="A357">
            <v>254</v>
          </cell>
          <cell r="C357" t="str">
            <v>Sceptile</v>
          </cell>
          <cell r="D357" t="str">
            <v>Standard</v>
          </cell>
          <cell r="E357" t="str">
            <v>grass</v>
          </cell>
          <cell r="G357">
            <v>70</v>
          </cell>
          <cell r="H357">
            <v>85</v>
          </cell>
          <cell r="I357">
            <v>65</v>
          </cell>
          <cell r="J357">
            <v>105</v>
          </cell>
          <cell r="K357">
            <v>85</v>
          </cell>
          <cell r="L357">
            <v>120</v>
          </cell>
          <cell r="M357">
            <v>530</v>
          </cell>
          <cell r="N357" t="str">
            <v>overgrow</v>
          </cell>
          <cell r="P357" t="str">
            <v>unburden</v>
          </cell>
          <cell r="Q357">
            <v>1.7</v>
          </cell>
          <cell r="R357">
            <v>52.2</v>
          </cell>
          <cell r="S357" t="str">
            <v>The leaves growing on SCEPTILE’s body are very sharp edged. This POKéMON is very agile - it leaps all over the branches of trees and jumps on its foe from above or behind.</v>
          </cell>
          <cell r="T357" t="str">
            <v>https://raw.githubusercontent.com/PokeAPI/sprites/master/sprites/pokemon/other/official-artwork/254.png</v>
          </cell>
          <cell r="U357" t="str">
            <v>https://raw.githubusercontent.com/PokeAPI/sprites/master/sprites/pokemon/other/official-artwork/shiny/254.png</v>
          </cell>
        </row>
        <row r="358">
          <cell r="A358">
            <v>254</v>
          </cell>
          <cell r="C358" t="str">
            <v>Sceptile Mega</v>
          </cell>
          <cell r="D358" t="str">
            <v>Mega</v>
          </cell>
          <cell r="E358" t="str">
            <v>grass</v>
          </cell>
          <cell r="F358" t="str">
            <v>dragon</v>
          </cell>
          <cell r="G358">
            <v>70</v>
          </cell>
          <cell r="H358">
            <v>110</v>
          </cell>
          <cell r="I358">
            <v>75</v>
          </cell>
          <cell r="J358">
            <v>145</v>
          </cell>
          <cell r="K358">
            <v>85</v>
          </cell>
          <cell r="L358">
            <v>145</v>
          </cell>
          <cell r="M358">
            <v>630</v>
          </cell>
          <cell r="N358" t="str">
            <v>lightning-rod</v>
          </cell>
          <cell r="Q358">
            <v>1.9</v>
          </cell>
          <cell r="R358">
            <v>55.2</v>
          </cell>
          <cell r="S358" t="str">
            <v>The leaves growing on SCEPTILE’s body are very sharp edged. This POKéMON is very agile - it leaps all over the branches of trees and jumps on its foe from above or behind.</v>
          </cell>
          <cell r="T358" t="str">
            <v>https://raw.githubusercontent.com/PokeAPI/sprites/master/sprites/pokemon/other/official-artwork/10065.png</v>
          </cell>
          <cell r="U358" t="str">
            <v>https://raw.githubusercontent.com/PokeAPI/sprites/master/sprites/pokemon/other/official-artwork/shiny/10065.png</v>
          </cell>
        </row>
        <row r="359">
          <cell r="A359">
            <v>255</v>
          </cell>
          <cell r="C359" t="str">
            <v>Torchic</v>
          </cell>
          <cell r="D359" t="str">
            <v>Standard</v>
          </cell>
          <cell r="E359" t="str">
            <v>fire</v>
          </cell>
          <cell r="G359">
            <v>45</v>
          </cell>
          <cell r="H359">
            <v>60</v>
          </cell>
          <cell r="I359">
            <v>40</v>
          </cell>
          <cell r="J359">
            <v>70</v>
          </cell>
          <cell r="K359">
            <v>50</v>
          </cell>
          <cell r="L359">
            <v>45</v>
          </cell>
          <cell r="M359">
            <v>310</v>
          </cell>
          <cell r="N359" t="str">
            <v>blaze</v>
          </cell>
          <cell r="P359" t="str">
            <v>speed-boost</v>
          </cell>
          <cell r="Q359">
            <v>0.4</v>
          </cell>
          <cell r="R359">
            <v>2.5</v>
          </cell>
          <cell r="S359" t="str">
            <v>TORCHIC sticks with its TRAINER, following behind with unsteady steps. This POKéMON breathes fire of over 1,800 degrees F, including fireballs that leave the foe scorched black.</v>
          </cell>
          <cell r="T359" t="str">
            <v>https://raw.githubusercontent.com/PokeAPI/sprites/master/sprites/pokemon/other/official-artwork/255.png</v>
          </cell>
          <cell r="U359" t="str">
            <v>https://raw.githubusercontent.com/PokeAPI/sprites/master/sprites/pokemon/other/official-artwork/shiny/255.png</v>
          </cell>
        </row>
        <row r="360">
          <cell r="A360">
            <v>256</v>
          </cell>
          <cell r="C360" t="str">
            <v>Combusken</v>
          </cell>
          <cell r="D360" t="str">
            <v>Standard</v>
          </cell>
          <cell r="E360" t="str">
            <v>fire</v>
          </cell>
          <cell r="F360" t="str">
            <v>fighting</v>
          </cell>
          <cell r="G360">
            <v>60</v>
          </cell>
          <cell r="H360">
            <v>85</v>
          </cell>
          <cell r="I360">
            <v>60</v>
          </cell>
          <cell r="J360">
            <v>85</v>
          </cell>
          <cell r="K360">
            <v>60</v>
          </cell>
          <cell r="L360">
            <v>55</v>
          </cell>
          <cell r="M360">
            <v>405</v>
          </cell>
          <cell r="N360" t="str">
            <v>blaze</v>
          </cell>
          <cell r="P360" t="str">
            <v>speed-boost</v>
          </cell>
          <cell r="Q360">
            <v>0.9</v>
          </cell>
          <cell r="R360">
            <v>19.5</v>
          </cell>
          <cell r="S360" t="str">
            <v>COMBUSKEN toughens up its legs and thighs by running through fields and mountains. This POKéMON’s legs possess both speed and power, enabling it to dole out ten kicks in one second.</v>
          </cell>
          <cell r="T360" t="str">
            <v>https://raw.githubusercontent.com/PokeAPI/sprites/master/sprites/pokemon/other/official-artwork/256.png</v>
          </cell>
          <cell r="U360" t="str">
            <v>https://raw.githubusercontent.com/PokeAPI/sprites/master/sprites/pokemon/other/official-artwork/shiny/256.png</v>
          </cell>
        </row>
        <row r="361">
          <cell r="A361">
            <v>257</v>
          </cell>
          <cell r="C361" t="str">
            <v>Blaziken</v>
          </cell>
          <cell r="D361" t="str">
            <v>Standard</v>
          </cell>
          <cell r="E361" t="str">
            <v>fire</v>
          </cell>
          <cell r="F361" t="str">
            <v>fighting</v>
          </cell>
          <cell r="G361">
            <v>80</v>
          </cell>
          <cell r="H361">
            <v>120</v>
          </cell>
          <cell r="I361">
            <v>70</v>
          </cell>
          <cell r="J361">
            <v>110</v>
          </cell>
          <cell r="K361">
            <v>70</v>
          </cell>
          <cell r="L361">
            <v>80</v>
          </cell>
          <cell r="M361">
            <v>530</v>
          </cell>
          <cell r="N361" t="str">
            <v>blaze</v>
          </cell>
          <cell r="P361" t="str">
            <v>speed-boost</v>
          </cell>
          <cell r="Q361">
            <v>1.9</v>
          </cell>
          <cell r="R361">
            <v>52</v>
          </cell>
          <cell r="S361" t="str">
            <v>In battle, BLAZIKEN blows out intense flames from its wrists and attacks foes courageously. The stronger the foe, the more intensely this POKéMON’s wrists burn.</v>
          </cell>
          <cell r="T361" t="str">
            <v>https://raw.githubusercontent.com/PokeAPI/sprites/master/sprites/pokemon/other/official-artwork/257.png</v>
          </cell>
          <cell r="U361" t="str">
            <v>https://raw.githubusercontent.com/PokeAPI/sprites/master/sprites/pokemon/other/official-artwork/shiny/257.png</v>
          </cell>
        </row>
        <row r="362">
          <cell r="A362">
            <v>257</v>
          </cell>
          <cell r="C362" t="str">
            <v>Blaziken Mega</v>
          </cell>
          <cell r="D362" t="str">
            <v>Mega</v>
          </cell>
          <cell r="E362" t="str">
            <v>fire</v>
          </cell>
          <cell r="F362" t="str">
            <v>fighting</v>
          </cell>
          <cell r="G362">
            <v>80</v>
          </cell>
          <cell r="H362">
            <v>160</v>
          </cell>
          <cell r="I362">
            <v>80</v>
          </cell>
          <cell r="J362">
            <v>130</v>
          </cell>
          <cell r="K362">
            <v>80</v>
          </cell>
          <cell r="L362">
            <v>100</v>
          </cell>
          <cell r="M362">
            <v>630</v>
          </cell>
          <cell r="N362" t="str">
            <v>speed-boost</v>
          </cell>
          <cell r="Q362">
            <v>1.9</v>
          </cell>
          <cell r="R362">
            <v>52</v>
          </cell>
          <cell r="S362" t="str">
            <v>In battle, BLAZIKEN blows out intense flames from its wrists and attacks foes courageously. The stronger the foe, the more intensely this POKéMON’s wrists burn.</v>
          </cell>
          <cell r="T362" t="str">
            <v>https://raw.githubusercontent.com/PokeAPI/sprites/master/sprites/pokemon/other/official-artwork/10050.png</v>
          </cell>
          <cell r="U362" t="str">
            <v>https://raw.githubusercontent.com/PokeAPI/sprites/master/sprites/pokemon/other/official-artwork/shiny/10050.png</v>
          </cell>
        </row>
        <row r="363">
          <cell r="A363">
            <v>258</v>
          </cell>
          <cell r="C363" t="str">
            <v>Mudkip</v>
          </cell>
          <cell r="D363" t="str">
            <v>Standard</v>
          </cell>
          <cell r="E363" t="str">
            <v>water</v>
          </cell>
          <cell r="G363">
            <v>50</v>
          </cell>
          <cell r="H363">
            <v>70</v>
          </cell>
          <cell r="I363">
            <v>50</v>
          </cell>
          <cell r="J363">
            <v>50</v>
          </cell>
          <cell r="K363">
            <v>50</v>
          </cell>
          <cell r="L363">
            <v>40</v>
          </cell>
          <cell r="M363">
            <v>310</v>
          </cell>
          <cell r="N363" t="str">
            <v>torrent</v>
          </cell>
          <cell r="P363" t="str">
            <v>damp</v>
          </cell>
          <cell r="Q363">
            <v>0.4</v>
          </cell>
          <cell r="R363">
            <v>7.6</v>
          </cell>
          <cell r="S363" t="str">
            <v>The fin on MUDKIP’s head acts as highly sensitive radar. Using this fin to sense movements of water and air, this POKéMON can determine what is taking place around it without using its eyes.</v>
          </cell>
          <cell r="T363" t="str">
            <v>https://raw.githubusercontent.com/PokeAPI/sprites/master/sprites/pokemon/other/official-artwork/258.png</v>
          </cell>
          <cell r="U363" t="str">
            <v>https://raw.githubusercontent.com/PokeAPI/sprites/master/sprites/pokemon/other/official-artwork/shiny/258.png</v>
          </cell>
        </row>
        <row r="364">
          <cell r="A364">
            <v>259</v>
          </cell>
          <cell r="C364" t="str">
            <v>Marshtomp</v>
          </cell>
          <cell r="D364" t="str">
            <v>Standard</v>
          </cell>
          <cell r="E364" t="str">
            <v>water</v>
          </cell>
          <cell r="F364" t="str">
            <v>ground</v>
          </cell>
          <cell r="G364">
            <v>70</v>
          </cell>
          <cell r="H364">
            <v>85</v>
          </cell>
          <cell r="I364">
            <v>70</v>
          </cell>
          <cell r="J364">
            <v>60</v>
          </cell>
          <cell r="K364">
            <v>70</v>
          </cell>
          <cell r="L364">
            <v>50</v>
          </cell>
          <cell r="M364">
            <v>405</v>
          </cell>
          <cell r="N364" t="str">
            <v>torrent</v>
          </cell>
          <cell r="P364" t="str">
            <v>damp</v>
          </cell>
          <cell r="Q364">
            <v>0.7</v>
          </cell>
          <cell r="R364">
            <v>28</v>
          </cell>
          <cell r="S364" t="str">
            <v>The surface of MARSHTOMP’s body is enveloped by a thin, sticky film that enables it to live on land. This POKéMON plays in mud on beaches when the ocean tide is low.</v>
          </cell>
          <cell r="T364" t="str">
            <v>https://raw.githubusercontent.com/PokeAPI/sprites/master/sprites/pokemon/other/official-artwork/259.png</v>
          </cell>
          <cell r="U364" t="str">
            <v>https://raw.githubusercontent.com/PokeAPI/sprites/master/sprites/pokemon/other/official-artwork/shiny/259.png</v>
          </cell>
        </row>
        <row r="365">
          <cell r="A365">
            <v>260</v>
          </cell>
          <cell r="C365" t="str">
            <v>Swampert</v>
          </cell>
          <cell r="D365" t="str">
            <v>Standard</v>
          </cell>
          <cell r="E365" t="str">
            <v>water</v>
          </cell>
          <cell r="F365" t="str">
            <v>ground</v>
          </cell>
          <cell r="G365">
            <v>100</v>
          </cell>
          <cell r="H365">
            <v>110</v>
          </cell>
          <cell r="I365">
            <v>90</v>
          </cell>
          <cell r="J365">
            <v>85</v>
          </cell>
          <cell r="K365">
            <v>90</v>
          </cell>
          <cell r="L365">
            <v>60</v>
          </cell>
          <cell r="M365">
            <v>535</v>
          </cell>
          <cell r="N365" t="str">
            <v>torrent</v>
          </cell>
          <cell r="P365" t="str">
            <v>damp</v>
          </cell>
          <cell r="Q365">
            <v>1.5</v>
          </cell>
          <cell r="R365">
            <v>81.900000000000006</v>
          </cell>
          <cell r="S365" t="str">
            <v>SWAMPERT is very strong. It has enough power to easily drag a boulder weighing more than a ton. This POKéMON also has powerful vision that lets it see even in murky water.</v>
          </cell>
          <cell r="T365" t="str">
            <v>https://raw.githubusercontent.com/PokeAPI/sprites/master/sprites/pokemon/other/official-artwork/260.png</v>
          </cell>
          <cell r="U365" t="str">
            <v>https://raw.githubusercontent.com/PokeAPI/sprites/master/sprites/pokemon/other/official-artwork/shiny/260.png</v>
          </cell>
        </row>
        <row r="366">
          <cell r="A366">
            <v>260</v>
          </cell>
          <cell r="C366" t="str">
            <v>Swampert Mega</v>
          </cell>
          <cell r="D366" t="str">
            <v>Mega</v>
          </cell>
          <cell r="E366" t="str">
            <v>water</v>
          </cell>
          <cell r="F366" t="str">
            <v>ground</v>
          </cell>
          <cell r="G366">
            <v>100</v>
          </cell>
          <cell r="H366">
            <v>150</v>
          </cell>
          <cell r="I366">
            <v>110</v>
          </cell>
          <cell r="J366">
            <v>95</v>
          </cell>
          <cell r="K366">
            <v>110</v>
          </cell>
          <cell r="L366">
            <v>70</v>
          </cell>
          <cell r="M366">
            <v>635</v>
          </cell>
          <cell r="N366" t="str">
            <v>swift-swim</v>
          </cell>
          <cell r="Q366">
            <v>1.9</v>
          </cell>
          <cell r="R366">
            <v>102</v>
          </cell>
          <cell r="S366" t="str">
            <v>SWAMPERT is very strong. It has enough power to easily drag a boulder weighing more than a ton. This POKéMON also has powerful vision that lets it see even in murky water.</v>
          </cell>
          <cell r="T366" t="str">
            <v>https://raw.githubusercontent.com/PokeAPI/sprites/master/sprites/pokemon/other/official-artwork/10064.png</v>
          </cell>
          <cell r="U366" t="str">
            <v>https://raw.githubusercontent.com/PokeAPI/sprites/master/sprites/pokemon/other/official-artwork/shiny/10064.png</v>
          </cell>
        </row>
        <row r="367">
          <cell r="A367">
            <v>261</v>
          </cell>
          <cell r="C367" t="str">
            <v>Poochyena</v>
          </cell>
          <cell r="D367" t="str">
            <v>Standard</v>
          </cell>
          <cell r="E367" t="str">
            <v>dark</v>
          </cell>
          <cell r="G367">
            <v>35</v>
          </cell>
          <cell r="H367">
            <v>55</v>
          </cell>
          <cell r="I367">
            <v>35</v>
          </cell>
          <cell r="J367">
            <v>30</v>
          </cell>
          <cell r="K367">
            <v>30</v>
          </cell>
          <cell r="L367">
            <v>35</v>
          </cell>
          <cell r="M367">
            <v>220</v>
          </cell>
          <cell r="N367" t="str">
            <v>run-away</v>
          </cell>
          <cell r="O367" t="str">
            <v>quick-feet</v>
          </cell>
          <cell r="P367" t="str">
            <v>rattled</v>
          </cell>
          <cell r="Q367">
            <v>0.5</v>
          </cell>
          <cell r="R367">
            <v>13.6</v>
          </cell>
          <cell r="S367" t="str">
            <v>At first sight, POOCHYENA takes a bite at anything that moves. This POKéMON chases after prey until the victim becomes exhausted. However, it may turn tail if the prey strikes back.</v>
          </cell>
          <cell r="T367" t="str">
            <v>https://raw.githubusercontent.com/PokeAPI/sprites/master/sprites/pokemon/other/official-artwork/261.png</v>
          </cell>
          <cell r="U367" t="str">
            <v>https://raw.githubusercontent.com/PokeAPI/sprites/master/sprites/pokemon/other/official-artwork/shiny/261.png</v>
          </cell>
        </row>
        <row r="368">
          <cell r="A368">
            <v>262</v>
          </cell>
          <cell r="C368" t="str">
            <v>Mightyena</v>
          </cell>
          <cell r="D368" t="str">
            <v>Standard</v>
          </cell>
          <cell r="E368" t="str">
            <v>dark</v>
          </cell>
          <cell r="G368">
            <v>70</v>
          </cell>
          <cell r="H368">
            <v>90</v>
          </cell>
          <cell r="I368">
            <v>70</v>
          </cell>
          <cell r="J368">
            <v>60</v>
          </cell>
          <cell r="K368">
            <v>60</v>
          </cell>
          <cell r="L368">
            <v>70</v>
          </cell>
          <cell r="M368">
            <v>420</v>
          </cell>
          <cell r="N368" t="str">
            <v>intimidate</v>
          </cell>
          <cell r="O368" t="str">
            <v>quick-feet</v>
          </cell>
          <cell r="P368" t="str">
            <v>moxie</v>
          </cell>
          <cell r="Q368">
            <v>1</v>
          </cell>
          <cell r="R368">
            <v>37</v>
          </cell>
          <cell r="S368" t="str">
            <v>MIGHTYENA gives obvious signals when it is preparing to attack. It starts to growl deeply and then flattens its body. This POKéMON will bite savagely with its sharply pointed fangs.</v>
          </cell>
          <cell r="T368" t="str">
            <v>https://raw.githubusercontent.com/PokeAPI/sprites/master/sprites/pokemon/other/official-artwork/262.png</v>
          </cell>
          <cell r="U368" t="str">
            <v>https://raw.githubusercontent.com/PokeAPI/sprites/master/sprites/pokemon/other/official-artwork/shiny/262.png</v>
          </cell>
        </row>
        <row r="369">
          <cell r="A369">
            <v>263</v>
          </cell>
          <cell r="C369" t="str">
            <v>Zigzagoon</v>
          </cell>
          <cell r="D369" t="str">
            <v>Standard</v>
          </cell>
          <cell r="E369" t="str">
            <v>normal</v>
          </cell>
          <cell r="G369">
            <v>38</v>
          </cell>
          <cell r="H369">
            <v>30</v>
          </cell>
          <cell r="I369">
            <v>41</v>
          </cell>
          <cell r="J369">
            <v>30</v>
          </cell>
          <cell r="K369">
            <v>41</v>
          </cell>
          <cell r="L369">
            <v>60</v>
          </cell>
          <cell r="M369">
            <v>240</v>
          </cell>
          <cell r="N369" t="str">
            <v>pickup</v>
          </cell>
          <cell r="O369" t="str">
            <v>gluttony</v>
          </cell>
          <cell r="P369" t="str">
            <v>quick-feet</v>
          </cell>
          <cell r="Q369">
            <v>0.4</v>
          </cell>
          <cell r="R369">
            <v>17.5</v>
          </cell>
          <cell r="S369" t="str">
            <v>ZIGZAGOON restlessly wanders everywhere at all times. This POKéMON does so because it is very curious. It becomes interested in anything that it happens to see.</v>
          </cell>
          <cell r="T369" t="str">
            <v>https://raw.githubusercontent.com/PokeAPI/sprites/master/sprites/pokemon/other/official-artwork/263.png</v>
          </cell>
          <cell r="U369" t="str">
            <v>https://raw.githubusercontent.com/PokeAPI/sprites/master/sprites/pokemon/other/official-artwork/shiny/263.png</v>
          </cell>
        </row>
        <row r="370">
          <cell r="A370">
            <v>263</v>
          </cell>
          <cell r="C370" t="str">
            <v>Zigzagoon Galar</v>
          </cell>
          <cell r="D370" t="str">
            <v>Regional</v>
          </cell>
          <cell r="E370" t="str">
            <v>dark</v>
          </cell>
          <cell r="F370" t="str">
            <v>normal</v>
          </cell>
          <cell r="G370">
            <v>38</v>
          </cell>
          <cell r="H370">
            <v>30</v>
          </cell>
          <cell r="I370">
            <v>41</v>
          </cell>
          <cell r="J370">
            <v>30</v>
          </cell>
          <cell r="K370">
            <v>41</v>
          </cell>
          <cell r="L370">
            <v>60</v>
          </cell>
          <cell r="M370">
            <v>240</v>
          </cell>
          <cell r="N370" t="str">
            <v>pickup</v>
          </cell>
          <cell r="O370" t="str">
            <v>gluttony</v>
          </cell>
          <cell r="P370" t="str">
            <v>quick-feet</v>
          </cell>
          <cell r="Q370">
            <v>0.4</v>
          </cell>
          <cell r="R370">
            <v>17.5</v>
          </cell>
          <cell r="S370" t="str">
            <v>ZIGZAGOON restlessly wanders everywhere at all times. This POKéMON does so because it is very curious. It becomes interested in anything that it happens to see.</v>
          </cell>
          <cell r="T370" t="str">
            <v>https://raw.githubusercontent.com/PokeAPI/sprites/master/sprites/pokemon/other/official-artwork/10174.png</v>
          </cell>
          <cell r="U370" t="str">
            <v>https://raw.githubusercontent.com/PokeAPI/sprites/master/sprites/pokemon/other/official-artwork/shiny/10174.png</v>
          </cell>
        </row>
        <row r="371">
          <cell r="A371">
            <v>264</v>
          </cell>
          <cell r="C371" t="str">
            <v>Linoone</v>
          </cell>
          <cell r="D371" t="str">
            <v>Standard</v>
          </cell>
          <cell r="E371" t="str">
            <v>normal</v>
          </cell>
          <cell r="G371">
            <v>78</v>
          </cell>
          <cell r="H371">
            <v>70</v>
          </cell>
          <cell r="I371">
            <v>61</v>
          </cell>
          <cell r="J371">
            <v>50</v>
          </cell>
          <cell r="K371">
            <v>61</v>
          </cell>
          <cell r="L371">
            <v>100</v>
          </cell>
          <cell r="M371">
            <v>420</v>
          </cell>
          <cell r="N371" t="str">
            <v>pickup</v>
          </cell>
          <cell r="O371" t="str">
            <v>gluttony</v>
          </cell>
          <cell r="P371" t="str">
            <v>quick-feet</v>
          </cell>
          <cell r="Q371">
            <v>0.5</v>
          </cell>
          <cell r="R371">
            <v>32.5</v>
          </cell>
          <cell r="S371" t="str">
            <v>LINOONE always runs full speed and only in straight lines. If facing an obstacle, it makes a right-angle turn to evade it. This POKéMON is very challenged by gently curving roads.</v>
          </cell>
          <cell r="T371" t="str">
            <v>https://raw.githubusercontent.com/PokeAPI/sprites/master/sprites/pokemon/other/official-artwork/264.png</v>
          </cell>
          <cell r="U371" t="str">
            <v>https://raw.githubusercontent.com/PokeAPI/sprites/master/sprites/pokemon/other/official-artwork/shiny/264.png</v>
          </cell>
        </row>
        <row r="372">
          <cell r="A372">
            <v>264</v>
          </cell>
          <cell r="C372" t="str">
            <v>Linoone Galar</v>
          </cell>
          <cell r="D372" t="str">
            <v>Regional</v>
          </cell>
          <cell r="E372" t="str">
            <v>dark</v>
          </cell>
          <cell r="F372" t="str">
            <v>normal</v>
          </cell>
          <cell r="G372">
            <v>78</v>
          </cell>
          <cell r="H372">
            <v>70</v>
          </cell>
          <cell r="I372">
            <v>61</v>
          </cell>
          <cell r="J372">
            <v>50</v>
          </cell>
          <cell r="K372">
            <v>61</v>
          </cell>
          <cell r="L372">
            <v>100</v>
          </cell>
          <cell r="M372">
            <v>420</v>
          </cell>
          <cell r="N372" t="str">
            <v>pickup</v>
          </cell>
          <cell r="O372" t="str">
            <v>gluttony</v>
          </cell>
          <cell r="P372" t="str">
            <v>quick-feet</v>
          </cell>
          <cell r="Q372">
            <v>0.5</v>
          </cell>
          <cell r="R372">
            <v>32.5</v>
          </cell>
          <cell r="S372" t="str">
            <v>LINOONE always runs full speed and only in straight lines. If facing an obstacle, it makes a right-angle turn to evade it. This POKéMON is very challenged by gently curving roads.</v>
          </cell>
          <cell r="T372" t="str">
            <v>https://raw.githubusercontent.com/PokeAPI/sprites/master/sprites/pokemon/other/official-artwork/10175.png</v>
          </cell>
          <cell r="U372" t="str">
            <v>https://raw.githubusercontent.com/PokeAPI/sprites/master/sprites/pokemon/other/official-artwork/shiny/10175.png</v>
          </cell>
        </row>
        <row r="373">
          <cell r="A373">
            <v>265</v>
          </cell>
          <cell r="C373" t="str">
            <v>Wurmple</v>
          </cell>
          <cell r="D373" t="str">
            <v>Standard</v>
          </cell>
          <cell r="E373" t="str">
            <v>bug</v>
          </cell>
          <cell r="G373">
            <v>45</v>
          </cell>
          <cell r="H373">
            <v>45</v>
          </cell>
          <cell r="I373">
            <v>35</v>
          </cell>
          <cell r="J373">
            <v>20</v>
          </cell>
          <cell r="K373">
            <v>30</v>
          </cell>
          <cell r="L373">
            <v>20</v>
          </cell>
          <cell r="M373">
            <v>195</v>
          </cell>
          <cell r="N373" t="str">
            <v>shield-dust</v>
          </cell>
          <cell r="P373" t="str">
            <v>run-away</v>
          </cell>
          <cell r="Q373">
            <v>0.3</v>
          </cell>
          <cell r="R373">
            <v>3.6</v>
          </cell>
          <cell r="S373" t="str">
            <v>Using the spikes on its rear end, WURMPLE peels the bark off trees and feeds on the sap that oozes out. This POKéMON’s feet are tipped with suction pads that allow it to cling to glass without slipping.</v>
          </cell>
          <cell r="T373" t="str">
            <v>https://raw.githubusercontent.com/PokeAPI/sprites/master/sprites/pokemon/other/official-artwork/265.png</v>
          </cell>
          <cell r="U373" t="str">
            <v>https://raw.githubusercontent.com/PokeAPI/sprites/master/sprites/pokemon/other/official-artwork/shiny/265.png</v>
          </cell>
        </row>
        <row r="374">
          <cell r="A374">
            <v>266</v>
          </cell>
          <cell r="C374" t="str">
            <v>Silcoon</v>
          </cell>
          <cell r="D374" t="str">
            <v>Standard</v>
          </cell>
          <cell r="E374" t="str">
            <v>bug</v>
          </cell>
          <cell r="G374">
            <v>50</v>
          </cell>
          <cell r="H374">
            <v>35</v>
          </cell>
          <cell r="I374">
            <v>55</v>
          </cell>
          <cell r="J374">
            <v>25</v>
          </cell>
          <cell r="K374">
            <v>25</v>
          </cell>
          <cell r="L374">
            <v>15</v>
          </cell>
          <cell r="M374">
            <v>205</v>
          </cell>
          <cell r="N374" t="str">
            <v>shed-skin</v>
          </cell>
          <cell r="Q374">
            <v>0.6</v>
          </cell>
          <cell r="R374">
            <v>10</v>
          </cell>
          <cell r="S374" t="str">
            <v>SILCOON tethers itself to a tree branch using silk to keep from falling. There, this POKéMON hangs quietly while it awaits evolution. It peers out of the silk cocoon through a small hole.</v>
          </cell>
          <cell r="T374" t="str">
            <v>https://raw.githubusercontent.com/PokeAPI/sprites/master/sprites/pokemon/other/official-artwork/266.png</v>
          </cell>
          <cell r="U374" t="str">
            <v>https://raw.githubusercontent.com/PokeAPI/sprites/master/sprites/pokemon/other/official-artwork/shiny/266.png</v>
          </cell>
        </row>
        <row r="375">
          <cell r="A375">
            <v>267</v>
          </cell>
          <cell r="C375" t="str">
            <v>Beautifly</v>
          </cell>
          <cell r="D375" t="str">
            <v>Standard</v>
          </cell>
          <cell r="E375" t="str">
            <v>bug</v>
          </cell>
          <cell r="F375" t="str">
            <v>flying</v>
          </cell>
          <cell r="G375">
            <v>60</v>
          </cell>
          <cell r="H375">
            <v>70</v>
          </cell>
          <cell r="I375">
            <v>50</v>
          </cell>
          <cell r="J375">
            <v>100</v>
          </cell>
          <cell r="K375">
            <v>50</v>
          </cell>
          <cell r="L375">
            <v>65</v>
          </cell>
          <cell r="M375">
            <v>395</v>
          </cell>
          <cell r="N375" t="str">
            <v>swarm</v>
          </cell>
          <cell r="P375" t="str">
            <v>rivalry</v>
          </cell>
          <cell r="Q375">
            <v>1</v>
          </cell>
          <cell r="R375">
            <v>28.4</v>
          </cell>
          <cell r="S375" t="str">
            <v>BEAUTIFLY’s favorite food is the sweet pollen of flowers. If you want to see this POKéMON, just leave a potted flower by an open window. BEAUTIFLY is sure to come looking for pollen.</v>
          </cell>
          <cell r="T375" t="str">
            <v>https://raw.githubusercontent.com/PokeAPI/sprites/master/sprites/pokemon/other/official-artwork/267.png</v>
          </cell>
          <cell r="U375" t="str">
            <v>https://raw.githubusercontent.com/PokeAPI/sprites/master/sprites/pokemon/other/official-artwork/shiny/267.png</v>
          </cell>
        </row>
        <row r="376">
          <cell r="A376">
            <v>268</v>
          </cell>
          <cell r="C376" t="str">
            <v>Cascoon</v>
          </cell>
          <cell r="D376" t="str">
            <v>Standard</v>
          </cell>
          <cell r="E376" t="str">
            <v>bug</v>
          </cell>
          <cell r="G376">
            <v>50</v>
          </cell>
          <cell r="H376">
            <v>35</v>
          </cell>
          <cell r="I376">
            <v>55</v>
          </cell>
          <cell r="J376">
            <v>25</v>
          </cell>
          <cell r="K376">
            <v>25</v>
          </cell>
          <cell r="L376">
            <v>15</v>
          </cell>
          <cell r="M376">
            <v>205</v>
          </cell>
          <cell r="N376" t="str">
            <v>shed-skin</v>
          </cell>
          <cell r="Q376">
            <v>0.7</v>
          </cell>
          <cell r="R376">
            <v>11.5</v>
          </cell>
          <cell r="S376" t="str">
            <v>CASCOON makes its protective cocoon by wrapping its body entirely with a fine silk from its mouth. Once the silk goes around its body, it hardens. This POKéMON prepares for its evolution inside the cocoon.</v>
          </cell>
          <cell r="T376" t="str">
            <v>https://raw.githubusercontent.com/PokeAPI/sprites/master/sprites/pokemon/other/official-artwork/268.png</v>
          </cell>
          <cell r="U376" t="str">
            <v>https://raw.githubusercontent.com/PokeAPI/sprites/master/sprites/pokemon/other/official-artwork/shiny/268.png</v>
          </cell>
        </row>
        <row r="377">
          <cell r="A377">
            <v>269</v>
          </cell>
          <cell r="C377" t="str">
            <v>Dustox</v>
          </cell>
          <cell r="D377" t="str">
            <v>Standard</v>
          </cell>
          <cell r="E377" t="str">
            <v>bug</v>
          </cell>
          <cell r="F377" t="str">
            <v>poison</v>
          </cell>
          <cell r="G377">
            <v>60</v>
          </cell>
          <cell r="H377">
            <v>50</v>
          </cell>
          <cell r="I377">
            <v>70</v>
          </cell>
          <cell r="J377">
            <v>50</v>
          </cell>
          <cell r="K377">
            <v>90</v>
          </cell>
          <cell r="L377">
            <v>65</v>
          </cell>
          <cell r="M377">
            <v>385</v>
          </cell>
          <cell r="N377" t="str">
            <v>shield-dust</v>
          </cell>
          <cell r="P377" t="str">
            <v>compound-eyes</v>
          </cell>
          <cell r="Q377">
            <v>1.2</v>
          </cell>
          <cell r="R377">
            <v>31.6</v>
          </cell>
          <cell r="S377" t="str">
            <v>DUSTOX is instinctively drawn to light. Swarms of this POKéMON are attracted by the bright lights of cities, where they wreak havoc by stripping the leaves off roadside trees for food.</v>
          </cell>
          <cell r="T377" t="str">
            <v>https://raw.githubusercontent.com/PokeAPI/sprites/master/sprites/pokemon/other/official-artwork/269.png</v>
          </cell>
          <cell r="U377" t="str">
            <v>https://raw.githubusercontent.com/PokeAPI/sprites/master/sprites/pokemon/other/official-artwork/shiny/269.png</v>
          </cell>
        </row>
        <row r="378">
          <cell r="A378">
            <v>270</v>
          </cell>
          <cell r="C378" t="str">
            <v>Lotad</v>
          </cell>
          <cell r="D378" t="str">
            <v>Standard</v>
          </cell>
          <cell r="E378" t="str">
            <v>water</v>
          </cell>
          <cell r="F378" t="str">
            <v>grass</v>
          </cell>
          <cell r="G378">
            <v>40</v>
          </cell>
          <cell r="H378">
            <v>30</v>
          </cell>
          <cell r="I378">
            <v>30</v>
          </cell>
          <cell r="J378">
            <v>40</v>
          </cell>
          <cell r="K378">
            <v>50</v>
          </cell>
          <cell r="L378">
            <v>30</v>
          </cell>
          <cell r="M378">
            <v>220</v>
          </cell>
          <cell r="N378" t="str">
            <v>swift-swim</v>
          </cell>
          <cell r="O378" t="str">
            <v>rain-dish</v>
          </cell>
          <cell r="P378" t="str">
            <v>own-tempo</v>
          </cell>
          <cell r="Q378">
            <v>0.5</v>
          </cell>
          <cell r="R378">
            <v>2.6</v>
          </cell>
          <cell r="S378" t="str">
            <v>It searches about for clean water. If it does not drink water for too long, the leaf on its head wilts.</v>
          </cell>
          <cell r="T378" t="str">
            <v>https://raw.githubusercontent.com/PokeAPI/sprites/master/sprites/pokemon/other/official-artwork/270.png</v>
          </cell>
          <cell r="U378" t="str">
            <v>https://raw.githubusercontent.com/PokeAPI/sprites/master/sprites/pokemon/other/official-artwork/shiny/270.png</v>
          </cell>
        </row>
        <row r="379">
          <cell r="A379">
            <v>271</v>
          </cell>
          <cell r="C379" t="str">
            <v>Lombre</v>
          </cell>
          <cell r="D379" t="str">
            <v>Standard</v>
          </cell>
          <cell r="E379" t="str">
            <v>water</v>
          </cell>
          <cell r="F379" t="str">
            <v>grass</v>
          </cell>
          <cell r="G379">
            <v>60</v>
          </cell>
          <cell r="H379">
            <v>50</v>
          </cell>
          <cell r="I379">
            <v>50</v>
          </cell>
          <cell r="J379">
            <v>60</v>
          </cell>
          <cell r="K379">
            <v>70</v>
          </cell>
          <cell r="L379">
            <v>50</v>
          </cell>
          <cell r="M379">
            <v>340</v>
          </cell>
          <cell r="N379" t="str">
            <v>swift-swim</v>
          </cell>
          <cell r="O379" t="str">
            <v>rain-dish</v>
          </cell>
          <cell r="P379" t="str">
            <v>own-tempo</v>
          </cell>
          <cell r="Q379">
            <v>1.2</v>
          </cell>
          <cell r="R379">
            <v>32.5</v>
          </cell>
          <cell r="S379" t="str">
            <v>It lives at the water’s edge where it is sunny. It sleeps on a bed of water grass by day and becomes active at night.</v>
          </cell>
          <cell r="T379" t="str">
            <v>https://raw.githubusercontent.com/PokeAPI/sprites/master/sprites/pokemon/other/official-artwork/271.png</v>
          </cell>
          <cell r="U379" t="str">
            <v>https://raw.githubusercontent.com/PokeAPI/sprites/master/sprites/pokemon/other/official-artwork/shiny/271.png</v>
          </cell>
        </row>
        <row r="380">
          <cell r="A380">
            <v>272</v>
          </cell>
          <cell r="C380" t="str">
            <v>Ludicolo</v>
          </cell>
          <cell r="D380" t="str">
            <v>Standard</v>
          </cell>
          <cell r="E380" t="str">
            <v>water</v>
          </cell>
          <cell r="F380" t="str">
            <v>grass</v>
          </cell>
          <cell r="G380">
            <v>80</v>
          </cell>
          <cell r="H380">
            <v>70</v>
          </cell>
          <cell r="I380">
            <v>70</v>
          </cell>
          <cell r="J380">
            <v>90</v>
          </cell>
          <cell r="K380">
            <v>100</v>
          </cell>
          <cell r="L380">
            <v>70</v>
          </cell>
          <cell r="M380">
            <v>480</v>
          </cell>
          <cell r="N380" t="str">
            <v>swift-swim</v>
          </cell>
          <cell r="O380" t="str">
            <v>rain-dish</v>
          </cell>
          <cell r="P380" t="str">
            <v>own-tempo</v>
          </cell>
          <cell r="Q380">
            <v>1.5</v>
          </cell>
          <cell r="R380">
            <v>55</v>
          </cell>
          <cell r="S380" t="str">
            <v>LUDICOLO begins dancing as soon as it hears cheerful, festive music. This POKéMON is said to appear when it hears the singing of children on hiking outings.</v>
          </cell>
          <cell r="T380" t="str">
            <v>https://raw.githubusercontent.com/PokeAPI/sprites/master/sprites/pokemon/other/official-artwork/272.png</v>
          </cell>
          <cell r="U380" t="str">
            <v>https://raw.githubusercontent.com/PokeAPI/sprites/master/sprites/pokemon/other/official-artwork/shiny/272.png</v>
          </cell>
        </row>
        <row r="381">
          <cell r="A381">
            <v>273</v>
          </cell>
          <cell r="C381" t="str">
            <v>Seedot</v>
          </cell>
          <cell r="D381" t="str">
            <v>Standard</v>
          </cell>
          <cell r="E381" t="str">
            <v>grass</v>
          </cell>
          <cell r="G381">
            <v>40</v>
          </cell>
          <cell r="H381">
            <v>40</v>
          </cell>
          <cell r="I381">
            <v>50</v>
          </cell>
          <cell r="J381">
            <v>30</v>
          </cell>
          <cell r="K381">
            <v>30</v>
          </cell>
          <cell r="L381">
            <v>30</v>
          </cell>
          <cell r="M381">
            <v>220</v>
          </cell>
          <cell r="N381" t="str">
            <v>chlorophyll</v>
          </cell>
          <cell r="O381" t="str">
            <v>early-bird</v>
          </cell>
          <cell r="P381" t="str">
            <v>pickpocket</v>
          </cell>
          <cell r="Q381">
            <v>0.5</v>
          </cell>
          <cell r="R381">
            <v>4</v>
          </cell>
          <cell r="S381" t="str">
            <v>SEEDOT attaches itself to a tree branch using the top of its head. It sucks moisture from the tree while hanging off the branch. The more water it drinks, the glossier this POKéMON’s body becomes.</v>
          </cell>
          <cell r="T381" t="str">
            <v>https://raw.githubusercontent.com/PokeAPI/sprites/master/sprites/pokemon/other/official-artwork/273.png</v>
          </cell>
          <cell r="U381" t="str">
            <v>https://raw.githubusercontent.com/PokeAPI/sprites/master/sprites/pokemon/other/official-artwork/shiny/273.png</v>
          </cell>
        </row>
        <row r="382">
          <cell r="A382">
            <v>274</v>
          </cell>
          <cell r="C382" t="str">
            <v>Nuzleaf</v>
          </cell>
          <cell r="D382" t="str">
            <v>Standard</v>
          </cell>
          <cell r="E382" t="str">
            <v>grass</v>
          </cell>
          <cell r="F382" t="str">
            <v>dark</v>
          </cell>
          <cell r="G382">
            <v>70</v>
          </cell>
          <cell r="H382">
            <v>70</v>
          </cell>
          <cell r="I382">
            <v>40</v>
          </cell>
          <cell r="J382">
            <v>60</v>
          </cell>
          <cell r="K382">
            <v>40</v>
          </cell>
          <cell r="L382">
            <v>60</v>
          </cell>
          <cell r="M382">
            <v>340</v>
          </cell>
          <cell r="N382" t="str">
            <v>chlorophyll</v>
          </cell>
          <cell r="O382" t="str">
            <v>early-bird</v>
          </cell>
          <cell r="P382" t="str">
            <v>pickpocket</v>
          </cell>
          <cell r="Q382">
            <v>1</v>
          </cell>
          <cell r="R382">
            <v>28</v>
          </cell>
          <cell r="S382" t="str">
            <v>NUZLEAF live in densely overgrown forests. They occasionally venture out of the forest to startle people. This POKéMON dislikes having its long nose pinched.</v>
          </cell>
          <cell r="T382" t="str">
            <v>https://raw.githubusercontent.com/PokeAPI/sprites/master/sprites/pokemon/other/official-artwork/274.png</v>
          </cell>
          <cell r="U382" t="str">
            <v>https://raw.githubusercontent.com/PokeAPI/sprites/master/sprites/pokemon/other/official-artwork/shiny/274.png</v>
          </cell>
        </row>
        <row r="383">
          <cell r="A383">
            <v>275</v>
          </cell>
          <cell r="C383" t="str">
            <v>Shiftry</v>
          </cell>
          <cell r="D383" t="str">
            <v>Standard</v>
          </cell>
          <cell r="E383" t="str">
            <v>grass</v>
          </cell>
          <cell r="F383" t="str">
            <v>dark</v>
          </cell>
          <cell r="G383">
            <v>90</v>
          </cell>
          <cell r="H383">
            <v>100</v>
          </cell>
          <cell r="I383">
            <v>60</v>
          </cell>
          <cell r="J383">
            <v>90</v>
          </cell>
          <cell r="K383">
            <v>60</v>
          </cell>
          <cell r="L383">
            <v>80</v>
          </cell>
          <cell r="M383">
            <v>480</v>
          </cell>
          <cell r="N383" t="str">
            <v>chlorophyll</v>
          </cell>
          <cell r="O383" t="str">
            <v>wind-rider</v>
          </cell>
          <cell r="P383" t="str">
            <v>pickpocket</v>
          </cell>
          <cell r="Q383">
            <v>1.3</v>
          </cell>
          <cell r="R383">
            <v>59.6</v>
          </cell>
          <cell r="S383" t="str">
            <v>It lives quietly in the deep forest. It is said to create chilly winter winds with the fans it holds.</v>
          </cell>
          <cell r="T383" t="str">
            <v>https://raw.githubusercontent.com/PokeAPI/sprites/master/sprites/pokemon/other/official-artwork/275.png</v>
          </cell>
          <cell r="U383" t="str">
            <v>https://raw.githubusercontent.com/PokeAPI/sprites/master/sprites/pokemon/other/official-artwork/shiny/275.png</v>
          </cell>
        </row>
        <row r="384">
          <cell r="A384">
            <v>276</v>
          </cell>
          <cell r="C384" t="str">
            <v>Taillow</v>
          </cell>
          <cell r="D384" t="str">
            <v>Standard</v>
          </cell>
          <cell r="E384" t="str">
            <v>normal</v>
          </cell>
          <cell r="F384" t="str">
            <v>flying</v>
          </cell>
          <cell r="G384">
            <v>40</v>
          </cell>
          <cell r="H384">
            <v>55</v>
          </cell>
          <cell r="I384">
            <v>30</v>
          </cell>
          <cell r="J384">
            <v>30</v>
          </cell>
          <cell r="K384">
            <v>30</v>
          </cell>
          <cell r="L384">
            <v>85</v>
          </cell>
          <cell r="M384">
            <v>270</v>
          </cell>
          <cell r="N384" t="str">
            <v>guts</v>
          </cell>
          <cell r="P384" t="str">
            <v>scrappy</v>
          </cell>
          <cell r="Q384">
            <v>0.3</v>
          </cell>
          <cell r="R384">
            <v>2.2999999999999998</v>
          </cell>
          <cell r="S384" t="str">
            <v>TAILLOW courageously stands its ground against foes, however strong they may be. This gutsy POKéMON will remain defiant even after a loss. On the other hand, it cries loudly if it becomes hungry.</v>
          </cell>
          <cell r="T384" t="str">
            <v>https://raw.githubusercontent.com/PokeAPI/sprites/master/sprites/pokemon/other/official-artwork/276.png</v>
          </cell>
          <cell r="U384" t="str">
            <v>https://raw.githubusercontent.com/PokeAPI/sprites/master/sprites/pokemon/other/official-artwork/shiny/276.png</v>
          </cell>
        </row>
        <row r="385">
          <cell r="A385">
            <v>277</v>
          </cell>
          <cell r="C385" t="str">
            <v>Swellow</v>
          </cell>
          <cell r="D385" t="str">
            <v>Standard</v>
          </cell>
          <cell r="E385" t="str">
            <v>normal</v>
          </cell>
          <cell r="F385" t="str">
            <v>flying</v>
          </cell>
          <cell r="G385">
            <v>60</v>
          </cell>
          <cell r="H385">
            <v>85</v>
          </cell>
          <cell r="I385">
            <v>60</v>
          </cell>
          <cell r="J385">
            <v>75</v>
          </cell>
          <cell r="K385">
            <v>50</v>
          </cell>
          <cell r="L385">
            <v>125</v>
          </cell>
          <cell r="M385">
            <v>455</v>
          </cell>
          <cell r="N385" t="str">
            <v>guts</v>
          </cell>
          <cell r="P385" t="str">
            <v>scrappy</v>
          </cell>
          <cell r="Q385">
            <v>0.7</v>
          </cell>
          <cell r="R385">
            <v>19.8</v>
          </cell>
          <cell r="S385" t="str">
            <v>SWELLOW flies high above our heads, making graceful arcs in the sky. This POKéMON dives at a steep angle as soon as it spots its prey. The hapless prey is tightly grasped by SWELLOW’s clawed feet, preventing escape.</v>
          </cell>
          <cell r="T385" t="str">
            <v>https://raw.githubusercontent.com/PokeAPI/sprites/master/sprites/pokemon/other/official-artwork/277.png</v>
          </cell>
          <cell r="U385" t="str">
            <v>https://raw.githubusercontent.com/PokeAPI/sprites/master/sprites/pokemon/other/official-artwork/shiny/277.png</v>
          </cell>
        </row>
        <row r="386">
          <cell r="A386">
            <v>278</v>
          </cell>
          <cell r="C386" t="str">
            <v>Wingull</v>
          </cell>
          <cell r="D386" t="str">
            <v>Standard</v>
          </cell>
          <cell r="E386" t="str">
            <v>water</v>
          </cell>
          <cell r="F386" t="str">
            <v>flying</v>
          </cell>
          <cell r="G386">
            <v>40</v>
          </cell>
          <cell r="H386">
            <v>30</v>
          </cell>
          <cell r="I386">
            <v>30</v>
          </cell>
          <cell r="J386">
            <v>55</v>
          </cell>
          <cell r="K386">
            <v>30</v>
          </cell>
          <cell r="L386">
            <v>85</v>
          </cell>
          <cell r="M386">
            <v>270</v>
          </cell>
          <cell r="N386" t="str">
            <v>keen-eye</v>
          </cell>
          <cell r="O386" t="str">
            <v>hydration</v>
          </cell>
          <cell r="P386" t="str">
            <v>rain-dish</v>
          </cell>
          <cell r="Q386">
            <v>0.6</v>
          </cell>
          <cell r="R386">
            <v>9.5</v>
          </cell>
          <cell r="S386" t="str">
            <v>WINGULL has the habit of carrying prey and valuables in its beak and hiding them in all sorts of locations. This POKéMON rides the winds and flies as if it were skating across the sky.</v>
          </cell>
          <cell r="T386" t="str">
            <v>https://raw.githubusercontent.com/PokeAPI/sprites/master/sprites/pokemon/other/official-artwork/278.png</v>
          </cell>
          <cell r="U386" t="str">
            <v>https://raw.githubusercontent.com/PokeAPI/sprites/master/sprites/pokemon/other/official-artwork/shiny/278.png</v>
          </cell>
        </row>
        <row r="387">
          <cell r="A387">
            <v>279</v>
          </cell>
          <cell r="C387" t="str">
            <v>Pelipper</v>
          </cell>
          <cell r="D387" t="str">
            <v>Standard</v>
          </cell>
          <cell r="E387" t="str">
            <v>water</v>
          </cell>
          <cell r="F387" t="str">
            <v>flying</v>
          </cell>
          <cell r="G387">
            <v>60</v>
          </cell>
          <cell r="H387">
            <v>50</v>
          </cell>
          <cell r="I387">
            <v>100</v>
          </cell>
          <cell r="J387">
            <v>95</v>
          </cell>
          <cell r="K387">
            <v>70</v>
          </cell>
          <cell r="L387">
            <v>65</v>
          </cell>
          <cell r="M387">
            <v>440</v>
          </cell>
          <cell r="N387" t="str">
            <v>keen-eye</v>
          </cell>
          <cell r="O387" t="str">
            <v>drizzle</v>
          </cell>
          <cell r="P387" t="str">
            <v>rain-dish</v>
          </cell>
          <cell r="Q387">
            <v>1.2</v>
          </cell>
          <cell r="R387">
            <v>28</v>
          </cell>
          <cell r="S387" t="str">
            <v>It is a messenger of the skies, carrying small Pokémon and eggs to safety in its bill.</v>
          </cell>
          <cell r="T387" t="str">
            <v>https://raw.githubusercontent.com/PokeAPI/sprites/master/sprites/pokemon/other/official-artwork/279.png</v>
          </cell>
          <cell r="U387" t="str">
            <v>https://raw.githubusercontent.com/PokeAPI/sprites/master/sprites/pokemon/other/official-artwork/shiny/279.png</v>
          </cell>
        </row>
        <row r="388">
          <cell r="A388">
            <v>280</v>
          </cell>
          <cell r="C388" t="str">
            <v>Ralts</v>
          </cell>
          <cell r="D388" t="str">
            <v>Standard</v>
          </cell>
          <cell r="E388" t="str">
            <v>psychic</v>
          </cell>
          <cell r="F388" t="str">
            <v>fairy</v>
          </cell>
          <cell r="G388">
            <v>28</v>
          </cell>
          <cell r="H388">
            <v>25</v>
          </cell>
          <cell r="I388">
            <v>25</v>
          </cell>
          <cell r="J388">
            <v>45</v>
          </cell>
          <cell r="K388">
            <v>35</v>
          </cell>
          <cell r="L388">
            <v>40</v>
          </cell>
          <cell r="M388">
            <v>198</v>
          </cell>
          <cell r="N388" t="str">
            <v>synchronize</v>
          </cell>
          <cell r="O388" t="str">
            <v>trace</v>
          </cell>
          <cell r="P388" t="str">
            <v>telepathy</v>
          </cell>
          <cell r="Q388">
            <v>0.4</v>
          </cell>
          <cell r="R388">
            <v>6.6</v>
          </cell>
          <cell r="S388" t="str">
            <v>RALTS senses the emotions of people using the horns on its head. This POKéMON rarely appears before people. But when it does, it draws closer if it senses that the person has a positive disposition.</v>
          </cell>
          <cell r="T388" t="str">
            <v>https://raw.githubusercontent.com/PokeAPI/sprites/master/sprites/pokemon/other/official-artwork/280.png</v>
          </cell>
          <cell r="U388" t="str">
            <v>https://raw.githubusercontent.com/PokeAPI/sprites/master/sprites/pokemon/other/official-artwork/shiny/280.png</v>
          </cell>
        </row>
        <row r="389">
          <cell r="A389">
            <v>281</v>
          </cell>
          <cell r="C389" t="str">
            <v>Kirlia</v>
          </cell>
          <cell r="D389" t="str">
            <v>Standard</v>
          </cell>
          <cell r="E389" t="str">
            <v>psychic</v>
          </cell>
          <cell r="F389" t="str">
            <v>fairy</v>
          </cell>
          <cell r="G389">
            <v>38</v>
          </cell>
          <cell r="H389">
            <v>35</v>
          </cell>
          <cell r="I389">
            <v>35</v>
          </cell>
          <cell r="J389">
            <v>65</v>
          </cell>
          <cell r="K389">
            <v>55</v>
          </cell>
          <cell r="L389">
            <v>50</v>
          </cell>
          <cell r="M389">
            <v>278</v>
          </cell>
          <cell r="N389" t="str">
            <v>synchronize</v>
          </cell>
          <cell r="O389" t="str">
            <v>trace</v>
          </cell>
          <cell r="P389" t="str">
            <v>telepathy</v>
          </cell>
          <cell r="Q389">
            <v>0.8</v>
          </cell>
          <cell r="R389">
            <v>20.2</v>
          </cell>
          <cell r="S389" t="str">
            <v>It is said that a KIRLIA that is exposed to the positive emotions of its TRAINER grows beautiful. This POKéMON controls psychokinetic powers with its highly developed brain.</v>
          </cell>
          <cell r="T389" t="str">
            <v>https://raw.githubusercontent.com/PokeAPI/sprites/master/sprites/pokemon/other/official-artwork/281.png</v>
          </cell>
          <cell r="U389" t="str">
            <v>https://raw.githubusercontent.com/PokeAPI/sprites/master/sprites/pokemon/other/official-artwork/shiny/281.png</v>
          </cell>
        </row>
        <row r="390">
          <cell r="A390">
            <v>282</v>
          </cell>
          <cell r="C390" t="str">
            <v>Gardevoir</v>
          </cell>
          <cell r="D390" t="str">
            <v>Standard</v>
          </cell>
          <cell r="E390" t="str">
            <v>psychic</v>
          </cell>
          <cell r="F390" t="str">
            <v>fairy</v>
          </cell>
          <cell r="G390">
            <v>68</v>
          </cell>
          <cell r="H390">
            <v>65</v>
          </cell>
          <cell r="I390">
            <v>65</v>
          </cell>
          <cell r="J390">
            <v>125</v>
          </cell>
          <cell r="K390">
            <v>115</v>
          </cell>
          <cell r="L390">
            <v>80</v>
          </cell>
          <cell r="M390">
            <v>518</v>
          </cell>
          <cell r="N390" t="str">
            <v>synchronize</v>
          </cell>
          <cell r="O390" t="str">
            <v>trace</v>
          </cell>
          <cell r="P390" t="str">
            <v>telepathy</v>
          </cell>
          <cell r="Q390">
            <v>1.6</v>
          </cell>
          <cell r="R390">
            <v>48.4</v>
          </cell>
          <cell r="S390" t="str">
            <v>GARDEVOIR has the ability to read the future. If it senses impending danger to its TRAINER, this POKéMON is said to unleash its psychokinetic energy at full power.</v>
          </cell>
          <cell r="T390" t="str">
            <v>https://raw.githubusercontent.com/PokeAPI/sprites/master/sprites/pokemon/other/official-artwork/282.png</v>
          </cell>
          <cell r="U390" t="str">
            <v>https://raw.githubusercontent.com/PokeAPI/sprites/master/sprites/pokemon/other/official-artwork/shiny/282.png</v>
          </cell>
        </row>
        <row r="391">
          <cell r="A391">
            <v>282</v>
          </cell>
          <cell r="C391" t="str">
            <v>Gardevoir Mega</v>
          </cell>
          <cell r="D391" t="str">
            <v>Mega</v>
          </cell>
          <cell r="E391" t="str">
            <v>psychic</v>
          </cell>
          <cell r="F391" t="str">
            <v>fairy</v>
          </cell>
          <cell r="G391">
            <v>68</v>
          </cell>
          <cell r="H391">
            <v>85</v>
          </cell>
          <cell r="I391">
            <v>65</v>
          </cell>
          <cell r="J391">
            <v>165</v>
          </cell>
          <cell r="K391">
            <v>135</v>
          </cell>
          <cell r="L391">
            <v>100</v>
          </cell>
          <cell r="M391">
            <v>618</v>
          </cell>
          <cell r="N391" t="str">
            <v>pixilate</v>
          </cell>
          <cell r="Q391">
            <v>1.6</v>
          </cell>
          <cell r="R391">
            <v>48.4</v>
          </cell>
          <cell r="S391" t="str">
            <v>GARDEVOIR has the ability to read the future. If it senses impending danger to its TRAINER, this POKéMON is said to unleash its psychokinetic energy at full power.</v>
          </cell>
          <cell r="T391" t="str">
            <v>https://raw.githubusercontent.com/PokeAPI/sprites/master/sprites/pokemon/other/official-artwork/10051.png</v>
          </cell>
          <cell r="U391" t="str">
            <v>https://raw.githubusercontent.com/PokeAPI/sprites/master/sprites/pokemon/other/official-artwork/shiny/10051.png</v>
          </cell>
        </row>
        <row r="392">
          <cell r="A392">
            <v>283</v>
          </cell>
          <cell r="C392" t="str">
            <v>Surskit</v>
          </cell>
          <cell r="D392" t="str">
            <v>Standard</v>
          </cell>
          <cell r="E392" t="str">
            <v>bug</v>
          </cell>
          <cell r="F392" t="str">
            <v>water</v>
          </cell>
          <cell r="G392">
            <v>40</v>
          </cell>
          <cell r="H392">
            <v>30</v>
          </cell>
          <cell r="I392">
            <v>32</v>
          </cell>
          <cell r="J392">
            <v>50</v>
          </cell>
          <cell r="K392">
            <v>52</v>
          </cell>
          <cell r="L392">
            <v>65</v>
          </cell>
          <cell r="M392">
            <v>269</v>
          </cell>
          <cell r="N392" t="str">
            <v>swift-swim</v>
          </cell>
          <cell r="P392" t="str">
            <v>rain-dish</v>
          </cell>
          <cell r="Q392">
            <v>0.5</v>
          </cell>
          <cell r="R392">
            <v>1.7</v>
          </cell>
          <cell r="S392" t="str">
            <v>From the tips of its feet, SURSKIT secretes an oil that enables it to walk on water as if it were skating. This POKéMON feeds on microscopic organisms in ponds and lakes.</v>
          </cell>
          <cell r="T392" t="str">
            <v>https://raw.githubusercontent.com/PokeAPI/sprites/master/sprites/pokemon/other/official-artwork/283.png</v>
          </cell>
          <cell r="U392" t="str">
            <v>https://raw.githubusercontent.com/PokeAPI/sprites/master/sprites/pokemon/other/official-artwork/shiny/283.png</v>
          </cell>
        </row>
        <row r="393">
          <cell r="A393">
            <v>284</v>
          </cell>
          <cell r="C393" t="str">
            <v>Masquerain</v>
          </cell>
          <cell r="D393" t="str">
            <v>Standard</v>
          </cell>
          <cell r="E393" t="str">
            <v>bug</v>
          </cell>
          <cell r="F393" t="str">
            <v>flying</v>
          </cell>
          <cell r="G393">
            <v>70</v>
          </cell>
          <cell r="H393">
            <v>60</v>
          </cell>
          <cell r="I393">
            <v>62</v>
          </cell>
          <cell r="J393">
            <v>100</v>
          </cell>
          <cell r="K393">
            <v>82</v>
          </cell>
          <cell r="L393">
            <v>80</v>
          </cell>
          <cell r="M393">
            <v>454</v>
          </cell>
          <cell r="N393" t="str">
            <v>intimidate</v>
          </cell>
          <cell r="P393" t="str">
            <v>unnerve</v>
          </cell>
          <cell r="Q393">
            <v>0.8</v>
          </cell>
          <cell r="R393">
            <v>3.6</v>
          </cell>
          <cell r="S393" t="str">
            <v>MASQUERAIN intimidates enemies with the eyelike patterns on its antennas. This POKéMON flaps its four wings to freely fly in any direction - even sideways and backwards - as if it were a helicopter.</v>
          </cell>
          <cell r="T393" t="str">
            <v>https://raw.githubusercontent.com/PokeAPI/sprites/master/sprites/pokemon/other/official-artwork/284.png</v>
          </cell>
          <cell r="U393" t="str">
            <v>https://raw.githubusercontent.com/PokeAPI/sprites/master/sprites/pokemon/other/official-artwork/shiny/284.png</v>
          </cell>
        </row>
        <row r="394">
          <cell r="A394">
            <v>285</v>
          </cell>
          <cell r="C394" t="str">
            <v>Shroomish</v>
          </cell>
          <cell r="D394" t="str">
            <v>Standard</v>
          </cell>
          <cell r="E394" t="str">
            <v>grass</v>
          </cell>
          <cell r="G394">
            <v>60</v>
          </cell>
          <cell r="H394">
            <v>40</v>
          </cell>
          <cell r="I394">
            <v>60</v>
          </cell>
          <cell r="J394">
            <v>40</v>
          </cell>
          <cell r="K394">
            <v>60</v>
          </cell>
          <cell r="L394">
            <v>35</v>
          </cell>
          <cell r="M394">
            <v>295</v>
          </cell>
          <cell r="N394" t="str">
            <v>effect-spore</v>
          </cell>
          <cell r="O394" t="str">
            <v>poison-heal</v>
          </cell>
          <cell r="P394" t="str">
            <v>quick-feet</v>
          </cell>
          <cell r="Q394">
            <v>0.4</v>
          </cell>
          <cell r="R394">
            <v>4.5</v>
          </cell>
          <cell r="S394" t="str">
            <v>SHROOMISH live in damp soil in the dark depths of forests. They are often found keeping still under fallen leaves. This POKéMON feeds on compost that is made up of fallen, rotted leaves.</v>
          </cell>
          <cell r="T394" t="str">
            <v>https://raw.githubusercontent.com/PokeAPI/sprites/master/sprites/pokemon/other/official-artwork/285.png</v>
          </cell>
          <cell r="U394" t="str">
            <v>https://raw.githubusercontent.com/PokeAPI/sprites/master/sprites/pokemon/other/official-artwork/shiny/285.png</v>
          </cell>
        </row>
        <row r="395">
          <cell r="A395">
            <v>286</v>
          </cell>
          <cell r="C395" t="str">
            <v>Breloom</v>
          </cell>
          <cell r="D395" t="str">
            <v>Standard</v>
          </cell>
          <cell r="E395" t="str">
            <v>grass</v>
          </cell>
          <cell r="F395" t="str">
            <v>fighting</v>
          </cell>
          <cell r="G395">
            <v>60</v>
          </cell>
          <cell r="H395">
            <v>130</v>
          </cell>
          <cell r="I395">
            <v>80</v>
          </cell>
          <cell r="J395">
            <v>60</v>
          </cell>
          <cell r="K395">
            <v>60</v>
          </cell>
          <cell r="L395">
            <v>70</v>
          </cell>
          <cell r="M395">
            <v>460</v>
          </cell>
          <cell r="N395" t="str">
            <v>effect-spore</v>
          </cell>
          <cell r="O395" t="str">
            <v>poison-heal</v>
          </cell>
          <cell r="P395" t="str">
            <v>technician</v>
          </cell>
          <cell r="Q395">
            <v>1.2</v>
          </cell>
          <cell r="R395">
            <v>39.200000000000003</v>
          </cell>
          <cell r="S395" t="str">
            <v>BRELOOM closes in on its foe with light and sprightly footwork, then throws punches with its stretchy arms. This POKéMON’s fighting technique puts boxers to shame.</v>
          </cell>
          <cell r="T395" t="str">
            <v>https://raw.githubusercontent.com/PokeAPI/sprites/master/sprites/pokemon/other/official-artwork/286.png</v>
          </cell>
          <cell r="U395" t="str">
            <v>https://raw.githubusercontent.com/PokeAPI/sprites/master/sprites/pokemon/other/official-artwork/shiny/286.png</v>
          </cell>
        </row>
        <row r="396">
          <cell r="A396">
            <v>287</v>
          </cell>
          <cell r="C396" t="str">
            <v>Slakoth</v>
          </cell>
          <cell r="D396" t="str">
            <v>Standard</v>
          </cell>
          <cell r="E396" t="str">
            <v>normal</v>
          </cell>
          <cell r="G396">
            <v>60</v>
          </cell>
          <cell r="H396">
            <v>60</v>
          </cell>
          <cell r="I396">
            <v>60</v>
          </cell>
          <cell r="J396">
            <v>35</v>
          </cell>
          <cell r="K396">
            <v>35</v>
          </cell>
          <cell r="L396">
            <v>30</v>
          </cell>
          <cell r="M396">
            <v>280</v>
          </cell>
          <cell r="N396" t="str">
            <v>truant</v>
          </cell>
          <cell r="Q396">
            <v>0.8</v>
          </cell>
          <cell r="R396">
            <v>24</v>
          </cell>
          <cell r="S396" t="str">
            <v>SLAKOTH lolls around for over twenty hours every day. Because it moves so little, it does not need much food. This POKéMON’s sole daily meal consists of just three leaves.</v>
          </cell>
          <cell r="T396" t="str">
            <v>https://raw.githubusercontent.com/PokeAPI/sprites/master/sprites/pokemon/other/official-artwork/287.png</v>
          </cell>
          <cell r="U396" t="str">
            <v>https://raw.githubusercontent.com/PokeAPI/sprites/master/sprites/pokemon/other/official-artwork/shiny/287.png</v>
          </cell>
        </row>
        <row r="397">
          <cell r="A397">
            <v>288</v>
          </cell>
          <cell r="C397" t="str">
            <v>Vigoroth</v>
          </cell>
          <cell r="D397" t="str">
            <v>Standard</v>
          </cell>
          <cell r="E397" t="str">
            <v>normal</v>
          </cell>
          <cell r="G397">
            <v>80</v>
          </cell>
          <cell r="H397">
            <v>80</v>
          </cell>
          <cell r="I397">
            <v>80</v>
          </cell>
          <cell r="J397">
            <v>55</v>
          </cell>
          <cell r="K397">
            <v>55</v>
          </cell>
          <cell r="L397">
            <v>90</v>
          </cell>
          <cell r="M397">
            <v>440</v>
          </cell>
          <cell r="N397" t="str">
            <v>vital-spirit</v>
          </cell>
          <cell r="Q397">
            <v>1.4</v>
          </cell>
          <cell r="R397">
            <v>46.5</v>
          </cell>
          <cell r="S397" t="str">
            <v>VIGOROTH is always itching and agitated to go on a wild rampage. It simply can’t tolerate sitting still for even a minute. This POKéMON’s stress level rises if it can’t be moving constantly.</v>
          </cell>
          <cell r="T397" t="str">
            <v>https://raw.githubusercontent.com/PokeAPI/sprites/master/sprites/pokemon/other/official-artwork/288.png</v>
          </cell>
          <cell r="U397" t="str">
            <v>https://raw.githubusercontent.com/PokeAPI/sprites/master/sprites/pokemon/other/official-artwork/shiny/288.png</v>
          </cell>
        </row>
        <row r="398">
          <cell r="A398">
            <v>289</v>
          </cell>
          <cell r="C398" t="str">
            <v>Slaking</v>
          </cell>
          <cell r="D398" t="str">
            <v>Standard</v>
          </cell>
          <cell r="E398" t="str">
            <v>normal</v>
          </cell>
          <cell r="G398">
            <v>150</v>
          </cell>
          <cell r="H398">
            <v>160</v>
          </cell>
          <cell r="I398">
            <v>100</v>
          </cell>
          <cell r="J398">
            <v>95</v>
          </cell>
          <cell r="K398">
            <v>65</v>
          </cell>
          <cell r="L398">
            <v>100</v>
          </cell>
          <cell r="M398">
            <v>670</v>
          </cell>
          <cell r="N398" t="str">
            <v>truant</v>
          </cell>
          <cell r="Q398">
            <v>2</v>
          </cell>
          <cell r="R398">
            <v>130.5</v>
          </cell>
          <cell r="S398" t="str">
            <v>SLAKING spends all day lying down and lolling about. It eats grass growing within its reach. If it eats all the grass it can reach, this POKéMON reluctantly moves to another spot.</v>
          </cell>
          <cell r="T398" t="str">
            <v>https://raw.githubusercontent.com/PokeAPI/sprites/master/sprites/pokemon/other/official-artwork/289.png</v>
          </cell>
          <cell r="U398" t="str">
            <v>https://raw.githubusercontent.com/PokeAPI/sprites/master/sprites/pokemon/other/official-artwork/shiny/289.png</v>
          </cell>
        </row>
        <row r="399">
          <cell r="A399">
            <v>290</v>
          </cell>
          <cell r="C399" t="str">
            <v>Nincada</v>
          </cell>
          <cell r="D399" t="str">
            <v>Standard</v>
          </cell>
          <cell r="E399" t="str">
            <v>bug</v>
          </cell>
          <cell r="F399" t="str">
            <v>ground</v>
          </cell>
          <cell r="G399">
            <v>31</v>
          </cell>
          <cell r="H399">
            <v>45</v>
          </cell>
          <cell r="I399">
            <v>90</v>
          </cell>
          <cell r="J399">
            <v>30</v>
          </cell>
          <cell r="K399">
            <v>30</v>
          </cell>
          <cell r="L399">
            <v>40</v>
          </cell>
          <cell r="M399">
            <v>266</v>
          </cell>
          <cell r="N399" t="str">
            <v>compound-eyes</v>
          </cell>
          <cell r="P399" t="str">
            <v>run-away</v>
          </cell>
          <cell r="Q399">
            <v>0.5</v>
          </cell>
          <cell r="R399">
            <v>5.5</v>
          </cell>
          <cell r="S399" t="str">
            <v>NINCADA lives underground for many years in complete darkness. This POKéMON absorbs nutrients from the roots of trees. It stays motionless as it waits for evolution.</v>
          </cell>
          <cell r="T399" t="str">
            <v>https://raw.githubusercontent.com/PokeAPI/sprites/master/sprites/pokemon/other/official-artwork/290.png</v>
          </cell>
          <cell r="U399" t="str">
            <v>https://raw.githubusercontent.com/PokeAPI/sprites/master/sprites/pokemon/other/official-artwork/shiny/290.png</v>
          </cell>
        </row>
        <row r="400">
          <cell r="A400">
            <v>291</v>
          </cell>
          <cell r="C400" t="str">
            <v>Ninjask</v>
          </cell>
          <cell r="D400" t="str">
            <v>Standard</v>
          </cell>
          <cell r="E400" t="str">
            <v>bug</v>
          </cell>
          <cell r="F400" t="str">
            <v>flying</v>
          </cell>
          <cell r="G400">
            <v>61</v>
          </cell>
          <cell r="H400">
            <v>90</v>
          </cell>
          <cell r="I400">
            <v>45</v>
          </cell>
          <cell r="J400">
            <v>50</v>
          </cell>
          <cell r="K400">
            <v>50</v>
          </cell>
          <cell r="L400">
            <v>160</v>
          </cell>
          <cell r="M400">
            <v>456</v>
          </cell>
          <cell r="N400" t="str">
            <v>speed-boost</v>
          </cell>
          <cell r="P400" t="str">
            <v>infiltrator</v>
          </cell>
          <cell r="Q400">
            <v>0.8</v>
          </cell>
          <cell r="R400">
            <v>12</v>
          </cell>
          <cell r="S400" t="str">
            <v>NINJASK moves around at such a high speed that it cannot be seen, even while its crying can be clearly heard. For that reason, this POKéMON was long believed to be invisible.</v>
          </cell>
          <cell r="T400" t="str">
            <v>https://raw.githubusercontent.com/PokeAPI/sprites/master/sprites/pokemon/other/official-artwork/291.png</v>
          </cell>
          <cell r="U400" t="str">
            <v>https://raw.githubusercontent.com/PokeAPI/sprites/master/sprites/pokemon/other/official-artwork/shiny/291.png</v>
          </cell>
        </row>
        <row r="401">
          <cell r="A401">
            <v>292</v>
          </cell>
          <cell r="C401" t="str">
            <v>Shedinja</v>
          </cell>
          <cell r="D401" t="str">
            <v>Standard</v>
          </cell>
          <cell r="E401" t="str">
            <v>bug</v>
          </cell>
          <cell r="F401" t="str">
            <v>ghost</v>
          </cell>
          <cell r="G401">
            <v>1</v>
          </cell>
          <cell r="H401">
            <v>90</v>
          </cell>
          <cell r="I401">
            <v>45</v>
          </cell>
          <cell r="J401">
            <v>30</v>
          </cell>
          <cell r="K401">
            <v>30</v>
          </cell>
          <cell r="L401">
            <v>40</v>
          </cell>
          <cell r="M401">
            <v>236</v>
          </cell>
          <cell r="N401" t="str">
            <v>wonder-guard</v>
          </cell>
          <cell r="Q401">
            <v>0.8</v>
          </cell>
          <cell r="R401">
            <v>1.2</v>
          </cell>
          <cell r="S401" t="str">
            <v>SHEDINJA’s hard body doesn’t move - not even a twitch. In fact, its body appears to be merely a hollow shell. It is believed that this POKéMON will steal the spirit of anyone peering into its hollow body from its back.</v>
          </cell>
          <cell r="T401" t="str">
            <v>https://raw.githubusercontent.com/PokeAPI/sprites/master/sprites/pokemon/other/official-artwork/292.png</v>
          </cell>
          <cell r="U401" t="str">
            <v>https://raw.githubusercontent.com/PokeAPI/sprites/master/sprites/pokemon/other/official-artwork/shiny/292.png</v>
          </cell>
        </row>
        <row r="402">
          <cell r="A402">
            <v>293</v>
          </cell>
          <cell r="C402" t="str">
            <v>Whismur</v>
          </cell>
          <cell r="D402" t="str">
            <v>Standard</v>
          </cell>
          <cell r="E402" t="str">
            <v>normal</v>
          </cell>
          <cell r="G402">
            <v>64</v>
          </cell>
          <cell r="H402">
            <v>51</v>
          </cell>
          <cell r="I402">
            <v>23</v>
          </cell>
          <cell r="J402">
            <v>51</v>
          </cell>
          <cell r="K402">
            <v>23</v>
          </cell>
          <cell r="L402">
            <v>28</v>
          </cell>
          <cell r="M402">
            <v>240</v>
          </cell>
          <cell r="N402" t="str">
            <v>soundproof</v>
          </cell>
          <cell r="P402" t="str">
            <v>rattled</v>
          </cell>
          <cell r="Q402">
            <v>0.6</v>
          </cell>
          <cell r="R402">
            <v>16.3</v>
          </cell>
          <cell r="S402" t="str">
            <v>Normally, WHISMUR’s voice is very quiet - it is barely audible even if one is paying close attention. However, if this POKéMON senses danger, it starts crying at an earsplitting volume.</v>
          </cell>
          <cell r="T402" t="str">
            <v>https://raw.githubusercontent.com/PokeAPI/sprites/master/sprites/pokemon/other/official-artwork/293.png</v>
          </cell>
          <cell r="U402" t="str">
            <v>https://raw.githubusercontent.com/PokeAPI/sprites/master/sprites/pokemon/other/official-artwork/shiny/293.png</v>
          </cell>
        </row>
        <row r="403">
          <cell r="A403">
            <v>294</v>
          </cell>
          <cell r="C403" t="str">
            <v>Loudred</v>
          </cell>
          <cell r="D403" t="str">
            <v>Standard</v>
          </cell>
          <cell r="E403" t="str">
            <v>normal</v>
          </cell>
          <cell r="G403">
            <v>84</v>
          </cell>
          <cell r="H403">
            <v>71</v>
          </cell>
          <cell r="I403">
            <v>43</v>
          </cell>
          <cell r="J403">
            <v>71</v>
          </cell>
          <cell r="K403">
            <v>43</v>
          </cell>
          <cell r="L403">
            <v>48</v>
          </cell>
          <cell r="M403">
            <v>360</v>
          </cell>
          <cell r="N403" t="str">
            <v>soundproof</v>
          </cell>
          <cell r="P403" t="str">
            <v>scrappy</v>
          </cell>
          <cell r="Q403">
            <v>1</v>
          </cell>
          <cell r="R403">
            <v>40.5</v>
          </cell>
          <cell r="S403" t="str">
            <v>LOUDRED’s bellowing can completely decimate a wood-frame house. It uses its voice to punish its foes. This POKéMON’s round ears serve as loudspeakers.</v>
          </cell>
          <cell r="T403" t="str">
            <v>https://raw.githubusercontent.com/PokeAPI/sprites/master/sprites/pokemon/other/official-artwork/294.png</v>
          </cell>
          <cell r="U403" t="str">
            <v>https://raw.githubusercontent.com/PokeAPI/sprites/master/sprites/pokemon/other/official-artwork/shiny/294.png</v>
          </cell>
        </row>
        <row r="404">
          <cell r="A404">
            <v>295</v>
          </cell>
          <cell r="C404" t="str">
            <v>Exploud</v>
          </cell>
          <cell r="D404" t="str">
            <v>Standard</v>
          </cell>
          <cell r="E404" t="str">
            <v>normal</v>
          </cell>
          <cell r="G404">
            <v>104</v>
          </cell>
          <cell r="H404">
            <v>91</v>
          </cell>
          <cell r="I404">
            <v>63</v>
          </cell>
          <cell r="J404">
            <v>91</v>
          </cell>
          <cell r="K404">
            <v>73</v>
          </cell>
          <cell r="L404">
            <v>68</v>
          </cell>
          <cell r="M404">
            <v>490</v>
          </cell>
          <cell r="N404" t="str">
            <v>soundproof</v>
          </cell>
          <cell r="P404" t="str">
            <v>scrappy</v>
          </cell>
          <cell r="Q404">
            <v>1.5</v>
          </cell>
          <cell r="R404">
            <v>84</v>
          </cell>
          <cell r="S404" t="str">
            <v>EXPLOUD triggers earthquakes with the tremors it creates by bellowing. If this POKéMON violently inhales from the ports on its body, it’s a sign that it is preparing to let loose a huge bellow.</v>
          </cell>
          <cell r="T404" t="str">
            <v>https://raw.githubusercontent.com/PokeAPI/sprites/master/sprites/pokemon/other/official-artwork/295.png</v>
          </cell>
          <cell r="U404" t="str">
            <v>https://raw.githubusercontent.com/PokeAPI/sprites/master/sprites/pokemon/other/official-artwork/shiny/295.png</v>
          </cell>
        </row>
        <row r="405">
          <cell r="A405">
            <v>296</v>
          </cell>
          <cell r="C405" t="str">
            <v>Makuhita</v>
          </cell>
          <cell r="D405" t="str">
            <v>Standard</v>
          </cell>
          <cell r="E405" t="str">
            <v>fighting</v>
          </cell>
          <cell r="G405">
            <v>72</v>
          </cell>
          <cell r="H405">
            <v>60</v>
          </cell>
          <cell r="I405">
            <v>30</v>
          </cell>
          <cell r="J405">
            <v>20</v>
          </cell>
          <cell r="K405">
            <v>30</v>
          </cell>
          <cell r="L405">
            <v>25</v>
          </cell>
          <cell r="M405">
            <v>237</v>
          </cell>
          <cell r="N405" t="str">
            <v>thick-fat</v>
          </cell>
          <cell r="O405" t="str">
            <v>guts</v>
          </cell>
          <cell r="P405" t="str">
            <v>sheer-force</v>
          </cell>
          <cell r="Q405">
            <v>1</v>
          </cell>
          <cell r="R405">
            <v>86.4</v>
          </cell>
          <cell r="S405" t="str">
            <v>MAKUHITA is tenacious - it will keep getting up and attacking its foe however many times it is knocked down. Every time it gets back up, this POKéMON stores more energy in its body for evolving.</v>
          </cell>
          <cell r="T405" t="str">
            <v>https://raw.githubusercontent.com/PokeAPI/sprites/master/sprites/pokemon/other/official-artwork/296.png</v>
          </cell>
          <cell r="U405" t="str">
            <v>https://raw.githubusercontent.com/PokeAPI/sprites/master/sprites/pokemon/other/official-artwork/shiny/296.png</v>
          </cell>
        </row>
        <row r="406">
          <cell r="A406">
            <v>297</v>
          </cell>
          <cell r="C406" t="str">
            <v>Hariyama</v>
          </cell>
          <cell r="D406" t="str">
            <v>Standard</v>
          </cell>
          <cell r="E406" t="str">
            <v>fighting</v>
          </cell>
          <cell r="G406">
            <v>144</v>
          </cell>
          <cell r="H406">
            <v>120</v>
          </cell>
          <cell r="I406">
            <v>60</v>
          </cell>
          <cell r="J406">
            <v>40</v>
          </cell>
          <cell r="K406">
            <v>60</v>
          </cell>
          <cell r="L406">
            <v>50</v>
          </cell>
          <cell r="M406">
            <v>474</v>
          </cell>
          <cell r="N406" t="str">
            <v>thick-fat</v>
          </cell>
          <cell r="O406" t="str">
            <v>guts</v>
          </cell>
          <cell r="P406" t="str">
            <v>sheer-force</v>
          </cell>
          <cell r="Q406">
            <v>2.2999999999999998</v>
          </cell>
          <cell r="R406">
            <v>253.8</v>
          </cell>
          <cell r="S406" t="str">
            <v>It has the habit of challenging others without hesitation to tests of strength. It’s been known to stand on train tracks and stop trains using forearm thrusts.</v>
          </cell>
          <cell r="T406" t="str">
            <v>https://raw.githubusercontent.com/PokeAPI/sprites/master/sprites/pokemon/other/official-artwork/297.png</v>
          </cell>
          <cell r="U406" t="str">
            <v>https://raw.githubusercontent.com/PokeAPI/sprites/master/sprites/pokemon/other/official-artwork/shiny/297.png</v>
          </cell>
        </row>
        <row r="407">
          <cell r="A407">
            <v>298</v>
          </cell>
          <cell r="C407" t="str">
            <v>Azurill</v>
          </cell>
          <cell r="D407" t="str">
            <v>Standard</v>
          </cell>
          <cell r="E407" t="str">
            <v>normal</v>
          </cell>
          <cell r="F407" t="str">
            <v>fairy</v>
          </cell>
          <cell r="G407">
            <v>50</v>
          </cell>
          <cell r="H407">
            <v>20</v>
          </cell>
          <cell r="I407">
            <v>40</v>
          </cell>
          <cell r="J407">
            <v>20</v>
          </cell>
          <cell r="K407">
            <v>40</v>
          </cell>
          <cell r="L407">
            <v>20</v>
          </cell>
          <cell r="M407">
            <v>190</v>
          </cell>
          <cell r="N407" t="str">
            <v>thick-fat</v>
          </cell>
          <cell r="O407" t="str">
            <v>huge-power</v>
          </cell>
          <cell r="P407" t="str">
            <v>sap-sipper</v>
          </cell>
          <cell r="Q407">
            <v>0.2</v>
          </cell>
          <cell r="R407">
            <v>2</v>
          </cell>
          <cell r="S407" t="str">
            <v>A Pokémon that lives by water. It moves quickly on land by bouncing on its big tail.</v>
          </cell>
          <cell r="T407" t="str">
            <v>https://raw.githubusercontent.com/PokeAPI/sprites/master/sprites/pokemon/other/official-artwork/298.png</v>
          </cell>
          <cell r="U407" t="str">
            <v>https://raw.githubusercontent.com/PokeAPI/sprites/master/sprites/pokemon/other/official-artwork/shiny/298.png</v>
          </cell>
        </row>
        <row r="408">
          <cell r="A408">
            <v>299</v>
          </cell>
          <cell r="C408" t="str">
            <v>Nosepass</v>
          </cell>
          <cell r="D408" t="str">
            <v>Standard</v>
          </cell>
          <cell r="E408" t="str">
            <v>rock</v>
          </cell>
          <cell r="G408">
            <v>30</v>
          </cell>
          <cell r="H408">
            <v>45</v>
          </cell>
          <cell r="I408">
            <v>135</v>
          </cell>
          <cell r="J408">
            <v>45</v>
          </cell>
          <cell r="K408">
            <v>90</v>
          </cell>
          <cell r="L408">
            <v>30</v>
          </cell>
          <cell r="M408">
            <v>375</v>
          </cell>
          <cell r="N408" t="str">
            <v>sturdy</v>
          </cell>
          <cell r="O408" t="str">
            <v>magnet-pull</v>
          </cell>
          <cell r="P408" t="str">
            <v>sand-force</v>
          </cell>
          <cell r="Q408">
            <v>1</v>
          </cell>
          <cell r="R408">
            <v>97</v>
          </cell>
          <cell r="S408" t="str">
            <v>NOSEPASS’s magnetic nose is always pointed to the north. If two of these POKéMON meet, they cannot turn their faces to each other when they are close because their magnetic noses repel one another.</v>
          </cell>
          <cell r="T408" t="str">
            <v>https://raw.githubusercontent.com/PokeAPI/sprites/master/sprites/pokemon/other/official-artwork/299.png</v>
          </cell>
          <cell r="U408" t="str">
            <v>https://raw.githubusercontent.com/PokeAPI/sprites/master/sprites/pokemon/other/official-artwork/shiny/299.png</v>
          </cell>
        </row>
        <row r="409">
          <cell r="A409">
            <v>300</v>
          </cell>
          <cell r="C409" t="str">
            <v>Skitty</v>
          </cell>
          <cell r="D409" t="str">
            <v>Standard</v>
          </cell>
          <cell r="E409" t="str">
            <v>normal</v>
          </cell>
          <cell r="G409">
            <v>50</v>
          </cell>
          <cell r="H409">
            <v>45</v>
          </cell>
          <cell r="I409">
            <v>45</v>
          </cell>
          <cell r="J409">
            <v>35</v>
          </cell>
          <cell r="K409">
            <v>35</v>
          </cell>
          <cell r="L409">
            <v>50</v>
          </cell>
          <cell r="M409">
            <v>260</v>
          </cell>
          <cell r="N409" t="str">
            <v>cute-charm</v>
          </cell>
          <cell r="O409" t="str">
            <v>normalize</v>
          </cell>
          <cell r="P409" t="str">
            <v>wonder-skin</v>
          </cell>
          <cell r="Q409">
            <v>0.6</v>
          </cell>
          <cell r="R409">
            <v>11</v>
          </cell>
          <cell r="S409" t="str">
            <v>SKITTY has the habit of becoming fascinated by moving objects and chasing them around. This POKéMON is known to chase after its own tail and become dizzy.</v>
          </cell>
          <cell r="T409" t="str">
            <v>https://raw.githubusercontent.com/PokeAPI/sprites/master/sprites/pokemon/other/official-artwork/300.png</v>
          </cell>
          <cell r="U409" t="str">
            <v>https://raw.githubusercontent.com/PokeAPI/sprites/master/sprites/pokemon/other/official-artwork/shiny/300.png</v>
          </cell>
        </row>
        <row r="410">
          <cell r="A410">
            <v>301</v>
          </cell>
          <cell r="C410" t="str">
            <v>Delcatty</v>
          </cell>
          <cell r="D410" t="str">
            <v>Standard</v>
          </cell>
          <cell r="E410" t="str">
            <v>normal</v>
          </cell>
          <cell r="G410">
            <v>70</v>
          </cell>
          <cell r="H410">
            <v>65</v>
          </cell>
          <cell r="I410">
            <v>65</v>
          </cell>
          <cell r="J410">
            <v>55</v>
          </cell>
          <cell r="K410">
            <v>55</v>
          </cell>
          <cell r="L410">
            <v>90</v>
          </cell>
          <cell r="M410">
            <v>400</v>
          </cell>
          <cell r="N410" t="str">
            <v>cute-charm</v>
          </cell>
          <cell r="O410" t="str">
            <v>normalize</v>
          </cell>
          <cell r="P410" t="str">
            <v>wonder-skin</v>
          </cell>
          <cell r="Q410">
            <v>1.1000000000000001</v>
          </cell>
          <cell r="R410">
            <v>32.6</v>
          </cell>
          <cell r="S410" t="str">
            <v>DELCATTY prefers to live an unfettered existence in which it can do as it pleases at its own pace. Because this POKéMON eats and sleeps whenever it decides, its daily routines are completely random.</v>
          </cell>
          <cell r="T410" t="str">
            <v>https://raw.githubusercontent.com/PokeAPI/sprites/master/sprites/pokemon/other/official-artwork/301.png</v>
          </cell>
          <cell r="U410" t="str">
            <v>https://raw.githubusercontent.com/PokeAPI/sprites/master/sprites/pokemon/other/official-artwork/shiny/301.png</v>
          </cell>
        </row>
        <row r="411">
          <cell r="A411">
            <v>302</v>
          </cell>
          <cell r="C411" t="str">
            <v>Sableye</v>
          </cell>
          <cell r="D411" t="str">
            <v>Standard</v>
          </cell>
          <cell r="E411" t="str">
            <v>dark</v>
          </cell>
          <cell r="F411" t="str">
            <v>ghost</v>
          </cell>
          <cell r="G411">
            <v>50</v>
          </cell>
          <cell r="H411">
            <v>75</v>
          </cell>
          <cell r="I411">
            <v>75</v>
          </cell>
          <cell r="J411">
            <v>65</v>
          </cell>
          <cell r="K411">
            <v>65</v>
          </cell>
          <cell r="L411">
            <v>50</v>
          </cell>
          <cell r="M411">
            <v>380</v>
          </cell>
          <cell r="N411" t="str">
            <v>keen-eye</v>
          </cell>
          <cell r="O411" t="str">
            <v>stall</v>
          </cell>
          <cell r="P411" t="str">
            <v>prankster</v>
          </cell>
          <cell r="Q411">
            <v>0.5</v>
          </cell>
          <cell r="R411">
            <v>11</v>
          </cell>
          <cell r="S411" t="str">
            <v>SABLEYE lead quiet lives deep inside caverns. They are feared, however, because these POKéMON are thought to steal the spirits of people when their eyes burn with a sinister glow in the darkness.</v>
          </cell>
          <cell r="T411" t="str">
            <v>https://raw.githubusercontent.com/PokeAPI/sprites/master/sprites/pokemon/other/official-artwork/302.png</v>
          </cell>
          <cell r="U411" t="str">
            <v>https://raw.githubusercontent.com/PokeAPI/sprites/master/sprites/pokemon/other/official-artwork/shiny/302.png</v>
          </cell>
        </row>
        <row r="412">
          <cell r="A412">
            <v>302</v>
          </cell>
          <cell r="C412" t="str">
            <v>Sableye Mega</v>
          </cell>
          <cell r="D412" t="str">
            <v>Mega</v>
          </cell>
          <cell r="E412" t="str">
            <v>dark</v>
          </cell>
          <cell r="F412" t="str">
            <v>ghost</v>
          </cell>
          <cell r="G412">
            <v>50</v>
          </cell>
          <cell r="H412">
            <v>85</v>
          </cell>
          <cell r="I412">
            <v>125</v>
          </cell>
          <cell r="J412">
            <v>85</v>
          </cell>
          <cell r="K412">
            <v>115</v>
          </cell>
          <cell r="L412">
            <v>20</v>
          </cell>
          <cell r="M412">
            <v>480</v>
          </cell>
          <cell r="N412" t="str">
            <v>magic-bounce</v>
          </cell>
          <cell r="Q412">
            <v>0.5</v>
          </cell>
          <cell r="R412">
            <v>161</v>
          </cell>
          <cell r="S412" t="str">
            <v>SABLEYE lead quiet lives deep inside caverns. They are feared, however, because these POKéMON are thought to steal the spirits of people when their eyes burn with a sinister glow in the darkness.</v>
          </cell>
          <cell r="T412" t="str">
            <v>https://raw.githubusercontent.com/PokeAPI/sprites/master/sprites/pokemon/other/official-artwork/10066.png</v>
          </cell>
          <cell r="U412" t="str">
            <v>https://raw.githubusercontent.com/PokeAPI/sprites/master/sprites/pokemon/other/official-artwork/shiny/10066.png</v>
          </cell>
        </row>
        <row r="413">
          <cell r="A413">
            <v>303</v>
          </cell>
          <cell r="C413" t="str">
            <v>Mawile</v>
          </cell>
          <cell r="D413" t="str">
            <v>Standard</v>
          </cell>
          <cell r="E413" t="str">
            <v>steel</v>
          </cell>
          <cell r="F413" t="str">
            <v>fairy</v>
          </cell>
          <cell r="G413">
            <v>50</v>
          </cell>
          <cell r="H413">
            <v>85</v>
          </cell>
          <cell r="I413">
            <v>85</v>
          </cell>
          <cell r="J413">
            <v>55</v>
          </cell>
          <cell r="K413">
            <v>55</v>
          </cell>
          <cell r="L413">
            <v>50</v>
          </cell>
          <cell r="M413">
            <v>380</v>
          </cell>
          <cell r="N413" t="str">
            <v>hyper-cutter</v>
          </cell>
          <cell r="O413" t="str">
            <v>intimidate</v>
          </cell>
          <cell r="P413" t="str">
            <v>sheer-force</v>
          </cell>
          <cell r="Q413">
            <v>0.6</v>
          </cell>
          <cell r="R413">
            <v>11.5</v>
          </cell>
          <cell r="S413" t="str">
            <v>MAWHILE’s huge jaws are actually steel horns that have been transformed. Its docile-looking face serves to lull its foe into letting down its guard. When the foe least expects it, MAWHILE chomps it with its gaping jaws.</v>
          </cell>
          <cell r="T413" t="str">
            <v>https://raw.githubusercontent.com/PokeAPI/sprites/master/sprites/pokemon/other/official-artwork/303.png</v>
          </cell>
          <cell r="U413" t="str">
            <v>https://raw.githubusercontent.com/PokeAPI/sprites/master/sprites/pokemon/other/official-artwork/shiny/303.png</v>
          </cell>
        </row>
        <row r="414">
          <cell r="A414">
            <v>303</v>
          </cell>
          <cell r="C414" t="str">
            <v>Mawile Mega</v>
          </cell>
          <cell r="D414" t="str">
            <v>Mega</v>
          </cell>
          <cell r="E414" t="str">
            <v>steel</v>
          </cell>
          <cell r="F414" t="str">
            <v>fairy</v>
          </cell>
          <cell r="G414">
            <v>50</v>
          </cell>
          <cell r="H414">
            <v>105</v>
          </cell>
          <cell r="I414">
            <v>125</v>
          </cell>
          <cell r="J414">
            <v>55</v>
          </cell>
          <cell r="K414">
            <v>95</v>
          </cell>
          <cell r="L414">
            <v>50</v>
          </cell>
          <cell r="M414">
            <v>480</v>
          </cell>
          <cell r="N414" t="str">
            <v>huge-power</v>
          </cell>
          <cell r="Q414">
            <v>1</v>
          </cell>
          <cell r="R414">
            <v>23.5</v>
          </cell>
          <cell r="S414" t="str">
            <v>MAWHILE’s huge jaws are actually steel horns that have been transformed. Its docile-looking face serves to lull its foe into letting down its guard. When the foe least expects it, MAWHILE chomps it with its gaping jaws.</v>
          </cell>
          <cell r="T414" t="str">
            <v>https://raw.githubusercontent.com/PokeAPI/sprites/master/sprites/pokemon/other/official-artwork/10052.png</v>
          </cell>
          <cell r="U414" t="str">
            <v>https://raw.githubusercontent.com/PokeAPI/sprites/master/sprites/pokemon/other/official-artwork/shiny/10052.png</v>
          </cell>
        </row>
        <row r="415">
          <cell r="A415">
            <v>304</v>
          </cell>
          <cell r="C415" t="str">
            <v>Aron</v>
          </cell>
          <cell r="D415" t="str">
            <v>Standard</v>
          </cell>
          <cell r="E415" t="str">
            <v>steel</v>
          </cell>
          <cell r="F415" t="str">
            <v>rock</v>
          </cell>
          <cell r="G415">
            <v>50</v>
          </cell>
          <cell r="H415">
            <v>70</v>
          </cell>
          <cell r="I415">
            <v>100</v>
          </cell>
          <cell r="J415">
            <v>40</v>
          </cell>
          <cell r="K415">
            <v>40</v>
          </cell>
          <cell r="L415">
            <v>30</v>
          </cell>
          <cell r="M415">
            <v>330</v>
          </cell>
          <cell r="N415" t="str">
            <v>sturdy</v>
          </cell>
          <cell r="O415" t="str">
            <v>rock-head</v>
          </cell>
          <cell r="P415" t="str">
            <v>heavy-metal</v>
          </cell>
          <cell r="Q415">
            <v>0.4</v>
          </cell>
          <cell r="R415">
            <v>60</v>
          </cell>
          <cell r="S415" t="str">
            <v>This POKéMON has a body of steel. To make its body, ARON feeds on iron ore that it digs from mountains. Occasionally, it causes major trouble by eating bridges and rails.</v>
          </cell>
          <cell r="T415" t="str">
            <v>https://raw.githubusercontent.com/PokeAPI/sprites/master/sprites/pokemon/other/official-artwork/304.png</v>
          </cell>
          <cell r="U415" t="str">
            <v>https://raw.githubusercontent.com/PokeAPI/sprites/master/sprites/pokemon/other/official-artwork/shiny/304.png</v>
          </cell>
        </row>
        <row r="416">
          <cell r="A416">
            <v>305</v>
          </cell>
          <cell r="C416" t="str">
            <v>Lairon</v>
          </cell>
          <cell r="D416" t="str">
            <v>Standard</v>
          </cell>
          <cell r="E416" t="str">
            <v>steel</v>
          </cell>
          <cell r="F416" t="str">
            <v>rock</v>
          </cell>
          <cell r="G416">
            <v>60</v>
          </cell>
          <cell r="H416">
            <v>90</v>
          </cell>
          <cell r="I416">
            <v>140</v>
          </cell>
          <cell r="J416">
            <v>50</v>
          </cell>
          <cell r="K416">
            <v>50</v>
          </cell>
          <cell r="L416">
            <v>40</v>
          </cell>
          <cell r="M416">
            <v>430</v>
          </cell>
          <cell r="N416" t="str">
            <v>sturdy</v>
          </cell>
          <cell r="O416" t="str">
            <v>rock-head</v>
          </cell>
          <cell r="P416" t="str">
            <v>heavy-metal</v>
          </cell>
          <cell r="Q416">
            <v>0.9</v>
          </cell>
          <cell r="R416">
            <v>120</v>
          </cell>
          <cell r="S416" t="str">
            <v>LAIRON tempers its steel body by drinking highly nutritious mineral springwater until it is bloated. This POKéMON makes its nest close to springs of delicious water.</v>
          </cell>
          <cell r="T416" t="str">
            <v>https://raw.githubusercontent.com/PokeAPI/sprites/master/sprites/pokemon/other/official-artwork/305.png</v>
          </cell>
          <cell r="U416" t="str">
            <v>https://raw.githubusercontent.com/PokeAPI/sprites/master/sprites/pokemon/other/official-artwork/shiny/305.png</v>
          </cell>
        </row>
        <row r="417">
          <cell r="A417">
            <v>306</v>
          </cell>
          <cell r="C417" t="str">
            <v>Aggron</v>
          </cell>
          <cell r="D417" t="str">
            <v>Standard</v>
          </cell>
          <cell r="E417" t="str">
            <v>steel</v>
          </cell>
          <cell r="F417" t="str">
            <v>rock</v>
          </cell>
          <cell r="G417">
            <v>70</v>
          </cell>
          <cell r="H417">
            <v>110</v>
          </cell>
          <cell r="I417">
            <v>180</v>
          </cell>
          <cell r="J417">
            <v>60</v>
          </cell>
          <cell r="K417">
            <v>60</v>
          </cell>
          <cell r="L417">
            <v>50</v>
          </cell>
          <cell r="M417">
            <v>530</v>
          </cell>
          <cell r="N417" t="str">
            <v>sturdy</v>
          </cell>
          <cell r="O417" t="str">
            <v>rock-head</v>
          </cell>
          <cell r="P417" t="str">
            <v>heavy-metal</v>
          </cell>
          <cell r="Q417">
            <v>2.1</v>
          </cell>
          <cell r="R417">
            <v>360</v>
          </cell>
          <cell r="S417" t="str">
            <v>AGGRON claims an entire mountain as its own territory. It mercilessly beats up anything that violates its environment. This POKéMON vigilantly patrols its territory at all times.</v>
          </cell>
          <cell r="T417" t="str">
            <v>https://raw.githubusercontent.com/PokeAPI/sprites/master/sprites/pokemon/other/official-artwork/306.png</v>
          </cell>
          <cell r="U417" t="str">
            <v>https://raw.githubusercontent.com/PokeAPI/sprites/master/sprites/pokemon/other/official-artwork/shiny/306.png</v>
          </cell>
        </row>
        <row r="418">
          <cell r="A418">
            <v>306</v>
          </cell>
          <cell r="C418" t="str">
            <v>Aggron Mega</v>
          </cell>
          <cell r="D418" t="str">
            <v>Mega</v>
          </cell>
          <cell r="E418" t="str">
            <v>steel</v>
          </cell>
          <cell r="G418">
            <v>70</v>
          </cell>
          <cell r="H418">
            <v>140</v>
          </cell>
          <cell r="I418">
            <v>230</v>
          </cell>
          <cell r="J418">
            <v>60</v>
          </cell>
          <cell r="K418">
            <v>80</v>
          </cell>
          <cell r="L418">
            <v>50</v>
          </cell>
          <cell r="M418">
            <v>630</v>
          </cell>
          <cell r="N418" t="str">
            <v>filter</v>
          </cell>
          <cell r="Q418">
            <v>2.2000000000000002</v>
          </cell>
          <cell r="R418">
            <v>395</v>
          </cell>
          <cell r="S418" t="str">
            <v>AGGRON claims an entire mountain as its own territory. It mercilessly beats up anything that violates its environment. This POKéMON vigilantly patrols its territory at all times.</v>
          </cell>
          <cell r="T418" t="str">
            <v>https://raw.githubusercontent.com/PokeAPI/sprites/master/sprites/pokemon/other/official-artwork/10053.png</v>
          </cell>
          <cell r="U418" t="str">
            <v>https://raw.githubusercontent.com/PokeAPI/sprites/master/sprites/pokemon/other/official-artwork/shiny/10053.png</v>
          </cell>
        </row>
        <row r="419">
          <cell r="A419">
            <v>307</v>
          </cell>
          <cell r="C419" t="str">
            <v>Meditite</v>
          </cell>
          <cell r="D419" t="str">
            <v>Standard</v>
          </cell>
          <cell r="E419" t="str">
            <v>fighting</v>
          </cell>
          <cell r="F419" t="str">
            <v>psychic</v>
          </cell>
          <cell r="G419">
            <v>30</v>
          </cell>
          <cell r="H419">
            <v>40</v>
          </cell>
          <cell r="I419">
            <v>55</v>
          </cell>
          <cell r="J419">
            <v>40</v>
          </cell>
          <cell r="K419">
            <v>55</v>
          </cell>
          <cell r="L419">
            <v>60</v>
          </cell>
          <cell r="M419">
            <v>280</v>
          </cell>
          <cell r="N419" t="str">
            <v>pure-power</v>
          </cell>
          <cell r="P419" t="str">
            <v>telepathy</v>
          </cell>
          <cell r="Q419">
            <v>0.6</v>
          </cell>
          <cell r="R419">
            <v>11.2</v>
          </cell>
          <cell r="S419" t="str">
            <v>MEDITITE undertakes rigorous mental training deep in the mountains. However, whenever it meditates, this POKéMON always loses its concentration and focus. As a result, its training never ends.</v>
          </cell>
          <cell r="T419" t="str">
            <v>https://raw.githubusercontent.com/PokeAPI/sprites/master/sprites/pokemon/other/official-artwork/307.png</v>
          </cell>
          <cell r="U419" t="str">
            <v>https://raw.githubusercontent.com/PokeAPI/sprites/master/sprites/pokemon/other/official-artwork/shiny/307.png</v>
          </cell>
        </row>
        <row r="420">
          <cell r="A420">
            <v>308</v>
          </cell>
          <cell r="C420" t="str">
            <v>Medicham</v>
          </cell>
          <cell r="D420" t="str">
            <v>Standard</v>
          </cell>
          <cell r="E420" t="str">
            <v>fighting</v>
          </cell>
          <cell r="F420" t="str">
            <v>psychic</v>
          </cell>
          <cell r="G420">
            <v>60</v>
          </cell>
          <cell r="H420">
            <v>60</v>
          </cell>
          <cell r="I420">
            <v>75</v>
          </cell>
          <cell r="J420">
            <v>60</v>
          </cell>
          <cell r="K420">
            <v>75</v>
          </cell>
          <cell r="L420">
            <v>80</v>
          </cell>
          <cell r="M420">
            <v>410</v>
          </cell>
          <cell r="N420" t="str">
            <v>pure-power</v>
          </cell>
          <cell r="P420" t="str">
            <v>telepathy</v>
          </cell>
          <cell r="Q420">
            <v>1.3</v>
          </cell>
          <cell r="R420">
            <v>31.5</v>
          </cell>
          <cell r="S420" t="str">
            <v>It is said that through meditation, MEDICHAM heightens energy inside its body and sharpens its sixth sense. This POKéMON hides its presence by merging itself with fields and mountains.</v>
          </cell>
          <cell r="T420" t="str">
            <v>https://raw.githubusercontent.com/PokeAPI/sprites/master/sprites/pokemon/other/official-artwork/308.png</v>
          </cell>
          <cell r="U420" t="str">
            <v>https://raw.githubusercontent.com/PokeAPI/sprites/master/sprites/pokemon/other/official-artwork/shiny/308.png</v>
          </cell>
        </row>
        <row r="421">
          <cell r="A421">
            <v>308</v>
          </cell>
          <cell r="C421" t="str">
            <v>Medicham Mega</v>
          </cell>
          <cell r="D421" t="str">
            <v>Mega</v>
          </cell>
          <cell r="E421" t="str">
            <v>fighting</v>
          </cell>
          <cell r="F421" t="str">
            <v>psychic</v>
          </cell>
          <cell r="G421">
            <v>60</v>
          </cell>
          <cell r="H421">
            <v>100</v>
          </cell>
          <cell r="I421">
            <v>85</v>
          </cell>
          <cell r="J421">
            <v>80</v>
          </cell>
          <cell r="K421">
            <v>85</v>
          </cell>
          <cell r="L421">
            <v>100</v>
          </cell>
          <cell r="M421">
            <v>510</v>
          </cell>
          <cell r="N421" t="str">
            <v>pure-power</v>
          </cell>
          <cell r="Q421">
            <v>1.3</v>
          </cell>
          <cell r="R421">
            <v>31.5</v>
          </cell>
          <cell r="S421" t="str">
            <v>It is said that through meditation, MEDICHAM heightens energy inside its body and sharpens its sixth sense. This POKéMON hides its presence by merging itself with fields and mountains.</v>
          </cell>
          <cell r="T421" t="str">
            <v>https://raw.githubusercontent.com/PokeAPI/sprites/master/sprites/pokemon/other/official-artwork/10054.png</v>
          </cell>
          <cell r="U421" t="str">
            <v>https://raw.githubusercontent.com/PokeAPI/sprites/master/sprites/pokemon/other/official-artwork/shiny/10054.png</v>
          </cell>
        </row>
        <row r="422">
          <cell r="A422">
            <v>309</v>
          </cell>
          <cell r="C422" t="str">
            <v>Electrike</v>
          </cell>
          <cell r="D422" t="str">
            <v>Standard</v>
          </cell>
          <cell r="E422" t="str">
            <v>electric</v>
          </cell>
          <cell r="G422">
            <v>40</v>
          </cell>
          <cell r="H422">
            <v>45</v>
          </cell>
          <cell r="I422">
            <v>40</v>
          </cell>
          <cell r="J422">
            <v>65</v>
          </cell>
          <cell r="K422">
            <v>40</v>
          </cell>
          <cell r="L422">
            <v>65</v>
          </cell>
          <cell r="M422">
            <v>295</v>
          </cell>
          <cell r="N422" t="str">
            <v>static</v>
          </cell>
          <cell r="O422" t="str">
            <v>lightning-rod</v>
          </cell>
          <cell r="P422" t="str">
            <v>minus</v>
          </cell>
          <cell r="Q422">
            <v>0.6</v>
          </cell>
          <cell r="R422">
            <v>15.2</v>
          </cell>
          <cell r="S422" t="str">
            <v>ELECTRIKE stores electricity in its long body hair. This POKéMON stimulates its leg muscles with electric charges. These jolts of power give its legs explosive acceleration performance.</v>
          </cell>
          <cell r="T422" t="str">
            <v>https://raw.githubusercontent.com/PokeAPI/sprites/master/sprites/pokemon/other/official-artwork/309.png</v>
          </cell>
          <cell r="U422" t="str">
            <v>https://raw.githubusercontent.com/PokeAPI/sprites/master/sprites/pokemon/other/official-artwork/shiny/309.png</v>
          </cell>
        </row>
        <row r="423">
          <cell r="A423">
            <v>310</v>
          </cell>
          <cell r="C423" t="str">
            <v>Manectric</v>
          </cell>
          <cell r="D423" t="str">
            <v>Standard</v>
          </cell>
          <cell r="E423" t="str">
            <v>electric</v>
          </cell>
          <cell r="G423">
            <v>70</v>
          </cell>
          <cell r="H423">
            <v>75</v>
          </cell>
          <cell r="I423">
            <v>60</v>
          </cell>
          <cell r="J423">
            <v>105</v>
          </cell>
          <cell r="K423">
            <v>60</v>
          </cell>
          <cell r="L423">
            <v>105</v>
          </cell>
          <cell r="M423">
            <v>475</v>
          </cell>
          <cell r="N423" t="str">
            <v>static</v>
          </cell>
          <cell r="O423" t="str">
            <v>lightning-rod</v>
          </cell>
          <cell r="P423" t="str">
            <v>minus</v>
          </cell>
          <cell r="Q423">
            <v>1.5</v>
          </cell>
          <cell r="R423">
            <v>40.200000000000003</v>
          </cell>
          <cell r="S423" t="str">
            <v>MANECTRIC is constantly discharging electricity from its mane. The sparks sometimes ignite forest fires. When it enters a battle, this POKéMON creates thunderclouds.</v>
          </cell>
          <cell r="T423" t="str">
            <v>https://raw.githubusercontent.com/PokeAPI/sprites/master/sprites/pokemon/other/official-artwork/310.png</v>
          </cell>
          <cell r="U423" t="str">
            <v>https://raw.githubusercontent.com/PokeAPI/sprites/master/sprites/pokemon/other/official-artwork/shiny/310.png</v>
          </cell>
        </row>
        <row r="424">
          <cell r="A424">
            <v>310</v>
          </cell>
          <cell r="C424" t="str">
            <v>Manectric Mega</v>
          </cell>
          <cell r="D424" t="str">
            <v>Mega</v>
          </cell>
          <cell r="E424" t="str">
            <v>electric</v>
          </cell>
          <cell r="G424">
            <v>70</v>
          </cell>
          <cell r="H424">
            <v>75</v>
          </cell>
          <cell r="I424">
            <v>80</v>
          </cell>
          <cell r="J424">
            <v>135</v>
          </cell>
          <cell r="K424">
            <v>80</v>
          </cell>
          <cell r="L424">
            <v>135</v>
          </cell>
          <cell r="M424">
            <v>575</v>
          </cell>
          <cell r="N424" t="str">
            <v>intimidate</v>
          </cell>
          <cell r="Q424">
            <v>1.8</v>
          </cell>
          <cell r="R424">
            <v>44</v>
          </cell>
          <cell r="S424" t="str">
            <v>MANECTRIC is constantly discharging electricity from its mane. The sparks sometimes ignite forest fires. When it enters a battle, this POKéMON creates thunderclouds.</v>
          </cell>
          <cell r="T424" t="str">
            <v>https://raw.githubusercontent.com/PokeAPI/sprites/master/sprites/pokemon/other/official-artwork/10055.png</v>
          </cell>
          <cell r="U424" t="str">
            <v>https://raw.githubusercontent.com/PokeAPI/sprites/master/sprites/pokemon/other/official-artwork/shiny/10055.png</v>
          </cell>
        </row>
        <row r="425">
          <cell r="A425">
            <v>311</v>
          </cell>
          <cell r="C425" t="str">
            <v>Plusle</v>
          </cell>
          <cell r="D425" t="str">
            <v>Standard</v>
          </cell>
          <cell r="E425" t="str">
            <v>electric</v>
          </cell>
          <cell r="G425">
            <v>60</v>
          </cell>
          <cell r="H425">
            <v>50</v>
          </cell>
          <cell r="I425">
            <v>40</v>
          </cell>
          <cell r="J425">
            <v>85</v>
          </cell>
          <cell r="K425">
            <v>75</v>
          </cell>
          <cell r="L425">
            <v>95</v>
          </cell>
          <cell r="M425">
            <v>405</v>
          </cell>
          <cell r="N425" t="str">
            <v>plus</v>
          </cell>
          <cell r="P425" t="str">
            <v>lightning-rod</v>
          </cell>
          <cell r="Q425">
            <v>0.4</v>
          </cell>
          <cell r="R425">
            <v>4.2</v>
          </cell>
          <cell r="S425" t="str">
            <v>PLUSLE always acts as a cheerleader for its partners. Whenever a teammate puts out a good effort in battle, this POKéMON shorts out its body to create the crackling noises of sparks to show its joy.</v>
          </cell>
          <cell r="T425" t="str">
            <v>https://raw.githubusercontent.com/PokeAPI/sprites/master/sprites/pokemon/other/official-artwork/311.png</v>
          </cell>
          <cell r="U425" t="str">
            <v>https://raw.githubusercontent.com/PokeAPI/sprites/master/sprites/pokemon/other/official-artwork/shiny/311.png</v>
          </cell>
        </row>
        <row r="426">
          <cell r="A426">
            <v>312</v>
          </cell>
          <cell r="C426" t="str">
            <v>Minun</v>
          </cell>
          <cell r="D426" t="str">
            <v>Standard</v>
          </cell>
          <cell r="E426" t="str">
            <v>electric</v>
          </cell>
          <cell r="G426">
            <v>60</v>
          </cell>
          <cell r="H426">
            <v>40</v>
          </cell>
          <cell r="I426">
            <v>50</v>
          </cell>
          <cell r="J426">
            <v>75</v>
          </cell>
          <cell r="K426">
            <v>85</v>
          </cell>
          <cell r="L426">
            <v>95</v>
          </cell>
          <cell r="M426">
            <v>405</v>
          </cell>
          <cell r="N426" t="str">
            <v>minus</v>
          </cell>
          <cell r="P426" t="str">
            <v>volt-absorb</v>
          </cell>
          <cell r="Q426">
            <v>0.4</v>
          </cell>
          <cell r="R426">
            <v>4.2</v>
          </cell>
          <cell r="S426" t="str">
            <v>MINUN is more concerned about cheering on its partners than its own safety. It shorts out the electricity in its body to create brilliant showers of sparks to cheer on its teammates.</v>
          </cell>
          <cell r="T426" t="str">
            <v>https://raw.githubusercontent.com/PokeAPI/sprites/master/sprites/pokemon/other/official-artwork/312.png</v>
          </cell>
          <cell r="U426" t="str">
            <v>https://raw.githubusercontent.com/PokeAPI/sprites/master/sprites/pokemon/other/official-artwork/shiny/312.png</v>
          </cell>
        </row>
        <row r="427">
          <cell r="A427">
            <v>313</v>
          </cell>
          <cell r="C427" t="str">
            <v>Volbeat</v>
          </cell>
          <cell r="D427" t="str">
            <v>Standard</v>
          </cell>
          <cell r="E427" t="str">
            <v>bug</v>
          </cell>
          <cell r="G427">
            <v>65</v>
          </cell>
          <cell r="H427">
            <v>73</v>
          </cell>
          <cell r="I427">
            <v>75</v>
          </cell>
          <cell r="J427">
            <v>47</v>
          </cell>
          <cell r="K427">
            <v>85</v>
          </cell>
          <cell r="L427">
            <v>85</v>
          </cell>
          <cell r="M427">
            <v>430</v>
          </cell>
          <cell r="N427" t="str">
            <v>illuminate</v>
          </cell>
          <cell r="O427" t="str">
            <v>swarm</v>
          </cell>
          <cell r="P427" t="str">
            <v>prankster</v>
          </cell>
          <cell r="Q427">
            <v>0.7</v>
          </cell>
          <cell r="R427">
            <v>17.7</v>
          </cell>
          <cell r="S427" t="str">
            <v>With the arrival of night, VOLBEAT emits light from its tail. It communicates with others by adjusting the intensity and flashing of its light. This POKéMON is attracted by the sweet aroma of ILLUMISE.</v>
          </cell>
          <cell r="T427" t="str">
            <v>https://raw.githubusercontent.com/PokeAPI/sprites/master/sprites/pokemon/other/official-artwork/313.png</v>
          </cell>
          <cell r="U427" t="str">
            <v>https://raw.githubusercontent.com/PokeAPI/sprites/master/sprites/pokemon/other/official-artwork/shiny/313.png</v>
          </cell>
        </row>
        <row r="428">
          <cell r="A428">
            <v>314</v>
          </cell>
          <cell r="C428" t="str">
            <v>Illumise</v>
          </cell>
          <cell r="D428" t="str">
            <v>Standard</v>
          </cell>
          <cell r="E428" t="str">
            <v>bug</v>
          </cell>
          <cell r="G428">
            <v>65</v>
          </cell>
          <cell r="H428">
            <v>47</v>
          </cell>
          <cell r="I428">
            <v>75</v>
          </cell>
          <cell r="J428">
            <v>73</v>
          </cell>
          <cell r="K428">
            <v>85</v>
          </cell>
          <cell r="L428">
            <v>85</v>
          </cell>
          <cell r="M428">
            <v>430</v>
          </cell>
          <cell r="N428" t="str">
            <v>oblivious</v>
          </cell>
          <cell r="O428" t="str">
            <v>tinted-lens</v>
          </cell>
          <cell r="P428" t="str">
            <v>prankster</v>
          </cell>
          <cell r="Q428">
            <v>0.6</v>
          </cell>
          <cell r="R428">
            <v>17.7</v>
          </cell>
          <cell r="S428" t="str">
            <v>With its sweet aroma, it guides Volbeat to draw signs with light in the night sky.</v>
          </cell>
          <cell r="T428" t="str">
            <v>https://raw.githubusercontent.com/PokeAPI/sprites/master/sprites/pokemon/other/official-artwork/314.png</v>
          </cell>
          <cell r="U428" t="str">
            <v>https://raw.githubusercontent.com/PokeAPI/sprites/master/sprites/pokemon/other/official-artwork/shiny/314.png</v>
          </cell>
        </row>
        <row r="429">
          <cell r="A429">
            <v>315</v>
          </cell>
          <cell r="C429" t="str">
            <v>Roselia</v>
          </cell>
          <cell r="D429" t="str">
            <v>Standard</v>
          </cell>
          <cell r="E429" t="str">
            <v>grass</v>
          </cell>
          <cell r="F429" t="str">
            <v>poison</v>
          </cell>
          <cell r="G429">
            <v>50</v>
          </cell>
          <cell r="H429">
            <v>60</v>
          </cell>
          <cell r="I429">
            <v>45</v>
          </cell>
          <cell r="J429">
            <v>100</v>
          </cell>
          <cell r="K429">
            <v>80</v>
          </cell>
          <cell r="L429">
            <v>65</v>
          </cell>
          <cell r="M429">
            <v>400</v>
          </cell>
          <cell r="N429" t="str">
            <v>natural-cure</v>
          </cell>
          <cell r="O429" t="str">
            <v>poison-point</v>
          </cell>
          <cell r="P429" t="str">
            <v>leaf-guard</v>
          </cell>
          <cell r="Q429">
            <v>0.3</v>
          </cell>
          <cell r="R429">
            <v>2</v>
          </cell>
          <cell r="S429" t="str">
            <v>ROSELIA shoots sharp thorns as projectiles at any opponent that tries to steal the flowers on its arms. The aroma of this POKéMON brings serenity to living things.</v>
          </cell>
          <cell r="T429" t="str">
            <v>https://raw.githubusercontent.com/PokeAPI/sprites/master/sprites/pokemon/other/official-artwork/315.png</v>
          </cell>
          <cell r="U429" t="str">
            <v>https://raw.githubusercontent.com/PokeAPI/sprites/master/sprites/pokemon/other/official-artwork/shiny/315.png</v>
          </cell>
        </row>
        <row r="430">
          <cell r="A430">
            <v>316</v>
          </cell>
          <cell r="C430" t="str">
            <v>Gulpin</v>
          </cell>
          <cell r="D430" t="str">
            <v>Standard</v>
          </cell>
          <cell r="E430" t="str">
            <v>poison</v>
          </cell>
          <cell r="G430">
            <v>70</v>
          </cell>
          <cell r="H430">
            <v>43</v>
          </cell>
          <cell r="I430">
            <v>53</v>
          </cell>
          <cell r="J430">
            <v>43</v>
          </cell>
          <cell r="K430">
            <v>53</v>
          </cell>
          <cell r="L430">
            <v>40</v>
          </cell>
          <cell r="M430">
            <v>302</v>
          </cell>
          <cell r="N430" t="str">
            <v>liquid-ooze</v>
          </cell>
          <cell r="O430" t="str">
            <v>sticky-hold</v>
          </cell>
          <cell r="P430" t="str">
            <v>gluttony</v>
          </cell>
          <cell r="Q430">
            <v>0.4</v>
          </cell>
          <cell r="R430">
            <v>10.3</v>
          </cell>
          <cell r="S430" t="str">
            <v>Virtually all of GULPIN’s body is its stomach. As a result, it can swallow something its own size. This POKéMON’s stomach contains a special fluid that digests anything.</v>
          </cell>
          <cell r="T430" t="str">
            <v>https://raw.githubusercontent.com/PokeAPI/sprites/master/sprites/pokemon/other/official-artwork/316.png</v>
          </cell>
          <cell r="U430" t="str">
            <v>https://raw.githubusercontent.com/PokeAPI/sprites/master/sprites/pokemon/other/official-artwork/shiny/316.png</v>
          </cell>
        </row>
        <row r="431">
          <cell r="A431">
            <v>317</v>
          </cell>
          <cell r="C431" t="str">
            <v>Swalot</v>
          </cell>
          <cell r="D431" t="str">
            <v>Standard</v>
          </cell>
          <cell r="E431" t="str">
            <v>poison</v>
          </cell>
          <cell r="G431">
            <v>100</v>
          </cell>
          <cell r="H431">
            <v>73</v>
          </cell>
          <cell r="I431">
            <v>83</v>
          </cell>
          <cell r="J431">
            <v>73</v>
          </cell>
          <cell r="K431">
            <v>83</v>
          </cell>
          <cell r="L431">
            <v>55</v>
          </cell>
          <cell r="M431">
            <v>467</v>
          </cell>
          <cell r="N431" t="str">
            <v>liquid-ooze</v>
          </cell>
          <cell r="O431" t="str">
            <v>sticky-hold</v>
          </cell>
          <cell r="P431" t="str">
            <v>gluttony</v>
          </cell>
          <cell r="Q431">
            <v>1.7</v>
          </cell>
          <cell r="R431">
            <v>80</v>
          </cell>
          <cell r="S431" t="str">
            <v>When SWALOT spots prey, it spurts out a hideously toxic fluid from its pores and sprays the target. Once the prey has weakened, this POKéMON gulps it down whole with its cavernous mouth.</v>
          </cell>
          <cell r="T431" t="str">
            <v>https://raw.githubusercontent.com/PokeAPI/sprites/master/sprites/pokemon/other/official-artwork/317.png</v>
          </cell>
          <cell r="U431" t="str">
            <v>https://raw.githubusercontent.com/PokeAPI/sprites/master/sprites/pokemon/other/official-artwork/shiny/317.png</v>
          </cell>
        </row>
        <row r="432">
          <cell r="A432">
            <v>318</v>
          </cell>
          <cell r="C432" t="str">
            <v>Carvanha</v>
          </cell>
          <cell r="D432" t="str">
            <v>Standard</v>
          </cell>
          <cell r="E432" t="str">
            <v>water</v>
          </cell>
          <cell r="F432" t="str">
            <v>dark</v>
          </cell>
          <cell r="G432">
            <v>45</v>
          </cell>
          <cell r="H432">
            <v>90</v>
          </cell>
          <cell r="I432">
            <v>20</v>
          </cell>
          <cell r="J432">
            <v>65</v>
          </cell>
          <cell r="K432">
            <v>20</v>
          </cell>
          <cell r="L432">
            <v>65</v>
          </cell>
          <cell r="M432">
            <v>305</v>
          </cell>
          <cell r="N432" t="str">
            <v>rough-skin</v>
          </cell>
          <cell r="P432" t="str">
            <v>speed-boost</v>
          </cell>
          <cell r="Q432">
            <v>0.8</v>
          </cell>
          <cell r="R432">
            <v>20.8</v>
          </cell>
          <cell r="S432" t="str">
            <v>CARVANHA’s strongly developed jaws and its sharply pointed fangs pack the destructive power to rip out boat hulls. Many boats have been attacked and sunk by this POKéMON.</v>
          </cell>
          <cell r="T432" t="str">
            <v>https://raw.githubusercontent.com/PokeAPI/sprites/master/sprites/pokemon/other/official-artwork/318.png</v>
          </cell>
          <cell r="U432" t="str">
            <v>https://raw.githubusercontent.com/PokeAPI/sprites/master/sprites/pokemon/other/official-artwork/shiny/318.png</v>
          </cell>
        </row>
        <row r="433">
          <cell r="A433">
            <v>319</v>
          </cell>
          <cell r="C433" t="str">
            <v>Sharpedo</v>
          </cell>
          <cell r="D433" t="str">
            <v>Standard</v>
          </cell>
          <cell r="E433" t="str">
            <v>water</v>
          </cell>
          <cell r="F433" t="str">
            <v>dark</v>
          </cell>
          <cell r="G433">
            <v>70</v>
          </cell>
          <cell r="H433">
            <v>120</v>
          </cell>
          <cell r="I433">
            <v>40</v>
          </cell>
          <cell r="J433">
            <v>95</v>
          </cell>
          <cell r="K433">
            <v>40</v>
          </cell>
          <cell r="L433">
            <v>95</v>
          </cell>
          <cell r="M433">
            <v>460</v>
          </cell>
          <cell r="N433" t="str">
            <v>rough-skin</v>
          </cell>
          <cell r="P433" t="str">
            <v>speed-boost</v>
          </cell>
          <cell r="Q433">
            <v>1.8</v>
          </cell>
          <cell r="R433">
            <v>88.8</v>
          </cell>
          <cell r="S433" t="str">
            <v>Nicknamed “the bully of the sea,” SHARPEDO is widely feared. Its cruel fangs grow back immediately if they snap off. Just one of these POKéMON can thoroughly tear apart a supertanker.</v>
          </cell>
          <cell r="T433" t="str">
            <v>https://raw.githubusercontent.com/PokeAPI/sprites/master/sprites/pokemon/other/official-artwork/319.png</v>
          </cell>
          <cell r="U433" t="str">
            <v>https://raw.githubusercontent.com/PokeAPI/sprites/master/sprites/pokemon/other/official-artwork/shiny/319.png</v>
          </cell>
        </row>
        <row r="434">
          <cell r="A434">
            <v>319</v>
          </cell>
          <cell r="C434" t="str">
            <v>Sharpedo Mega</v>
          </cell>
          <cell r="D434" t="str">
            <v>Mega</v>
          </cell>
          <cell r="E434" t="str">
            <v>water</v>
          </cell>
          <cell r="F434" t="str">
            <v>dark</v>
          </cell>
          <cell r="G434">
            <v>70</v>
          </cell>
          <cell r="H434">
            <v>140</v>
          </cell>
          <cell r="I434">
            <v>70</v>
          </cell>
          <cell r="J434">
            <v>110</v>
          </cell>
          <cell r="K434">
            <v>65</v>
          </cell>
          <cell r="L434">
            <v>105</v>
          </cell>
          <cell r="M434">
            <v>560</v>
          </cell>
          <cell r="N434" t="str">
            <v>strong-jaw</v>
          </cell>
          <cell r="Q434">
            <v>2.5</v>
          </cell>
          <cell r="R434">
            <v>130.30000000000001</v>
          </cell>
          <cell r="S434" t="str">
            <v>Nicknamed “the bully of the sea,” SHARPEDO is widely feared. Its cruel fangs grow back immediately if they snap off. Just one of these POKéMON can thoroughly tear apart a supertanker.</v>
          </cell>
          <cell r="T434" t="str">
            <v>https://raw.githubusercontent.com/PokeAPI/sprites/master/sprites/pokemon/other/official-artwork/10070.png</v>
          </cell>
          <cell r="U434" t="str">
            <v>https://raw.githubusercontent.com/PokeAPI/sprites/master/sprites/pokemon/other/official-artwork/shiny/10070.png</v>
          </cell>
        </row>
        <row r="435">
          <cell r="A435">
            <v>320</v>
          </cell>
          <cell r="C435" t="str">
            <v>Wailmer</v>
          </cell>
          <cell r="D435" t="str">
            <v>Standard</v>
          </cell>
          <cell r="E435" t="str">
            <v>water</v>
          </cell>
          <cell r="G435">
            <v>130</v>
          </cell>
          <cell r="H435">
            <v>70</v>
          </cell>
          <cell r="I435">
            <v>35</v>
          </cell>
          <cell r="J435">
            <v>70</v>
          </cell>
          <cell r="K435">
            <v>35</v>
          </cell>
          <cell r="L435">
            <v>60</v>
          </cell>
          <cell r="M435">
            <v>400</v>
          </cell>
          <cell r="N435" t="str">
            <v>water-veil</v>
          </cell>
          <cell r="O435" t="str">
            <v>oblivious</v>
          </cell>
          <cell r="P435" t="str">
            <v>pressure</v>
          </cell>
          <cell r="Q435">
            <v>2</v>
          </cell>
          <cell r="R435">
            <v>130</v>
          </cell>
          <cell r="S435" t="str">
            <v>WAILMER’s nostrils are located above its eyes. This playful POKéMON loves to startle people by forcefully snorting out seawater it stores inside its body out of its nostrils.</v>
          </cell>
          <cell r="T435" t="str">
            <v>https://raw.githubusercontent.com/PokeAPI/sprites/master/sprites/pokemon/other/official-artwork/320.png</v>
          </cell>
          <cell r="U435" t="str">
            <v>https://raw.githubusercontent.com/PokeAPI/sprites/master/sprites/pokemon/other/official-artwork/shiny/320.png</v>
          </cell>
        </row>
        <row r="436">
          <cell r="A436">
            <v>321</v>
          </cell>
          <cell r="C436" t="str">
            <v>Wailord</v>
          </cell>
          <cell r="D436" t="str">
            <v>Standard</v>
          </cell>
          <cell r="E436" t="str">
            <v>water</v>
          </cell>
          <cell r="G436">
            <v>170</v>
          </cell>
          <cell r="H436">
            <v>90</v>
          </cell>
          <cell r="I436">
            <v>45</v>
          </cell>
          <cell r="J436">
            <v>90</v>
          </cell>
          <cell r="K436">
            <v>45</v>
          </cell>
          <cell r="L436">
            <v>60</v>
          </cell>
          <cell r="M436">
            <v>500</v>
          </cell>
          <cell r="N436" t="str">
            <v>water-veil</v>
          </cell>
          <cell r="O436" t="str">
            <v>oblivious</v>
          </cell>
          <cell r="P436" t="str">
            <v>pressure</v>
          </cell>
          <cell r="Q436">
            <v>14.5</v>
          </cell>
          <cell r="R436">
            <v>398</v>
          </cell>
          <cell r="S436" t="str">
            <v>WAILORD is the largest of all identified POKéMON up to now. This giant POKéMON swims languorously in the vast open sea, eating massive amounts of food at once with its enormous mouth.</v>
          </cell>
          <cell r="T436" t="str">
            <v>https://raw.githubusercontent.com/PokeAPI/sprites/master/sprites/pokemon/other/official-artwork/321.png</v>
          </cell>
          <cell r="U436" t="str">
            <v>https://raw.githubusercontent.com/PokeAPI/sprites/master/sprites/pokemon/other/official-artwork/shiny/321.png</v>
          </cell>
        </row>
        <row r="437">
          <cell r="A437">
            <v>322</v>
          </cell>
          <cell r="C437" t="str">
            <v>Numel</v>
          </cell>
          <cell r="D437" t="str">
            <v>Standard</v>
          </cell>
          <cell r="E437" t="str">
            <v>fire</v>
          </cell>
          <cell r="F437" t="str">
            <v>ground</v>
          </cell>
          <cell r="G437">
            <v>60</v>
          </cell>
          <cell r="H437">
            <v>60</v>
          </cell>
          <cell r="I437">
            <v>40</v>
          </cell>
          <cell r="J437">
            <v>65</v>
          </cell>
          <cell r="K437">
            <v>45</v>
          </cell>
          <cell r="L437">
            <v>35</v>
          </cell>
          <cell r="M437">
            <v>305</v>
          </cell>
          <cell r="N437" t="str">
            <v>oblivious</v>
          </cell>
          <cell r="O437" t="str">
            <v>simple</v>
          </cell>
          <cell r="P437" t="str">
            <v>own-tempo</v>
          </cell>
          <cell r="Q437">
            <v>0.7</v>
          </cell>
          <cell r="R437">
            <v>24</v>
          </cell>
          <cell r="S437" t="str">
            <v>NUMEL is extremely dull witted - it doesn’t notice being hit. However, it can’t stand hunger for even a second. This POKéMON’s body is a seething cauldron of boiling magma.</v>
          </cell>
          <cell r="T437" t="str">
            <v>https://raw.githubusercontent.com/PokeAPI/sprites/master/sprites/pokemon/other/official-artwork/322.png</v>
          </cell>
          <cell r="U437" t="str">
            <v>https://raw.githubusercontent.com/PokeAPI/sprites/master/sprites/pokemon/other/official-artwork/shiny/322.png</v>
          </cell>
        </row>
        <row r="438">
          <cell r="A438">
            <v>323</v>
          </cell>
          <cell r="C438" t="str">
            <v>Camerupt</v>
          </cell>
          <cell r="D438" t="str">
            <v>Standard</v>
          </cell>
          <cell r="E438" t="str">
            <v>fire</v>
          </cell>
          <cell r="F438" t="str">
            <v>ground</v>
          </cell>
          <cell r="G438">
            <v>70</v>
          </cell>
          <cell r="H438">
            <v>100</v>
          </cell>
          <cell r="I438">
            <v>70</v>
          </cell>
          <cell r="J438">
            <v>105</v>
          </cell>
          <cell r="K438">
            <v>75</v>
          </cell>
          <cell r="L438">
            <v>40</v>
          </cell>
          <cell r="M438">
            <v>460</v>
          </cell>
          <cell r="N438" t="str">
            <v>magma-armor</v>
          </cell>
          <cell r="O438" t="str">
            <v>solid-rock</v>
          </cell>
          <cell r="P438" t="str">
            <v>anger-point</v>
          </cell>
          <cell r="Q438">
            <v>1.9</v>
          </cell>
          <cell r="R438">
            <v>220</v>
          </cell>
          <cell r="S438" t="str">
            <v>CAMERUPT has a volcano inside its body. Magma of 18,000 degrees F courses through its body. Occasionally, the humps on this POKéMON’s back erupt, spewing the superheated magma.</v>
          </cell>
          <cell r="T438" t="str">
            <v>https://raw.githubusercontent.com/PokeAPI/sprites/master/sprites/pokemon/other/official-artwork/323.png</v>
          </cell>
          <cell r="U438" t="str">
            <v>https://raw.githubusercontent.com/PokeAPI/sprites/master/sprites/pokemon/other/official-artwork/shiny/323.png</v>
          </cell>
        </row>
        <row r="439">
          <cell r="A439">
            <v>323</v>
          </cell>
          <cell r="C439" t="str">
            <v>Camerupt Mega</v>
          </cell>
          <cell r="D439" t="str">
            <v>Mega</v>
          </cell>
          <cell r="E439" t="str">
            <v>fire</v>
          </cell>
          <cell r="F439" t="str">
            <v>ground</v>
          </cell>
          <cell r="G439">
            <v>70</v>
          </cell>
          <cell r="H439">
            <v>120</v>
          </cell>
          <cell r="I439">
            <v>100</v>
          </cell>
          <cell r="J439">
            <v>145</v>
          </cell>
          <cell r="K439">
            <v>105</v>
          </cell>
          <cell r="L439">
            <v>20</v>
          </cell>
          <cell r="M439">
            <v>560</v>
          </cell>
          <cell r="N439" t="str">
            <v>sheer-force</v>
          </cell>
          <cell r="Q439">
            <v>2.5</v>
          </cell>
          <cell r="R439">
            <v>320.5</v>
          </cell>
          <cell r="S439" t="str">
            <v>CAMERUPT has a volcano inside its body. Magma of 18,000 degrees F courses through its body. Occasionally, the humps on this POKéMON’s back erupt, spewing the superheated magma.</v>
          </cell>
          <cell r="T439" t="str">
            <v>https://raw.githubusercontent.com/PokeAPI/sprites/master/sprites/pokemon/other/official-artwork/10087.png</v>
          </cell>
          <cell r="U439" t="str">
            <v>https://raw.githubusercontent.com/PokeAPI/sprites/master/sprites/pokemon/other/official-artwork/shiny/10087.png</v>
          </cell>
        </row>
        <row r="440">
          <cell r="A440">
            <v>324</v>
          </cell>
          <cell r="C440" t="str">
            <v>Torkoal</v>
          </cell>
          <cell r="D440" t="str">
            <v>Standard</v>
          </cell>
          <cell r="E440" t="str">
            <v>fire</v>
          </cell>
          <cell r="G440">
            <v>70</v>
          </cell>
          <cell r="H440">
            <v>85</v>
          </cell>
          <cell r="I440">
            <v>140</v>
          </cell>
          <cell r="J440">
            <v>85</v>
          </cell>
          <cell r="K440">
            <v>70</v>
          </cell>
          <cell r="L440">
            <v>20</v>
          </cell>
          <cell r="M440">
            <v>470</v>
          </cell>
          <cell r="N440" t="str">
            <v>white-smoke</v>
          </cell>
          <cell r="O440" t="str">
            <v>drought</v>
          </cell>
          <cell r="P440" t="str">
            <v>shell-armor</v>
          </cell>
          <cell r="Q440">
            <v>0.5</v>
          </cell>
          <cell r="R440">
            <v>80.400000000000006</v>
          </cell>
          <cell r="S440" t="str">
            <v>You can tell how it’s feeling by the smoke spouting from its shell. Tremendous velocity is a sign of good health.</v>
          </cell>
          <cell r="T440" t="str">
            <v>https://raw.githubusercontent.com/PokeAPI/sprites/master/sprites/pokemon/other/official-artwork/324.png</v>
          </cell>
          <cell r="U440" t="str">
            <v>https://raw.githubusercontent.com/PokeAPI/sprites/master/sprites/pokemon/other/official-artwork/shiny/324.png</v>
          </cell>
        </row>
        <row r="441">
          <cell r="A441">
            <v>325</v>
          </cell>
          <cell r="C441" t="str">
            <v>Spoink</v>
          </cell>
          <cell r="D441" t="str">
            <v>Standard</v>
          </cell>
          <cell r="E441" t="str">
            <v>psychic</v>
          </cell>
          <cell r="G441">
            <v>60</v>
          </cell>
          <cell r="H441">
            <v>25</v>
          </cell>
          <cell r="I441">
            <v>35</v>
          </cell>
          <cell r="J441">
            <v>70</v>
          </cell>
          <cell r="K441">
            <v>80</v>
          </cell>
          <cell r="L441">
            <v>60</v>
          </cell>
          <cell r="M441">
            <v>330</v>
          </cell>
          <cell r="N441" t="str">
            <v>thick-fat</v>
          </cell>
          <cell r="O441" t="str">
            <v>own-tempo</v>
          </cell>
          <cell r="P441" t="str">
            <v>gluttony</v>
          </cell>
          <cell r="Q441">
            <v>0.7</v>
          </cell>
          <cell r="R441">
            <v>30.6</v>
          </cell>
          <cell r="S441" t="str">
            <v>SPOINK bounces around on its tail. The shock of its bouncing makes its heart pump. As a result, this POKéMON cannot afford to stop bouncing - if it stops, its heart will stop.</v>
          </cell>
          <cell r="T441" t="str">
            <v>https://raw.githubusercontent.com/PokeAPI/sprites/master/sprites/pokemon/other/official-artwork/325.png</v>
          </cell>
          <cell r="U441" t="str">
            <v>https://raw.githubusercontent.com/PokeAPI/sprites/master/sprites/pokemon/other/official-artwork/shiny/325.png</v>
          </cell>
        </row>
        <row r="442">
          <cell r="A442">
            <v>326</v>
          </cell>
          <cell r="C442" t="str">
            <v>Grumpig</v>
          </cell>
          <cell r="D442" t="str">
            <v>Standard</v>
          </cell>
          <cell r="E442" t="str">
            <v>psychic</v>
          </cell>
          <cell r="G442">
            <v>80</v>
          </cell>
          <cell r="H442">
            <v>45</v>
          </cell>
          <cell r="I442">
            <v>65</v>
          </cell>
          <cell r="J442">
            <v>90</v>
          </cell>
          <cell r="K442">
            <v>110</v>
          </cell>
          <cell r="L442">
            <v>80</v>
          </cell>
          <cell r="M442">
            <v>470</v>
          </cell>
          <cell r="N442" t="str">
            <v>thick-fat</v>
          </cell>
          <cell r="O442" t="str">
            <v>own-tempo</v>
          </cell>
          <cell r="P442" t="str">
            <v>gluttony</v>
          </cell>
          <cell r="Q442">
            <v>0.9</v>
          </cell>
          <cell r="R442">
            <v>71.5</v>
          </cell>
          <cell r="S442" t="str">
            <v>GRUMPIG uses the black pearls on its body to amplify its psychic power waves for gaining total control over its foe. When this POKéMON uses its special power, its snorting breath grows labored.</v>
          </cell>
          <cell r="T442" t="str">
            <v>https://raw.githubusercontent.com/PokeAPI/sprites/master/sprites/pokemon/other/official-artwork/326.png</v>
          </cell>
          <cell r="U442" t="str">
            <v>https://raw.githubusercontent.com/PokeAPI/sprites/master/sprites/pokemon/other/official-artwork/shiny/326.png</v>
          </cell>
        </row>
        <row r="443">
          <cell r="A443">
            <v>327</v>
          </cell>
          <cell r="C443" t="str">
            <v>Spinda</v>
          </cell>
          <cell r="D443" t="str">
            <v>Standard</v>
          </cell>
          <cell r="E443" t="str">
            <v>normal</v>
          </cell>
          <cell r="G443">
            <v>60</v>
          </cell>
          <cell r="H443">
            <v>60</v>
          </cell>
          <cell r="I443">
            <v>60</v>
          </cell>
          <cell r="J443">
            <v>60</v>
          </cell>
          <cell r="K443">
            <v>60</v>
          </cell>
          <cell r="L443">
            <v>60</v>
          </cell>
          <cell r="M443">
            <v>360</v>
          </cell>
          <cell r="N443" t="str">
            <v>own-tempo</v>
          </cell>
          <cell r="O443" t="str">
            <v>tangled-feet</v>
          </cell>
          <cell r="P443" t="str">
            <v>contrary</v>
          </cell>
          <cell r="Q443">
            <v>1.1000000000000001</v>
          </cell>
          <cell r="R443">
            <v>5</v>
          </cell>
          <cell r="S443" t="str">
            <v>No two Spinda have the same pattern of spots. Its tottering step fouls the aim of foes.</v>
          </cell>
          <cell r="T443" t="str">
            <v>https://raw.githubusercontent.com/PokeAPI/sprites/master/sprites/pokemon/other/official-artwork/327.png</v>
          </cell>
          <cell r="U443" t="str">
            <v>https://raw.githubusercontent.com/PokeAPI/sprites/master/sprites/pokemon/other/official-artwork/shiny/327.png</v>
          </cell>
        </row>
        <row r="444">
          <cell r="A444">
            <v>328</v>
          </cell>
          <cell r="C444" t="str">
            <v>Trapinch</v>
          </cell>
          <cell r="D444" t="str">
            <v>Standard</v>
          </cell>
          <cell r="E444" t="str">
            <v>ground</v>
          </cell>
          <cell r="G444">
            <v>45</v>
          </cell>
          <cell r="H444">
            <v>100</v>
          </cell>
          <cell r="I444">
            <v>45</v>
          </cell>
          <cell r="J444">
            <v>45</v>
          </cell>
          <cell r="K444">
            <v>45</v>
          </cell>
          <cell r="L444">
            <v>10</v>
          </cell>
          <cell r="M444">
            <v>290</v>
          </cell>
          <cell r="N444" t="str">
            <v>hyper-cutter</v>
          </cell>
          <cell r="O444" t="str">
            <v>arena-trap</v>
          </cell>
          <cell r="P444" t="str">
            <v>sheer-force</v>
          </cell>
          <cell r="Q444">
            <v>0.7</v>
          </cell>
          <cell r="R444">
            <v>15</v>
          </cell>
          <cell r="S444" t="str">
            <v>TRAPINCH’s nest is a sloped, bowl-like pit dug in sand. This POKéMON patiently waits for prey to tumble down the pit. Its giant jaws have enough strength to crush even boulders.</v>
          </cell>
          <cell r="T444" t="str">
            <v>https://raw.githubusercontent.com/PokeAPI/sprites/master/sprites/pokemon/other/official-artwork/328.png</v>
          </cell>
          <cell r="U444" t="str">
            <v>https://raw.githubusercontent.com/PokeAPI/sprites/master/sprites/pokemon/other/official-artwork/shiny/328.png</v>
          </cell>
        </row>
        <row r="445">
          <cell r="A445">
            <v>329</v>
          </cell>
          <cell r="C445" t="str">
            <v>Vibrava</v>
          </cell>
          <cell r="D445" t="str">
            <v>Standard</v>
          </cell>
          <cell r="E445" t="str">
            <v>ground</v>
          </cell>
          <cell r="F445" t="str">
            <v>dragon</v>
          </cell>
          <cell r="G445">
            <v>50</v>
          </cell>
          <cell r="H445">
            <v>70</v>
          </cell>
          <cell r="I445">
            <v>50</v>
          </cell>
          <cell r="J445">
            <v>50</v>
          </cell>
          <cell r="K445">
            <v>50</v>
          </cell>
          <cell r="L445">
            <v>70</v>
          </cell>
          <cell r="M445">
            <v>340</v>
          </cell>
          <cell r="N445" t="str">
            <v>levitate</v>
          </cell>
          <cell r="Q445">
            <v>1.1000000000000001</v>
          </cell>
          <cell r="R445">
            <v>15.3</v>
          </cell>
          <cell r="S445" t="str">
            <v>To make prey faint, VIBRAVA generates ultrasonic waves by vigorously making its two wings vibrate. This POKéMON’s ultrasonic waves are so powerful, they can bring on headaches in people.</v>
          </cell>
          <cell r="T445" t="str">
            <v>https://raw.githubusercontent.com/PokeAPI/sprites/master/sprites/pokemon/other/official-artwork/329.png</v>
          </cell>
          <cell r="U445" t="str">
            <v>https://raw.githubusercontent.com/PokeAPI/sprites/master/sprites/pokemon/other/official-artwork/shiny/329.png</v>
          </cell>
        </row>
        <row r="446">
          <cell r="A446">
            <v>330</v>
          </cell>
          <cell r="C446" t="str">
            <v>Flygon</v>
          </cell>
          <cell r="D446" t="str">
            <v>Standard</v>
          </cell>
          <cell r="E446" t="str">
            <v>ground</v>
          </cell>
          <cell r="F446" t="str">
            <v>dragon</v>
          </cell>
          <cell r="G446">
            <v>80</v>
          </cell>
          <cell r="H446">
            <v>100</v>
          </cell>
          <cell r="I446">
            <v>80</v>
          </cell>
          <cell r="J446">
            <v>80</v>
          </cell>
          <cell r="K446">
            <v>80</v>
          </cell>
          <cell r="L446">
            <v>100</v>
          </cell>
          <cell r="M446">
            <v>520</v>
          </cell>
          <cell r="N446" t="str">
            <v>levitate</v>
          </cell>
          <cell r="Q446">
            <v>2</v>
          </cell>
          <cell r="R446">
            <v>82</v>
          </cell>
          <cell r="S446" t="str">
            <v>FLYGON is nicknamed “the elemental spirit of the desert.” Because its flapping wings whip up a cloud of sand, this POKéMON is always enveloped in a sandstorm while flying.</v>
          </cell>
          <cell r="T446" t="str">
            <v>https://raw.githubusercontent.com/PokeAPI/sprites/master/sprites/pokemon/other/official-artwork/330.png</v>
          </cell>
          <cell r="U446" t="str">
            <v>https://raw.githubusercontent.com/PokeAPI/sprites/master/sprites/pokemon/other/official-artwork/shiny/330.png</v>
          </cell>
        </row>
        <row r="447">
          <cell r="A447">
            <v>331</v>
          </cell>
          <cell r="C447" t="str">
            <v>Cacnea</v>
          </cell>
          <cell r="D447" t="str">
            <v>Standard</v>
          </cell>
          <cell r="E447" t="str">
            <v>grass</v>
          </cell>
          <cell r="G447">
            <v>50</v>
          </cell>
          <cell r="H447">
            <v>85</v>
          </cell>
          <cell r="I447">
            <v>40</v>
          </cell>
          <cell r="J447">
            <v>85</v>
          </cell>
          <cell r="K447">
            <v>40</v>
          </cell>
          <cell r="L447">
            <v>35</v>
          </cell>
          <cell r="M447">
            <v>335</v>
          </cell>
          <cell r="N447" t="str">
            <v>sand-veil</v>
          </cell>
          <cell r="P447" t="str">
            <v>water-absorb</v>
          </cell>
          <cell r="Q447">
            <v>0.4</v>
          </cell>
          <cell r="R447">
            <v>51.3</v>
          </cell>
          <cell r="S447" t="str">
            <v>CACNEA lives in arid locations such as deserts. It releases a strong aroma from its flower to attract prey. When prey comes near, this POKéMON shoots sharp thorns from its body to bring the victim down.</v>
          </cell>
          <cell r="T447" t="str">
            <v>https://raw.githubusercontent.com/PokeAPI/sprites/master/sprites/pokemon/other/official-artwork/331.png</v>
          </cell>
          <cell r="U447" t="str">
            <v>https://raw.githubusercontent.com/PokeAPI/sprites/master/sprites/pokemon/other/official-artwork/shiny/331.png</v>
          </cell>
        </row>
        <row r="448">
          <cell r="A448">
            <v>332</v>
          </cell>
          <cell r="C448" t="str">
            <v>Cacturne</v>
          </cell>
          <cell r="D448" t="str">
            <v>Standard</v>
          </cell>
          <cell r="E448" t="str">
            <v>grass</v>
          </cell>
          <cell r="F448" t="str">
            <v>dark</v>
          </cell>
          <cell r="G448">
            <v>70</v>
          </cell>
          <cell r="H448">
            <v>115</v>
          </cell>
          <cell r="I448">
            <v>60</v>
          </cell>
          <cell r="J448">
            <v>115</v>
          </cell>
          <cell r="K448">
            <v>60</v>
          </cell>
          <cell r="L448">
            <v>55</v>
          </cell>
          <cell r="M448">
            <v>475</v>
          </cell>
          <cell r="N448" t="str">
            <v>sand-veil</v>
          </cell>
          <cell r="P448" t="str">
            <v>water-absorb</v>
          </cell>
          <cell r="Q448">
            <v>1.3</v>
          </cell>
          <cell r="R448">
            <v>77.400000000000006</v>
          </cell>
          <cell r="S448" t="str">
            <v>During the daytime, CACTURNE remains unmoving so that it does not lose any moisture to the harsh desert sun. This POKéMON becomes active at night when the temperature drops.</v>
          </cell>
          <cell r="T448" t="str">
            <v>https://raw.githubusercontent.com/PokeAPI/sprites/master/sprites/pokemon/other/official-artwork/332.png</v>
          </cell>
          <cell r="U448" t="str">
            <v>https://raw.githubusercontent.com/PokeAPI/sprites/master/sprites/pokemon/other/official-artwork/shiny/332.png</v>
          </cell>
        </row>
        <row r="449">
          <cell r="A449">
            <v>333</v>
          </cell>
          <cell r="C449" t="str">
            <v>Swablu</v>
          </cell>
          <cell r="D449" t="str">
            <v>Standard</v>
          </cell>
          <cell r="E449" t="str">
            <v>normal</v>
          </cell>
          <cell r="F449" t="str">
            <v>flying</v>
          </cell>
          <cell r="G449">
            <v>45</v>
          </cell>
          <cell r="H449">
            <v>40</v>
          </cell>
          <cell r="I449">
            <v>60</v>
          </cell>
          <cell r="J449">
            <v>40</v>
          </cell>
          <cell r="K449">
            <v>75</v>
          </cell>
          <cell r="L449">
            <v>50</v>
          </cell>
          <cell r="M449">
            <v>310</v>
          </cell>
          <cell r="N449" t="str">
            <v>natural-cure</v>
          </cell>
          <cell r="P449" t="str">
            <v>cloud-nine</v>
          </cell>
          <cell r="Q449">
            <v>0.4</v>
          </cell>
          <cell r="R449">
            <v>1.2</v>
          </cell>
          <cell r="S449" t="str">
            <v>SWABLU has light and fluffy wings that are like cottony clouds. This POKéMON is not frightened of people. It lands on the heads of people and sits there like a cotton-fluff hat.</v>
          </cell>
          <cell r="T449" t="str">
            <v>https://raw.githubusercontent.com/PokeAPI/sprites/master/sprites/pokemon/other/official-artwork/333.png</v>
          </cell>
          <cell r="U449" t="str">
            <v>https://raw.githubusercontent.com/PokeAPI/sprites/master/sprites/pokemon/other/official-artwork/shiny/333.png</v>
          </cell>
        </row>
        <row r="450">
          <cell r="A450">
            <v>334</v>
          </cell>
          <cell r="C450" t="str">
            <v>Altaria</v>
          </cell>
          <cell r="D450" t="str">
            <v>Standard</v>
          </cell>
          <cell r="E450" t="str">
            <v>dragon</v>
          </cell>
          <cell r="F450" t="str">
            <v>flying</v>
          </cell>
          <cell r="G450">
            <v>75</v>
          </cell>
          <cell r="H450">
            <v>70</v>
          </cell>
          <cell r="I450">
            <v>90</v>
          </cell>
          <cell r="J450">
            <v>70</v>
          </cell>
          <cell r="K450">
            <v>105</v>
          </cell>
          <cell r="L450">
            <v>80</v>
          </cell>
          <cell r="M450">
            <v>490</v>
          </cell>
          <cell r="N450" t="str">
            <v>natural-cure</v>
          </cell>
          <cell r="P450" t="str">
            <v>cloud-nine</v>
          </cell>
          <cell r="Q450">
            <v>1.1000000000000001</v>
          </cell>
          <cell r="R450">
            <v>20.6</v>
          </cell>
          <cell r="S450" t="str">
            <v>ALTARIA dances and wheels through the sky among billowing, cotton-like clouds. By singing melodies in its crystal-clear voice, this POKéMON makes its listeners experience dreamy wonderment.</v>
          </cell>
          <cell r="T450" t="str">
            <v>https://raw.githubusercontent.com/PokeAPI/sprites/master/sprites/pokemon/other/official-artwork/334.png</v>
          </cell>
          <cell r="U450" t="str">
            <v>https://raw.githubusercontent.com/PokeAPI/sprites/master/sprites/pokemon/other/official-artwork/shiny/334.png</v>
          </cell>
        </row>
        <row r="451">
          <cell r="A451">
            <v>334</v>
          </cell>
          <cell r="C451" t="str">
            <v>Altaria Mega</v>
          </cell>
          <cell r="D451" t="str">
            <v>Mega</v>
          </cell>
          <cell r="E451" t="str">
            <v>dragon</v>
          </cell>
          <cell r="F451" t="str">
            <v>fairy</v>
          </cell>
          <cell r="G451">
            <v>75</v>
          </cell>
          <cell r="H451">
            <v>110</v>
          </cell>
          <cell r="I451">
            <v>110</v>
          </cell>
          <cell r="J451">
            <v>110</v>
          </cell>
          <cell r="K451">
            <v>105</v>
          </cell>
          <cell r="L451">
            <v>80</v>
          </cell>
          <cell r="M451">
            <v>590</v>
          </cell>
          <cell r="N451" t="str">
            <v>pixilate</v>
          </cell>
          <cell r="Q451">
            <v>1.5</v>
          </cell>
          <cell r="R451">
            <v>20.6</v>
          </cell>
          <cell r="S451" t="str">
            <v>ALTARIA dances and wheels through the sky among billowing, cotton-like clouds. By singing melodies in its crystal-clear voice, this POKéMON makes its listeners experience dreamy wonderment.</v>
          </cell>
          <cell r="T451" t="str">
            <v>https://raw.githubusercontent.com/PokeAPI/sprites/master/sprites/pokemon/other/official-artwork/10067.png</v>
          </cell>
          <cell r="U451" t="str">
            <v>https://raw.githubusercontent.com/PokeAPI/sprites/master/sprites/pokemon/other/official-artwork/shiny/10067.png</v>
          </cell>
        </row>
        <row r="452">
          <cell r="A452">
            <v>335</v>
          </cell>
          <cell r="C452" t="str">
            <v>Zangoose</v>
          </cell>
          <cell r="D452" t="str">
            <v>Standard</v>
          </cell>
          <cell r="E452" t="str">
            <v>normal</v>
          </cell>
          <cell r="G452">
            <v>73</v>
          </cell>
          <cell r="H452">
            <v>115</v>
          </cell>
          <cell r="I452">
            <v>60</v>
          </cell>
          <cell r="J452">
            <v>60</v>
          </cell>
          <cell r="K452">
            <v>60</v>
          </cell>
          <cell r="L452">
            <v>90</v>
          </cell>
          <cell r="M452">
            <v>458</v>
          </cell>
          <cell r="N452" t="str">
            <v>immunity</v>
          </cell>
          <cell r="P452" t="str">
            <v>toxic-boost</v>
          </cell>
          <cell r="Q452">
            <v>1.3</v>
          </cell>
          <cell r="R452">
            <v>40.299999999999997</v>
          </cell>
          <cell r="S452" t="str">
            <v>Memories of battling its arch-rival SEVIPER are etched into every cell of ZANGOOSE’s body. This POKéMON adroitly dodges attacks with incredible agility.</v>
          </cell>
          <cell r="T452" t="str">
            <v>https://raw.githubusercontent.com/PokeAPI/sprites/master/sprites/pokemon/other/official-artwork/335.png</v>
          </cell>
          <cell r="U452" t="str">
            <v>https://raw.githubusercontent.com/PokeAPI/sprites/master/sprites/pokemon/other/official-artwork/shiny/335.png</v>
          </cell>
        </row>
        <row r="453">
          <cell r="A453">
            <v>336</v>
          </cell>
          <cell r="C453" t="str">
            <v>Seviper</v>
          </cell>
          <cell r="D453" t="str">
            <v>Standard</v>
          </cell>
          <cell r="E453" t="str">
            <v>poison</v>
          </cell>
          <cell r="G453">
            <v>73</v>
          </cell>
          <cell r="H453">
            <v>100</v>
          </cell>
          <cell r="I453">
            <v>60</v>
          </cell>
          <cell r="J453">
            <v>100</v>
          </cell>
          <cell r="K453">
            <v>60</v>
          </cell>
          <cell r="L453">
            <v>65</v>
          </cell>
          <cell r="M453">
            <v>458</v>
          </cell>
          <cell r="N453" t="str">
            <v>shed-skin</v>
          </cell>
          <cell r="P453" t="str">
            <v>infiltrator</v>
          </cell>
          <cell r="Q453">
            <v>2.7</v>
          </cell>
          <cell r="R453">
            <v>52.5</v>
          </cell>
          <cell r="S453" t="str">
            <v>SEVIPER shares a generations-long feud with ZANGOOSE. The scars on its body are evidence of vicious battles. This POKéMON attacks using its sword- edged tail.</v>
          </cell>
          <cell r="T453" t="str">
            <v>https://raw.githubusercontent.com/PokeAPI/sprites/master/sprites/pokemon/other/official-artwork/336.png</v>
          </cell>
          <cell r="U453" t="str">
            <v>https://raw.githubusercontent.com/PokeAPI/sprites/master/sprites/pokemon/other/official-artwork/shiny/336.png</v>
          </cell>
        </row>
        <row r="454">
          <cell r="A454">
            <v>337</v>
          </cell>
          <cell r="C454" t="str">
            <v>Lunatone</v>
          </cell>
          <cell r="D454" t="str">
            <v>Standard</v>
          </cell>
          <cell r="E454" t="str">
            <v>rock</v>
          </cell>
          <cell r="F454" t="str">
            <v>psychic</v>
          </cell>
          <cell r="G454">
            <v>90</v>
          </cell>
          <cell r="H454">
            <v>55</v>
          </cell>
          <cell r="I454">
            <v>65</v>
          </cell>
          <cell r="J454">
            <v>95</v>
          </cell>
          <cell r="K454">
            <v>85</v>
          </cell>
          <cell r="L454">
            <v>70</v>
          </cell>
          <cell r="M454">
            <v>460</v>
          </cell>
          <cell r="N454" t="str">
            <v>levitate</v>
          </cell>
          <cell r="Q454">
            <v>1</v>
          </cell>
          <cell r="R454">
            <v>168</v>
          </cell>
          <cell r="S454" t="str">
            <v>LUNATONE was discovered at a location where a meteorite fell. As a result, some people theorize that this POKéMON came from space. However, no one has been able to prove this theory so far.</v>
          </cell>
          <cell r="T454" t="str">
            <v>https://raw.githubusercontent.com/PokeAPI/sprites/master/sprites/pokemon/other/official-artwork/337.png</v>
          </cell>
          <cell r="U454" t="str">
            <v>https://raw.githubusercontent.com/PokeAPI/sprites/master/sprites/pokemon/other/official-artwork/shiny/337.png</v>
          </cell>
        </row>
        <row r="455">
          <cell r="A455">
            <v>338</v>
          </cell>
          <cell r="C455" t="str">
            <v>Solrock</v>
          </cell>
          <cell r="D455" t="str">
            <v>Standard</v>
          </cell>
          <cell r="E455" t="str">
            <v>rock</v>
          </cell>
          <cell r="F455" t="str">
            <v>psychic</v>
          </cell>
          <cell r="G455">
            <v>90</v>
          </cell>
          <cell r="H455">
            <v>95</v>
          </cell>
          <cell r="I455">
            <v>85</v>
          </cell>
          <cell r="J455">
            <v>55</v>
          </cell>
          <cell r="K455">
            <v>65</v>
          </cell>
          <cell r="L455">
            <v>70</v>
          </cell>
          <cell r="M455">
            <v>460</v>
          </cell>
          <cell r="N455" t="str">
            <v>levitate</v>
          </cell>
          <cell r="Q455">
            <v>1.2</v>
          </cell>
          <cell r="R455">
            <v>154</v>
          </cell>
          <cell r="S455" t="str">
            <v>Solar energy is the source of its power, so it is strong during the daytime. When it spins, its body shines.</v>
          </cell>
          <cell r="T455" t="str">
            <v>https://raw.githubusercontent.com/PokeAPI/sprites/master/sprites/pokemon/other/official-artwork/338.png</v>
          </cell>
          <cell r="U455" t="str">
            <v>https://raw.githubusercontent.com/PokeAPI/sprites/master/sprites/pokemon/other/official-artwork/shiny/338.png</v>
          </cell>
        </row>
        <row r="456">
          <cell r="A456">
            <v>339</v>
          </cell>
          <cell r="C456" t="str">
            <v>Barboach</v>
          </cell>
          <cell r="D456" t="str">
            <v>Standard</v>
          </cell>
          <cell r="E456" t="str">
            <v>water</v>
          </cell>
          <cell r="F456" t="str">
            <v>ground</v>
          </cell>
          <cell r="G456">
            <v>50</v>
          </cell>
          <cell r="H456">
            <v>48</v>
          </cell>
          <cell r="I456">
            <v>43</v>
          </cell>
          <cell r="J456">
            <v>46</v>
          </cell>
          <cell r="K456">
            <v>41</v>
          </cell>
          <cell r="L456">
            <v>60</v>
          </cell>
          <cell r="M456">
            <v>288</v>
          </cell>
          <cell r="N456" t="str">
            <v>oblivious</v>
          </cell>
          <cell r="O456" t="str">
            <v>anticipation</v>
          </cell>
          <cell r="P456" t="str">
            <v>hydration</v>
          </cell>
          <cell r="Q456">
            <v>0.4</v>
          </cell>
          <cell r="R456">
            <v>1.9</v>
          </cell>
          <cell r="S456" t="str">
            <v>BARBOACH’s sensitive whiskers serve as a superb radar system. This POKéMON hides in mud, leaving only its two whiskers exposed while it waits for prey to come along.</v>
          </cell>
          <cell r="T456" t="str">
            <v>https://raw.githubusercontent.com/PokeAPI/sprites/master/sprites/pokemon/other/official-artwork/339.png</v>
          </cell>
          <cell r="U456" t="str">
            <v>https://raw.githubusercontent.com/PokeAPI/sprites/master/sprites/pokemon/other/official-artwork/shiny/339.png</v>
          </cell>
        </row>
        <row r="457">
          <cell r="A457">
            <v>340</v>
          </cell>
          <cell r="C457" t="str">
            <v>Whiscash</v>
          </cell>
          <cell r="D457" t="str">
            <v>Standard</v>
          </cell>
          <cell r="E457" t="str">
            <v>water</v>
          </cell>
          <cell r="F457" t="str">
            <v>ground</v>
          </cell>
          <cell r="G457">
            <v>110</v>
          </cell>
          <cell r="H457">
            <v>78</v>
          </cell>
          <cell r="I457">
            <v>73</v>
          </cell>
          <cell r="J457">
            <v>76</v>
          </cell>
          <cell r="K457">
            <v>71</v>
          </cell>
          <cell r="L457">
            <v>60</v>
          </cell>
          <cell r="M457">
            <v>468</v>
          </cell>
          <cell r="N457" t="str">
            <v>oblivious</v>
          </cell>
          <cell r="O457" t="str">
            <v>anticipation</v>
          </cell>
          <cell r="P457" t="str">
            <v>hydration</v>
          </cell>
          <cell r="Q457">
            <v>0.9</v>
          </cell>
          <cell r="R457">
            <v>23.6</v>
          </cell>
          <cell r="S457" t="str">
            <v>WHISCASH is extremely territorial. Just one of these POKéMON will claim a large pond as its exclusive territory. If a foe approaches it, it thrashes about and triggers a massive earthquake.</v>
          </cell>
          <cell r="T457" t="str">
            <v>https://raw.githubusercontent.com/PokeAPI/sprites/master/sprites/pokemon/other/official-artwork/340.png</v>
          </cell>
          <cell r="U457" t="str">
            <v>https://raw.githubusercontent.com/PokeAPI/sprites/master/sprites/pokemon/other/official-artwork/shiny/340.png</v>
          </cell>
        </row>
        <row r="458">
          <cell r="A458">
            <v>341</v>
          </cell>
          <cell r="C458" t="str">
            <v>Corphish</v>
          </cell>
          <cell r="D458" t="str">
            <v>Standard</v>
          </cell>
          <cell r="E458" t="str">
            <v>water</v>
          </cell>
          <cell r="G458">
            <v>43</v>
          </cell>
          <cell r="H458">
            <v>80</v>
          </cell>
          <cell r="I458">
            <v>65</v>
          </cell>
          <cell r="J458">
            <v>50</v>
          </cell>
          <cell r="K458">
            <v>35</v>
          </cell>
          <cell r="L458">
            <v>35</v>
          </cell>
          <cell r="M458">
            <v>308</v>
          </cell>
          <cell r="N458" t="str">
            <v>hyper-cutter</v>
          </cell>
          <cell r="O458" t="str">
            <v>shell-armor</v>
          </cell>
          <cell r="P458" t="str">
            <v>adaptability</v>
          </cell>
          <cell r="Q458">
            <v>0.6</v>
          </cell>
          <cell r="R458">
            <v>11.5</v>
          </cell>
          <cell r="S458" t="str">
            <v>Its hardy vitality enables it to adapt to any environment. Its pincers will never release prey.</v>
          </cell>
          <cell r="T458" t="str">
            <v>https://raw.githubusercontent.com/PokeAPI/sprites/master/sprites/pokemon/other/official-artwork/341.png</v>
          </cell>
          <cell r="U458" t="str">
            <v>https://raw.githubusercontent.com/PokeAPI/sprites/master/sprites/pokemon/other/official-artwork/shiny/341.png</v>
          </cell>
        </row>
        <row r="459">
          <cell r="A459">
            <v>342</v>
          </cell>
          <cell r="C459" t="str">
            <v>Crawdaunt</v>
          </cell>
          <cell r="D459" t="str">
            <v>Standard</v>
          </cell>
          <cell r="E459" t="str">
            <v>water</v>
          </cell>
          <cell r="F459" t="str">
            <v>dark</v>
          </cell>
          <cell r="G459">
            <v>63</v>
          </cell>
          <cell r="H459">
            <v>120</v>
          </cell>
          <cell r="I459">
            <v>85</v>
          </cell>
          <cell r="J459">
            <v>90</v>
          </cell>
          <cell r="K459">
            <v>55</v>
          </cell>
          <cell r="L459">
            <v>55</v>
          </cell>
          <cell r="M459">
            <v>468</v>
          </cell>
          <cell r="N459" t="str">
            <v>hyper-cutter</v>
          </cell>
          <cell r="O459" t="str">
            <v>shell-armor</v>
          </cell>
          <cell r="P459" t="str">
            <v>adaptability</v>
          </cell>
          <cell r="Q459">
            <v>1.1000000000000001</v>
          </cell>
          <cell r="R459">
            <v>32.799999999999997</v>
          </cell>
          <cell r="S459" t="str">
            <v>CRAWDAUNT has an extremely violent nature that compels it to challenge other living things to battle. Other life-forms refuse to live in ponds inhabited by this POKéMON, making them desolate places.</v>
          </cell>
          <cell r="T459" t="str">
            <v>https://raw.githubusercontent.com/PokeAPI/sprites/master/sprites/pokemon/other/official-artwork/342.png</v>
          </cell>
          <cell r="U459" t="str">
            <v>https://raw.githubusercontent.com/PokeAPI/sprites/master/sprites/pokemon/other/official-artwork/shiny/342.png</v>
          </cell>
        </row>
        <row r="460">
          <cell r="A460">
            <v>343</v>
          </cell>
          <cell r="C460" t="str">
            <v>Baltoy</v>
          </cell>
          <cell r="D460" t="str">
            <v>Standard</v>
          </cell>
          <cell r="E460" t="str">
            <v>ground</v>
          </cell>
          <cell r="F460" t="str">
            <v>psychic</v>
          </cell>
          <cell r="G460">
            <v>40</v>
          </cell>
          <cell r="H460">
            <v>40</v>
          </cell>
          <cell r="I460">
            <v>55</v>
          </cell>
          <cell r="J460">
            <v>40</v>
          </cell>
          <cell r="K460">
            <v>70</v>
          </cell>
          <cell r="L460">
            <v>55</v>
          </cell>
          <cell r="M460">
            <v>300</v>
          </cell>
          <cell r="N460" t="str">
            <v>levitate</v>
          </cell>
          <cell r="Q460">
            <v>0.5</v>
          </cell>
          <cell r="R460">
            <v>21.5</v>
          </cell>
          <cell r="S460" t="str">
            <v>BALTOY moves while spinning around on its one foot. Primitive wall paintings depicting this POKéMON living among people were discovered in some ancient ruins.</v>
          </cell>
          <cell r="T460" t="str">
            <v>https://raw.githubusercontent.com/PokeAPI/sprites/master/sprites/pokemon/other/official-artwork/343.png</v>
          </cell>
          <cell r="U460" t="str">
            <v>https://raw.githubusercontent.com/PokeAPI/sprites/master/sprites/pokemon/other/official-artwork/shiny/343.png</v>
          </cell>
        </row>
        <row r="461">
          <cell r="A461">
            <v>344</v>
          </cell>
          <cell r="C461" t="str">
            <v>Claydol</v>
          </cell>
          <cell r="D461" t="str">
            <v>Standard</v>
          </cell>
          <cell r="E461" t="str">
            <v>ground</v>
          </cell>
          <cell r="F461" t="str">
            <v>psychic</v>
          </cell>
          <cell r="G461">
            <v>60</v>
          </cell>
          <cell r="H461">
            <v>70</v>
          </cell>
          <cell r="I461">
            <v>105</v>
          </cell>
          <cell r="J461">
            <v>70</v>
          </cell>
          <cell r="K461">
            <v>120</v>
          </cell>
          <cell r="L461">
            <v>75</v>
          </cell>
          <cell r="M461">
            <v>500</v>
          </cell>
          <cell r="N461" t="str">
            <v>levitate</v>
          </cell>
          <cell r="Q461">
            <v>1.5</v>
          </cell>
          <cell r="R461">
            <v>108</v>
          </cell>
          <cell r="S461" t="str">
            <v>CLAYDOL are said to be dolls of mud made by primitive humans and brought to life by exposure to a mysterious ray. This POKéMON moves about while levitating.</v>
          </cell>
          <cell r="T461" t="str">
            <v>https://raw.githubusercontent.com/PokeAPI/sprites/master/sprites/pokemon/other/official-artwork/344.png</v>
          </cell>
          <cell r="U461" t="str">
            <v>https://raw.githubusercontent.com/PokeAPI/sprites/master/sprites/pokemon/other/official-artwork/shiny/344.png</v>
          </cell>
        </row>
        <row r="462">
          <cell r="A462">
            <v>345</v>
          </cell>
          <cell r="C462" t="str">
            <v>Lileep</v>
          </cell>
          <cell r="D462" t="str">
            <v>Standard</v>
          </cell>
          <cell r="E462" t="str">
            <v>rock</v>
          </cell>
          <cell r="F462" t="str">
            <v>grass</v>
          </cell>
          <cell r="G462">
            <v>66</v>
          </cell>
          <cell r="H462">
            <v>41</v>
          </cell>
          <cell r="I462">
            <v>77</v>
          </cell>
          <cell r="J462">
            <v>61</v>
          </cell>
          <cell r="K462">
            <v>87</v>
          </cell>
          <cell r="L462">
            <v>23</v>
          </cell>
          <cell r="M462">
            <v>355</v>
          </cell>
          <cell r="N462" t="str">
            <v>suction-cups</v>
          </cell>
          <cell r="P462" t="str">
            <v>storm-drain</v>
          </cell>
          <cell r="Q462">
            <v>1</v>
          </cell>
          <cell r="R462">
            <v>23.8</v>
          </cell>
          <cell r="S462" t="str">
            <v>LILEEP became extinct approximately a hundred million years ago. This ancient POKéMON attaches itself to a rock on the seafloor and catches approaching prey using tentacles shaped like flower petals.</v>
          </cell>
          <cell r="T462" t="str">
            <v>https://raw.githubusercontent.com/PokeAPI/sprites/master/sprites/pokemon/other/official-artwork/345.png</v>
          </cell>
          <cell r="U462" t="str">
            <v>https://raw.githubusercontent.com/PokeAPI/sprites/master/sprites/pokemon/other/official-artwork/shiny/345.png</v>
          </cell>
        </row>
        <row r="463">
          <cell r="A463">
            <v>346</v>
          </cell>
          <cell r="C463" t="str">
            <v>Cradily</v>
          </cell>
          <cell r="D463" t="str">
            <v>Standard</v>
          </cell>
          <cell r="E463" t="str">
            <v>rock</v>
          </cell>
          <cell r="F463" t="str">
            <v>grass</v>
          </cell>
          <cell r="G463">
            <v>86</v>
          </cell>
          <cell r="H463">
            <v>81</v>
          </cell>
          <cell r="I463">
            <v>97</v>
          </cell>
          <cell r="J463">
            <v>81</v>
          </cell>
          <cell r="K463">
            <v>107</v>
          </cell>
          <cell r="L463">
            <v>43</v>
          </cell>
          <cell r="M463">
            <v>495</v>
          </cell>
          <cell r="N463" t="str">
            <v>suction-cups</v>
          </cell>
          <cell r="P463" t="str">
            <v>storm-drain</v>
          </cell>
          <cell r="Q463">
            <v>1.5</v>
          </cell>
          <cell r="R463">
            <v>60.4</v>
          </cell>
          <cell r="S463" t="str">
            <v>CRADILY roams around the ocean floor in search of food. This POKéMON freely extends its tree trunk-like neck and captures unwary prey using its eight tentacles.</v>
          </cell>
          <cell r="T463" t="str">
            <v>https://raw.githubusercontent.com/PokeAPI/sprites/master/sprites/pokemon/other/official-artwork/346.png</v>
          </cell>
          <cell r="U463" t="str">
            <v>https://raw.githubusercontent.com/PokeAPI/sprites/master/sprites/pokemon/other/official-artwork/shiny/346.png</v>
          </cell>
        </row>
        <row r="464">
          <cell r="A464">
            <v>347</v>
          </cell>
          <cell r="C464" t="str">
            <v>Anorith</v>
          </cell>
          <cell r="D464" t="str">
            <v>Standard</v>
          </cell>
          <cell r="E464" t="str">
            <v>rock</v>
          </cell>
          <cell r="F464" t="str">
            <v>bug</v>
          </cell>
          <cell r="G464">
            <v>45</v>
          </cell>
          <cell r="H464">
            <v>95</v>
          </cell>
          <cell r="I464">
            <v>50</v>
          </cell>
          <cell r="J464">
            <v>40</v>
          </cell>
          <cell r="K464">
            <v>50</v>
          </cell>
          <cell r="L464">
            <v>75</v>
          </cell>
          <cell r="M464">
            <v>355</v>
          </cell>
          <cell r="N464" t="str">
            <v>battle-armor</v>
          </cell>
          <cell r="P464" t="str">
            <v>swift-swim</v>
          </cell>
          <cell r="Q464">
            <v>0.7</v>
          </cell>
          <cell r="R464">
            <v>12.5</v>
          </cell>
          <cell r="S464" t="str">
            <v>ANORITH was regenerated from a prehistoric fossil. This primitive POKéMON once lived in warm seas. It grips its prey firmly between its two large claws.</v>
          </cell>
          <cell r="T464" t="str">
            <v>https://raw.githubusercontent.com/PokeAPI/sprites/master/sprites/pokemon/other/official-artwork/347.png</v>
          </cell>
          <cell r="U464" t="str">
            <v>https://raw.githubusercontent.com/PokeAPI/sprites/master/sprites/pokemon/other/official-artwork/shiny/347.png</v>
          </cell>
        </row>
        <row r="465">
          <cell r="A465">
            <v>348</v>
          </cell>
          <cell r="C465" t="str">
            <v>Armaldo</v>
          </cell>
          <cell r="D465" t="str">
            <v>Standard</v>
          </cell>
          <cell r="E465" t="str">
            <v>rock</v>
          </cell>
          <cell r="F465" t="str">
            <v>bug</v>
          </cell>
          <cell r="G465">
            <v>75</v>
          </cell>
          <cell r="H465">
            <v>125</v>
          </cell>
          <cell r="I465">
            <v>100</v>
          </cell>
          <cell r="J465">
            <v>70</v>
          </cell>
          <cell r="K465">
            <v>80</v>
          </cell>
          <cell r="L465">
            <v>45</v>
          </cell>
          <cell r="M465">
            <v>495</v>
          </cell>
          <cell r="N465" t="str">
            <v>battle-armor</v>
          </cell>
          <cell r="P465" t="str">
            <v>swift-swim</v>
          </cell>
          <cell r="Q465">
            <v>1.5</v>
          </cell>
          <cell r="R465">
            <v>68.2</v>
          </cell>
          <cell r="S465" t="str">
            <v>ARMALDO’s tough armor makes all attacks bounce off. This POKéMON’s two enormous claws can be freely extended or contracted. They have the power to punch right through a steel slab.</v>
          </cell>
          <cell r="T465" t="str">
            <v>https://raw.githubusercontent.com/PokeAPI/sprites/master/sprites/pokemon/other/official-artwork/348.png</v>
          </cell>
          <cell r="U465" t="str">
            <v>https://raw.githubusercontent.com/PokeAPI/sprites/master/sprites/pokemon/other/official-artwork/shiny/348.png</v>
          </cell>
        </row>
        <row r="466">
          <cell r="A466">
            <v>349</v>
          </cell>
          <cell r="C466" t="str">
            <v>Feebas</v>
          </cell>
          <cell r="D466" t="str">
            <v>Standard</v>
          </cell>
          <cell r="E466" t="str">
            <v>water</v>
          </cell>
          <cell r="G466">
            <v>20</v>
          </cell>
          <cell r="H466">
            <v>15</v>
          </cell>
          <cell r="I466">
            <v>20</v>
          </cell>
          <cell r="J466">
            <v>10</v>
          </cell>
          <cell r="K466">
            <v>55</v>
          </cell>
          <cell r="L466">
            <v>80</v>
          </cell>
          <cell r="M466">
            <v>200</v>
          </cell>
          <cell r="N466" t="str">
            <v>swift-swim</v>
          </cell>
          <cell r="O466" t="str">
            <v>oblivious</v>
          </cell>
          <cell r="P466" t="str">
            <v>adaptability</v>
          </cell>
          <cell r="Q466">
            <v>0.6</v>
          </cell>
          <cell r="R466">
            <v>7.4</v>
          </cell>
          <cell r="S466" t="str">
            <v>FEEBAS’s fins are ragged and tattered from the start of its life. Because of its shoddy appearance, this POKéMON is largely ignored. It is capable of living in both the sea and in rivers.</v>
          </cell>
          <cell r="T466" t="str">
            <v>https://raw.githubusercontent.com/PokeAPI/sprites/master/sprites/pokemon/other/official-artwork/349.png</v>
          </cell>
          <cell r="U466" t="str">
            <v>https://raw.githubusercontent.com/PokeAPI/sprites/master/sprites/pokemon/other/official-artwork/shiny/349.png</v>
          </cell>
        </row>
        <row r="467">
          <cell r="A467">
            <v>350</v>
          </cell>
          <cell r="C467" t="str">
            <v>Milotic</v>
          </cell>
          <cell r="D467" t="str">
            <v>Standard</v>
          </cell>
          <cell r="E467" t="str">
            <v>water</v>
          </cell>
          <cell r="G467">
            <v>95</v>
          </cell>
          <cell r="H467">
            <v>60</v>
          </cell>
          <cell r="I467">
            <v>79</v>
          </cell>
          <cell r="J467">
            <v>100</v>
          </cell>
          <cell r="K467">
            <v>125</v>
          </cell>
          <cell r="L467">
            <v>81</v>
          </cell>
          <cell r="M467">
            <v>540</v>
          </cell>
          <cell r="N467" t="str">
            <v>marvel-scale</v>
          </cell>
          <cell r="O467" t="str">
            <v>competitive</v>
          </cell>
          <cell r="P467" t="str">
            <v>cute-charm</v>
          </cell>
          <cell r="Q467">
            <v>6.2</v>
          </cell>
          <cell r="R467">
            <v>162</v>
          </cell>
          <cell r="S467" t="str">
            <v>Its lovely scales are described as rainbow colored. They change color depending on the viewing angle.</v>
          </cell>
          <cell r="T467" t="str">
            <v>https://raw.githubusercontent.com/PokeAPI/sprites/master/sprites/pokemon/other/official-artwork/350.png</v>
          </cell>
          <cell r="U467" t="str">
            <v>https://raw.githubusercontent.com/PokeAPI/sprites/master/sprites/pokemon/other/official-artwork/shiny/350.png</v>
          </cell>
        </row>
        <row r="468">
          <cell r="A468">
            <v>351</v>
          </cell>
          <cell r="C468" t="str">
            <v>Castform</v>
          </cell>
          <cell r="D468" t="str">
            <v>Standard</v>
          </cell>
          <cell r="E468" t="str">
            <v>normal</v>
          </cell>
          <cell r="G468">
            <v>70</v>
          </cell>
          <cell r="H468">
            <v>70</v>
          </cell>
          <cell r="I468">
            <v>70</v>
          </cell>
          <cell r="J468">
            <v>70</v>
          </cell>
          <cell r="K468">
            <v>70</v>
          </cell>
          <cell r="L468">
            <v>70</v>
          </cell>
          <cell r="M468">
            <v>420</v>
          </cell>
          <cell r="N468" t="str">
            <v>forecast</v>
          </cell>
          <cell r="Q468">
            <v>0.3</v>
          </cell>
          <cell r="R468">
            <v>0.8</v>
          </cell>
          <cell r="S468" t="str">
            <v>CASTFORM’s appearance changes with the weather. This POKéMON gained the ability to use the vast power of nature to protect its tiny body.</v>
          </cell>
          <cell r="T468" t="str">
            <v>https://raw.githubusercontent.com/PokeAPI/sprites/master/sprites/pokemon/other/official-artwork/351.png</v>
          </cell>
          <cell r="U468" t="str">
            <v>https://raw.githubusercontent.com/PokeAPI/sprites/master/sprites/pokemon/other/official-artwork/shiny/351.png</v>
          </cell>
        </row>
        <row r="469">
          <cell r="A469">
            <v>351</v>
          </cell>
          <cell r="C469" t="str">
            <v>Castform Rainy</v>
          </cell>
          <cell r="D469" t="str">
            <v>Other</v>
          </cell>
          <cell r="E469" t="str">
            <v>water</v>
          </cell>
          <cell r="G469">
            <v>70</v>
          </cell>
          <cell r="H469">
            <v>70</v>
          </cell>
          <cell r="I469">
            <v>70</v>
          </cell>
          <cell r="J469">
            <v>70</v>
          </cell>
          <cell r="K469">
            <v>70</v>
          </cell>
          <cell r="L469">
            <v>70</v>
          </cell>
          <cell r="M469">
            <v>420</v>
          </cell>
          <cell r="N469" t="str">
            <v>forecast</v>
          </cell>
          <cell r="Q469">
            <v>0.3</v>
          </cell>
          <cell r="R469">
            <v>0.8</v>
          </cell>
          <cell r="S469" t="str">
            <v>CASTFORM’s appearance changes with the weather. This POKéMON gained the ability to use the vast power of nature to protect its tiny body.</v>
          </cell>
          <cell r="T469" t="str">
            <v>https://raw.githubusercontent.com/PokeAPI/sprites/master/sprites/pokemon/other/official-artwork/10014.png</v>
          </cell>
          <cell r="U469" t="str">
            <v>https://raw.githubusercontent.com/PokeAPI/sprites/master/sprites/pokemon/other/official-artwork/shiny/10014.png</v>
          </cell>
        </row>
        <row r="470">
          <cell r="A470">
            <v>351</v>
          </cell>
          <cell r="C470" t="str">
            <v>Castform Snowy</v>
          </cell>
          <cell r="D470" t="str">
            <v>Other</v>
          </cell>
          <cell r="E470" t="str">
            <v>ice</v>
          </cell>
          <cell r="G470">
            <v>70</v>
          </cell>
          <cell r="H470">
            <v>70</v>
          </cell>
          <cell r="I470">
            <v>70</v>
          </cell>
          <cell r="J470">
            <v>70</v>
          </cell>
          <cell r="K470">
            <v>70</v>
          </cell>
          <cell r="L470">
            <v>70</v>
          </cell>
          <cell r="M470">
            <v>420</v>
          </cell>
          <cell r="N470" t="str">
            <v>forecast</v>
          </cell>
          <cell r="Q470">
            <v>0.3</v>
          </cell>
          <cell r="R470">
            <v>0.8</v>
          </cell>
          <cell r="S470" t="str">
            <v>CASTFORM’s appearance changes with the weather. This POKéMON gained the ability to use the vast power of nature to protect its tiny body.</v>
          </cell>
          <cell r="T470" t="str">
            <v>https://raw.githubusercontent.com/PokeAPI/sprites/master/sprites/pokemon/other/official-artwork/10015.png</v>
          </cell>
          <cell r="U470" t="str">
            <v>https://raw.githubusercontent.com/PokeAPI/sprites/master/sprites/pokemon/other/official-artwork/shiny/10015.png</v>
          </cell>
        </row>
        <row r="471">
          <cell r="A471">
            <v>351</v>
          </cell>
          <cell r="C471" t="str">
            <v>Castform Sunny</v>
          </cell>
          <cell r="D471" t="str">
            <v>Other</v>
          </cell>
          <cell r="E471" t="str">
            <v>fire</v>
          </cell>
          <cell r="G471">
            <v>70</v>
          </cell>
          <cell r="H471">
            <v>70</v>
          </cell>
          <cell r="I471">
            <v>70</v>
          </cell>
          <cell r="J471">
            <v>70</v>
          </cell>
          <cell r="K471">
            <v>70</v>
          </cell>
          <cell r="L471">
            <v>70</v>
          </cell>
          <cell r="M471">
            <v>420</v>
          </cell>
          <cell r="N471" t="str">
            <v>forecast</v>
          </cell>
          <cell r="Q471">
            <v>0.3</v>
          </cell>
          <cell r="R471">
            <v>0.8</v>
          </cell>
          <cell r="S471" t="str">
            <v>CASTFORM’s appearance changes with the weather. This POKéMON gained the ability to use the vast power of nature to protect its tiny body.</v>
          </cell>
          <cell r="T471" t="str">
            <v>https://raw.githubusercontent.com/PokeAPI/sprites/master/sprites/pokemon/other/official-artwork/10013.png</v>
          </cell>
          <cell r="U471" t="str">
            <v>https://raw.githubusercontent.com/PokeAPI/sprites/master/sprites/pokemon/other/official-artwork/shiny/10013.png</v>
          </cell>
        </row>
        <row r="472">
          <cell r="A472">
            <v>352</v>
          </cell>
          <cell r="C472" t="str">
            <v>Kecleon</v>
          </cell>
          <cell r="D472" t="str">
            <v>Standard</v>
          </cell>
          <cell r="E472" t="str">
            <v>normal</v>
          </cell>
          <cell r="G472">
            <v>60</v>
          </cell>
          <cell r="H472">
            <v>90</v>
          </cell>
          <cell r="I472">
            <v>70</v>
          </cell>
          <cell r="J472">
            <v>60</v>
          </cell>
          <cell r="K472">
            <v>120</v>
          </cell>
          <cell r="L472">
            <v>40</v>
          </cell>
          <cell r="M472">
            <v>440</v>
          </cell>
          <cell r="N472" t="str">
            <v>color-change</v>
          </cell>
          <cell r="P472" t="str">
            <v>protean</v>
          </cell>
          <cell r="Q472">
            <v>1</v>
          </cell>
          <cell r="R472">
            <v>22</v>
          </cell>
          <cell r="S472" t="str">
            <v>It changes body color to blend in with its surroundings. It also changes color if it is happy or sad.</v>
          </cell>
          <cell r="T472" t="str">
            <v>https://raw.githubusercontent.com/PokeAPI/sprites/master/sprites/pokemon/other/official-artwork/352.png</v>
          </cell>
          <cell r="U472" t="str">
            <v>https://raw.githubusercontent.com/PokeAPI/sprites/master/sprites/pokemon/other/official-artwork/shiny/352.png</v>
          </cell>
        </row>
        <row r="473">
          <cell r="A473">
            <v>353</v>
          </cell>
          <cell r="C473" t="str">
            <v>Shuppet</v>
          </cell>
          <cell r="D473" t="str">
            <v>Standard</v>
          </cell>
          <cell r="E473" t="str">
            <v>ghost</v>
          </cell>
          <cell r="G473">
            <v>44</v>
          </cell>
          <cell r="H473">
            <v>75</v>
          </cell>
          <cell r="I473">
            <v>35</v>
          </cell>
          <cell r="J473">
            <v>63</v>
          </cell>
          <cell r="K473">
            <v>33</v>
          </cell>
          <cell r="L473">
            <v>45</v>
          </cell>
          <cell r="M473">
            <v>295</v>
          </cell>
          <cell r="N473" t="str">
            <v>insomnia</v>
          </cell>
          <cell r="O473" t="str">
            <v>frisk</v>
          </cell>
          <cell r="P473" t="str">
            <v>cursed-body</v>
          </cell>
          <cell r="Q473">
            <v>0.6</v>
          </cell>
          <cell r="R473">
            <v>2.2999999999999998</v>
          </cell>
          <cell r="S473" t="str">
            <v>SHUPPET is attracted by feelings of jealousy and vindictiveness. If someone develops strong feelings of vengeance, this POKéMON will appear in a swarm and line up beneath the eaves of that person’s home.</v>
          </cell>
          <cell r="T473" t="str">
            <v>https://raw.githubusercontent.com/PokeAPI/sprites/master/sprites/pokemon/other/official-artwork/353.png</v>
          </cell>
          <cell r="U473" t="str">
            <v>https://raw.githubusercontent.com/PokeAPI/sprites/master/sprites/pokemon/other/official-artwork/shiny/353.png</v>
          </cell>
        </row>
        <row r="474">
          <cell r="A474">
            <v>354</v>
          </cell>
          <cell r="C474" t="str">
            <v>Banette</v>
          </cell>
          <cell r="D474" t="str">
            <v>Standard</v>
          </cell>
          <cell r="E474" t="str">
            <v>ghost</v>
          </cell>
          <cell r="G474">
            <v>64</v>
          </cell>
          <cell r="H474">
            <v>115</v>
          </cell>
          <cell r="I474">
            <v>65</v>
          </cell>
          <cell r="J474">
            <v>83</v>
          </cell>
          <cell r="K474">
            <v>63</v>
          </cell>
          <cell r="L474">
            <v>65</v>
          </cell>
          <cell r="M474">
            <v>455</v>
          </cell>
          <cell r="N474" t="str">
            <v>insomnia</v>
          </cell>
          <cell r="O474" t="str">
            <v>frisk</v>
          </cell>
          <cell r="P474" t="str">
            <v>cursed-body</v>
          </cell>
          <cell r="Q474">
            <v>1.1000000000000001</v>
          </cell>
          <cell r="R474">
            <v>12.5</v>
          </cell>
          <cell r="S474" t="str">
            <v>BANETTE generates energy for laying strong curses by sticking pins into its own body. This POKéMON was originally a pitiful plush doll that was thrown away.</v>
          </cell>
          <cell r="T474" t="str">
            <v>https://raw.githubusercontent.com/PokeAPI/sprites/master/sprites/pokemon/other/official-artwork/354.png</v>
          </cell>
          <cell r="U474" t="str">
            <v>https://raw.githubusercontent.com/PokeAPI/sprites/master/sprites/pokemon/other/official-artwork/shiny/354.png</v>
          </cell>
        </row>
        <row r="475">
          <cell r="A475">
            <v>354</v>
          </cell>
          <cell r="C475" t="str">
            <v>Banette Mega</v>
          </cell>
          <cell r="D475" t="str">
            <v>Mega</v>
          </cell>
          <cell r="E475" t="str">
            <v>ghost</v>
          </cell>
          <cell r="G475">
            <v>64</v>
          </cell>
          <cell r="H475">
            <v>165</v>
          </cell>
          <cell r="I475">
            <v>75</v>
          </cell>
          <cell r="J475">
            <v>93</v>
          </cell>
          <cell r="K475">
            <v>83</v>
          </cell>
          <cell r="L475">
            <v>75</v>
          </cell>
          <cell r="M475">
            <v>555</v>
          </cell>
          <cell r="N475" t="str">
            <v>prankster</v>
          </cell>
          <cell r="Q475">
            <v>1.2</v>
          </cell>
          <cell r="R475">
            <v>13</v>
          </cell>
          <cell r="S475" t="str">
            <v>BANETTE generates energy for laying strong curses by sticking pins into its own body. This POKéMON was originally a pitiful plush doll that was thrown away.</v>
          </cell>
          <cell r="T475" t="str">
            <v>https://raw.githubusercontent.com/PokeAPI/sprites/master/sprites/pokemon/other/official-artwork/10056.png</v>
          </cell>
          <cell r="U475" t="str">
            <v>https://raw.githubusercontent.com/PokeAPI/sprites/master/sprites/pokemon/other/official-artwork/shiny/10056.png</v>
          </cell>
        </row>
        <row r="476">
          <cell r="A476">
            <v>355</v>
          </cell>
          <cell r="C476" t="str">
            <v>Duskull</v>
          </cell>
          <cell r="D476" t="str">
            <v>Standard</v>
          </cell>
          <cell r="E476" t="str">
            <v>ghost</v>
          </cell>
          <cell r="G476">
            <v>20</v>
          </cell>
          <cell r="H476">
            <v>40</v>
          </cell>
          <cell r="I476">
            <v>90</v>
          </cell>
          <cell r="J476">
            <v>30</v>
          </cell>
          <cell r="K476">
            <v>90</v>
          </cell>
          <cell r="L476">
            <v>25</v>
          </cell>
          <cell r="M476">
            <v>295</v>
          </cell>
          <cell r="N476" t="str">
            <v>levitate</v>
          </cell>
          <cell r="P476" t="str">
            <v>frisk</v>
          </cell>
          <cell r="Q476">
            <v>0.8</v>
          </cell>
          <cell r="R476">
            <v>15</v>
          </cell>
          <cell r="S476" t="str">
            <v>DUSKULL can pass through any wall no matter how thick it may be. Once this POKéMON chooses a target, it will doggedly pursue the intended victim until the break of dawn.</v>
          </cell>
          <cell r="T476" t="str">
            <v>https://raw.githubusercontent.com/PokeAPI/sprites/master/sprites/pokemon/other/official-artwork/355.png</v>
          </cell>
          <cell r="U476" t="str">
            <v>https://raw.githubusercontent.com/PokeAPI/sprites/master/sprites/pokemon/other/official-artwork/shiny/355.png</v>
          </cell>
        </row>
        <row r="477">
          <cell r="A477">
            <v>356</v>
          </cell>
          <cell r="C477" t="str">
            <v>Dusclops</v>
          </cell>
          <cell r="D477" t="str">
            <v>Standard</v>
          </cell>
          <cell r="E477" t="str">
            <v>ghost</v>
          </cell>
          <cell r="G477">
            <v>40</v>
          </cell>
          <cell r="H477">
            <v>70</v>
          </cell>
          <cell r="I477">
            <v>130</v>
          </cell>
          <cell r="J477">
            <v>60</v>
          </cell>
          <cell r="K477">
            <v>130</v>
          </cell>
          <cell r="L477">
            <v>25</v>
          </cell>
          <cell r="M477">
            <v>455</v>
          </cell>
          <cell r="N477" t="str">
            <v>pressure</v>
          </cell>
          <cell r="P477" t="str">
            <v>frisk</v>
          </cell>
          <cell r="Q477">
            <v>1.6</v>
          </cell>
          <cell r="R477">
            <v>30.6</v>
          </cell>
          <cell r="S477" t="str">
            <v>DUSCLOPS’s body is completely hollow - there is nothing at all inside. It is said that its body is like a black hole. This POKéMON will absorb anything into its body, but nothing will ever come back out.</v>
          </cell>
          <cell r="T477" t="str">
            <v>https://raw.githubusercontent.com/PokeAPI/sprites/master/sprites/pokemon/other/official-artwork/356.png</v>
          </cell>
          <cell r="U477" t="str">
            <v>https://raw.githubusercontent.com/PokeAPI/sprites/master/sprites/pokemon/other/official-artwork/shiny/356.png</v>
          </cell>
        </row>
        <row r="478">
          <cell r="A478">
            <v>357</v>
          </cell>
          <cell r="C478" t="str">
            <v>Tropius</v>
          </cell>
          <cell r="D478" t="str">
            <v>Standard</v>
          </cell>
          <cell r="E478" t="str">
            <v>grass</v>
          </cell>
          <cell r="F478" t="str">
            <v>flying</v>
          </cell>
          <cell r="G478">
            <v>99</v>
          </cell>
          <cell r="H478">
            <v>68</v>
          </cell>
          <cell r="I478">
            <v>83</v>
          </cell>
          <cell r="J478">
            <v>72</v>
          </cell>
          <cell r="K478">
            <v>87</v>
          </cell>
          <cell r="L478">
            <v>51</v>
          </cell>
          <cell r="M478">
            <v>460</v>
          </cell>
          <cell r="N478" t="str">
            <v>chlorophyll</v>
          </cell>
          <cell r="O478" t="str">
            <v>solar-power</v>
          </cell>
          <cell r="P478" t="str">
            <v>harvest</v>
          </cell>
          <cell r="Q478">
            <v>2</v>
          </cell>
          <cell r="R478">
            <v>100</v>
          </cell>
          <cell r="S478" t="str">
            <v>The bunches of fruit around TROPIUS’s neck are very popular with children. This POKéMON loves fruit, and eats it continuously. Apparently, its love for fruit resulted in its own outgrowth of fruit.</v>
          </cell>
          <cell r="T478" t="str">
            <v>https://raw.githubusercontent.com/PokeAPI/sprites/master/sprites/pokemon/other/official-artwork/357.png</v>
          </cell>
          <cell r="U478" t="str">
            <v>https://raw.githubusercontent.com/PokeAPI/sprites/master/sprites/pokemon/other/official-artwork/shiny/357.png</v>
          </cell>
        </row>
        <row r="479">
          <cell r="A479">
            <v>358</v>
          </cell>
          <cell r="C479" t="str">
            <v>Chimecho</v>
          </cell>
          <cell r="D479" t="str">
            <v>Standard</v>
          </cell>
          <cell r="E479" t="str">
            <v>psychic</v>
          </cell>
          <cell r="G479">
            <v>75</v>
          </cell>
          <cell r="H479">
            <v>50</v>
          </cell>
          <cell r="I479">
            <v>80</v>
          </cell>
          <cell r="J479">
            <v>95</v>
          </cell>
          <cell r="K479">
            <v>90</v>
          </cell>
          <cell r="L479">
            <v>65</v>
          </cell>
          <cell r="M479">
            <v>455</v>
          </cell>
          <cell r="N479" t="str">
            <v>levitate</v>
          </cell>
          <cell r="Q479">
            <v>0.6</v>
          </cell>
          <cell r="R479">
            <v>1</v>
          </cell>
          <cell r="S479" t="str">
            <v>CHIMECHO makes its cries echo inside its hollow body. When this POKéMON becomes enraged, its cries result in ultrasonic waves that have the power to knock foes flying.</v>
          </cell>
          <cell r="T479" t="str">
            <v>https://raw.githubusercontent.com/PokeAPI/sprites/master/sprites/pokemon/other/official-artwork/358.png</v>
          </cell>
          <cell r="U479" t="str">
            <v>https://raw.githubusercontent.com/PokeAPI/sprites/master/sprites/pokemon/other/official-artwork/shiny/358.png</v>
          </cell>
        </row>
        <row r="480">
          <cell r="A480">
            <v>358</v>
          </cell>
          <cell r="C480" t="str">
            <v>Chimecho Mega</v>
          </cell>
          <cell r="D480" t="str">
            <v>Mega</v>
          </cell>
          <cell r="E480" t="str">
            <v>psychic</v>
          </cell>
          <cell r="F480" t="str">
            <v>steel</v>
          </cell>
          <cell r="G480">
            <v>75</v>
          </cell>
          <cell r="H480">
            <v>50</v>
          </cell>
          <cell r="I480">
            <v>110</v>
          </cell>
          <cell r="J480">
            <v>135</v>
          </cell>
          <cell r="K480">
            <v>120</v>
          </cell>
          <cell r="L480">
            <v>65</v>
          </cell>
          <cell r="M480">
            <v>555</v>
          </cell>
          <cell r="Q480">
            <v>1.2</v>
          </cell>
          <cell r="R480">
            <v>8</v>
          </cell>
          <cell r="S480" t="str">
            <v>CHIMECHO makes its cries echo inside its hollow body. When this POKéMON becomes enraged, its cries result in ultrasonic waves that have the power to knock foes flying.</v>
          </cell>
        </row>
        <row r="481">
          <cell r="A481">
            <v>359</v>
          </cell>
          <cell r="C481" t="str">
            <v>Absol</v>
          </cell>
          <cell r="D481" t="str">
            <v>Standard</v>
          </cell>
          <cell r="E481" t="str">
            <v>dark</v>
          </cell>
          <cell r="G481">
            <v>65</v>
          </cell>
          <cell r="H481">
            <v>130</v>
          </cell>
          <cell r="I481">
            <v>60</v>
          </cell>
          <cell r="J481">
            <v>75</v>
          </cell>
          <cell r="K481">
            <v>60</v>
          </cell>
          <cell r="L481">
            <v>75</v>
          </cell>
          <cell r="M481">
            <v>465</v>
          </cell>
          <cell r="N481" t="str">
            <v>pressure</v>
          </cell>
          <cell r="O481" t="str">
            <v>super-luck</v>
          </cell>
          <cell r="P481" t="str">
            <v>justified</v>
          </cell>
          <cell r="Q481">
            <v>1.2</v>
          </cell>
          <cell r="R481">
            <v>47</v>
          </cell>
          <cell r="S481" t="str">
            <v>Every time ABSOL appears before people, it is followed by a disaster such as an earthquake or a tidal wave. As a result, it came to be known as the disaster POKéMON.</v>
          </cell>
          <cell r="T481" t="str">
            <v>https://raw.githubusercontent.com/PokeAPI/sprites/master/sprites/pokemon/other/official-artwork/359.png</v>
          </cell>
          <cell r="U481" t="str">
            <v>https://raw.githubusercontent.com/PokeAPI/sprites/master/sprites/pokemon/other/official-artwork/shiny/359.png</v>
          </cell>
        </row>
        <row r="482">
          <cell r="A482">
            <v>359</v>
          </cell>
          <cell r="C482" t="str">
            <v>Absol Mega</v>
          </cell>
          <cell r="D482" t="str">
            <v>Mega</v>
          </cell>
          <cell r="E482" t="str">
            <v>dark</v>
          </cell>
          <cell r="G482">
            <v>65</v>
          </cell>
          <cell r="H482">
            <v>150</v>
          </cell>
          <cell r="I482">
            <v>60</v>
          </cell>
          <cell r="J482">
            <v>115</v>
          </cell>
          <cell r="K482">
            <v>60</v>
          </cell>
          <cell r="L482">
            <v>115</v>
          </cell>
          <cell r="M482">
            <v>565</v>
          </cell>
          <cell r="N482" t="str">
            <v>magic-bounce</v>
          </cell>
          <cell r="Q482">
            <v>1.2</v>
          </cell>
          <cell r="R482">
            <v>49</v>
          </cell>
          <cell r="S482" t="str">
            <v>Every time ABSOL appears before people, it is followed by a disaster such as an earthquake or a tidal wave. As a result, it came to be known as the disaster POKéMON.</v>
          </cell>
          <cell r="T482" t="str">
            <v>https://raw.githubusercontent.com/PokeAPI/sprites/master/sprites/pokemon/other/official-artwork/10057.png</v>
          </cell>
          <cell r="U482" t="str">
            <v>https://raw.githubusercontent.com/PokeAPI/sprites/master/sprites/pokemon/other/official-artwork/shiny/10057.png</v>
          </cell>
        </row>
        <row r="483">
          <cell r="A483">
            <v>359</v>
          </cell>
          <cell r="C483" t="str">
            <v>Absol Mega Z</v>
          </cell>
          <cell r="D483" t="str">
            <v>Mega</v>
          </cell>
          <cell r="E483" t="str">
            <v>dark</v>
          </cell>
          <cell r="F483" t="str">
            <v>ghost</v>
          </cell>
          <cell r="G483">
            <v>65</v>
          </cell>
          <cell r="H483">
            <v>154</v>
          </cell>
          <cell r="I483">
            <v>60</v>
          </cell>
          <cell r="J483">
            <v>75</v>
          </cell>
          <cell r="K483">
            <v>60</v>
          </cell>
          <cell r="L483">
            <v>151</v>
          </cell>
          <cell r="M483">
            <v>565</v>
          </cell>
          <cell r="Q483">
            <v>1.2</v>
          </cell>
          <cell r="R483">
            <v>49</v>
          </cell>
          <cell r="S483" t="str">
            <v>Every time ABSOL appears before people, it is followed by a disaster such as an earthquake or a tidal wave. As a result, it came to be known as the disaster POKéMON.</v>
          </cell>
        </row>
        <row r="484">
          <cell r="A484">
            <v>360</v>
          </cell>
          <cell r="C484" t="str">
            <v>Wynaut</v>
          </cell>
          <cell r="D484" t="str">
            <v>Standard</v>
          </cell>
          <cell r="E484" t="str">
            <v>psychic</v>
          </cell>
          <cell r="G484">
            <v>95</v>
          </cell>
          <cell r="H484">
            <v>23</v>
          </cell>
          <cell r="I484">
            <v>48</v>
          </cell>
          <cell r="J484">
            <v>23</v>
          </cell>
          <cell r="K484">
            <v>48</v>
          </cell>
          <cell r="L484">
            <v>23</v>
          </cell>
          <cell r="M484">
            <v>260</v>
          </cell>
          <cell r="N484" t="str">
            <v>shadow-tag</v>
          </cell>
          <cell r="P484" t="str">
            <v>telepathy</v>
          </cell>
          <cell r="Q484">
            <v>0.6</v>
          </cell>
          <cell r="R484">
            <v>14</v>
          </cell>
          <cell r="S484" t="str">
            <v>WYNAUT can always be seen with a big, happy smile on its face. Look at its tail to determine if it is angry. When angered, this POKéMON will be slapping the ground with its tail.</v>
          </cell>
          <cell r="T484" t="str">
            <v>https://raw.githubusercontent.com/PokeAPI/sprites/master/sprites/pokemon/other/official-artwork/360.png</v>
          </cell>
          <cell r="U484" t="str">
            <v>https://raw.githubusercontent.com/PokeAPI/sprites/master/sprites/pokemon/other/official-artwork/shiny/360.png</v>
          </cell>
        </row>
        <row r="485">
          <cell r="A485">
            <v>361</v>
          </cell>
          <cell r="C485" t="str">
            <v>Snorunt</v>
          </cell>
          <cell r="D485" t="str">
            <v>Standard</v>
          </cell>
          <cell r="E485" t="str">
            <v>ice</v>
          </cell>
          <cell r="G485">
            <v>50</v>
          </cell>
          <cell r="H485">
            <v>50</v>
          </cell>
          <cell r="I485">
            <v>50</v>
          </cell>
          <cell r="J485">
            <v>50</v>
          </cell>
          <cell r="K485">
            <v>50</v>
          </cell>
          <cell r="L485">
            <v>50</v>
          </cell>
          <cell r="M485">
            <v>300</v>
          </cell>
          <cell r="N485" t="str">
            <v>inner-focus</v>
          </cell>
          <cell r="O485" t="str">
            <v>ice-body</v>
          </cell>
          <cell r="P485" t="str">
            <v>moody</v>
          </cell>
          <cell r="Q485">
            <v>0.7</v>
          </cell>
          <cell r="R485">
            <v>16.8</v>
          </cell>
          <cell r="S485" t="str">
            <v>SNORUNT live in regions with heavy snowfall. In seasons without snow, such as spring and summer, this POKéMON steals away to live quietly among stalactites and stalagmites deep in caverns.</v>
          </cell>
          <cell r="T485" t="str">
            <v>https://raw.githubusercontent.com/PokeAPI/sprites/master/sprites/pokemon/other/official-artwork/361.png</v>
          </cell>
          <cell r="U485" t="str">
            <v>https://raw.githubusercontent.com/PokeAPI/sprites/master/sprites/pokemon/other/official-artwork/shiny/361.png</v>
          </cell>
        </row>
        <row r="486">
          <cell r="A486">
            <v>362</v>
          </cell>
          <cell r="C486" t="str">
            <v>Glalie</v>
          </cell>
          <cell r="D486" t="str">
            <v>Standard</v>
          </cell>
          <cell r="E486" t="str">
            <v>ice</v>
          </cell>
          <cell r="G486">
            <v>80</v>
          </cell>
          <cell r="H486">
            <v>80</v>
          </cell>
          <cell r="I486">
            <v>80</v>
          </cell>
          <cell r="J486">
            <v>80</v>
          </cell>
          <cell r="K486">
            <v>80</v>
          </cell>
          <cell r="L486">
            <v>80</v>
          </cell>
          <cell r="M486">
            <v>480</v>
          </cell>
          <cell r="N486" t="str">
            <v>inner-focus</v>
          </cell>
          <cell r="O486" t="str">
            <v>ice-body</v>
          </cell>
          <cell r="P486" t="str">
            <v>moody</v>
          </cell>
          <cell r="Q486">
            <v>1.5</v>
          </cell>
          <cell r="R486">
            <v>256.5</v>
          </cell>
          <cell r="S486" t="str">
            <v>GLALIE has a body made of rock, which it hardens with an armor of ice. This POKéMON has the ability to freeze moisture in the atmosphere into any shape it desires.</v>
          </cell>
          <cell r="T486" t="str">
            <v>https://raw.githubusercontent.com/PokeAPI/sprites/master/sprites/pokemon/other/official-artwork/362.png</v>
          </cell>
          <cell r="U486" t="str">
            <v>https://raw.githubusercontent.com/PokeAPI/sprites/master/sprites/pokemon/other/official-artwork/shiny/362.png</v>
          </cell>
        </row>
        <row r="487">
          <cell r="A487">
            <v>362</v>
          </cell>
          <cell r="C487" t="str">
            <v>Glalie Mega</v>
          </cell>
          <cell r="D487" t="str">
            <v>Mega</v>
          </cell>
          <cell r="E487" t="str">
            <v>ice</v>
          </cell>
          <cell r="G487">
            <v>80</v>
          </cell>
          <cell r="H487">
            <v>120</v>
          </cell>
          <cell r="I487">
            <v>80</v>
          </cell>
          <cell r="J487">
            <v>120</v>
          </cell>
          <cell r="K487">
            <v>80</v>
          </cell>
          <cell r="L487">
            <v>100</v>
          </cell>
          <cell r="M487">
            <v>580</v>
          </cell>
          <cell r="N487" t="str">
            <v>refrigerate</v>
          </cell>
          <cell r="Q487">
            <v>2.1</v>
          </cell>
          <cell r="R487">
            <v>350.2</v>
          </cell>
          <cell r="S487" t="str">
            <v>GLALIE has a body made of rock, which it hardens with an armor of ice. This POKéMON has the ability to freeze moisture in the atmosphere into any shape it desires.</v>
          </cell>
          <cell r="T487" t="str">
            <v>https://raw.githubusercontent.com/PokeAPI/sprites/master/sprites/pokemon/other/official-artwork/10074.png</v>
          </cell>
          <cell r="U487" t="str">
            <v>https://raw.githubusercontent.com/PokeAPI/sprites/master/sprites/pokemon/other/official-artwork/shiny/10074.png</v>
          </cell>
        </row>
        <row r="488">
          <cell r="A488">
            <v>363</v>
          </cell>
          <cell r="C488" t="str">
            <v>Spheal</v>
          </cell>
          <cell r="D488" t="str">
            <v>Standard</v>
          </cell>
          <cell r="E488" t="str">
            <v>ice</v>
          </cell>
          <cell r="F488" t="str">
            <v>water</v>
          </cell>
          <cell r="G488">
            <v>70</v>
          </cell>
          <cell r="H488">
            <v>40</v>
          </cell>
          <cell r="I488">
            <v>50</v>
          </cell>
          <cell r="J488">
            <v>55</v>
          </cell>
          <cell r="K488">
            <v>50</v>
          </cell>
          <cell r="L488">
            <v>25</v>
          </cell>
          <cell r="M488">
            <v>290</v>
          </cell>
          <cell r="N488" t="str">
            <v>thick-fat</v>
          </cell>
          <cell r="O488" t="str">
            <v>ice-body</v>
          </cell>
          <cell r="P488" t="str">
            <v>oblivious</v>
          </cell>
          <cell r="Q488">
            <v>0.8</v>
          </cell>
          <cell r="R488">
            <v>39.5</v>
          </cell>
          <cell r="S488" t="str">
            <v>SPHEAL is much faster rolling than walking to get around. When groups of this POKéMON eat, they all clap at once to show their pleasure. Because of this, their mealtimes are noisy.</v>
          </cell>
          <cell r="T488" t="str">
            <v>https://raw.githubusercontent.com/PokeAPI/sprites/master/sprites/pokemon/other/official-artwork/363.png</v>
          </cell>
          <cell r="U488" t="str">
            <v>https://raw.githubusercontent.com/PokeAPI/sprites/master/sprites/pokemon/other/official-artwork/shiny/363.png</v>
          </cell>
        </row>
        <row r="489">
          <cell r="A489">
            <v>364</v>
          </cell>
          <cell r="C489" t="str">
            <v>Sealeo</v>
          </cell>
          <cell r="D489" t="str">
            <v>Standard</v>
          </cell>
          <cell r="E489" t="str">
            <v>ice</v>
          </cell>
          <cell r="F489" t="str">
            <v>water</v>
          </cell>
          <cell r="G489">
            <v>90</v>
          </cell>
          <cell r="H489">
            <v>60</v>
          </cell>
          <cell r="I489">
            <v>70</v>
          </cell>
          <cell r="J489">
            <v>75</v>
          </cell>
          <cell r="K489">
            <v>70</v>
          </cell>
          <cell r="L489">
            <v>45</v>
          </cell>
          <cell r="M489">
            <v>410</v>
          </cell>
          <cell r="N489" t="str">
            <v>thick-fat</v>
          </cell>
          <cell r="O489" t="str">
            <v>ice-body</v>
          </cell>
          <cell r="P489" t="str">
            <v>oblivious</v>
          </cell>
          <cell r="Q489">
            <v>1.1000000000000001</v>
          </cell>
          <cell r="R489">
            <v>87.6</v>
          </cell>
          <cell r="S489" t="str">
            <v>SEALEO has the habit of always juggling on the tip of its nose anything it sees for the first time. This POKéMON occasionally entertains itself by balancing and rolling a SPHEAL on its nose.</v>
          </cell>
          <cell r="T489" t="str">
            <v>https://raw.githubusercontent.com/PokeAPI/sprites/master/sprites/pokemon/other/official-artwork/364.png</v>
          </cell>
          <cell r="U489" t="str">
            <v>https://raw.githubusercontent.com/PokeAPI/sprites/master/sprites/pokemon/other/official-artwork/shiny/364.png</v>
          </cell>
        </row>
        <row r="490">
          <cell r="A490">
            <v>365</v>
          </cell>
          <cell r="C490" t="str">
            <v>Walrein</v>
          </cell>
          <cell r="D490" t="str">
            <v>Standard</v>
          </cell>
          <cell r="E490" t="str">
            <v>ice</v>
          </cell>
          <cell r="F490" t="str">
            <v>water</v>
          </cell>
          <cell r="G490">
            <v>110</v>
          </cell>
          <cell r="H490">
            <v>80</v>
          </cell>
          <cell r="I490">
            <v>90</v>
          </cell>
          <cell r="J490">
            <v>95</v>
          </cell>
          <cell r="K490">
            <v>90</v>
          </cell>
          <cell r="L490">
            <v>65</v>
          </cell>
          <cell r="M490">
            <v>530</v>
          </cell>
          <cell r="N490" t="str">
            <v>thick-fat</v>
          </cell>
          <cell r="O490" t="str">
            <v>ice-body</v>
          </cell>
          <cell r="P490" t="str">
            <v>oblivious</v>
          </cell>
          <cell r="Q490">
            <v>1.4</v>
          </cell>
          <cell r="R490">
            <v>150.6</v>
          </cell>
          <cell r="S490" t="str">
            <v>It swims through icy seas while shattering ice floes with its large tusks. It is protected by its thick blubber.</v>
          </cell>
          <cell r="T490" t="str">
            <v>https://raw.githubusercontent.com/PokeAPI/sprites/master/sprites/pokemon/other/official-artwork/365.png</v>
          </cell>
          <cell r="U490" t="str">
            <v>https://raw.githubusercontent.com/PokeAPI/sprites/master/sprites/pokemon/other/official-artwork/shiny/365.png</v>
          </cell>
        </row>
        <row r="491">
          <cell r="A491">
            <v>366</v>
          </cell>
          <cell r="C491" t="str">
            <v>Clamperl</v>
          </cell>
          <cell r="D491" t="str">
            <v>Standard</v>
          </cell>
          <cell r="E491" t="str">
            <v>water</v>
          </cell>
          <cell r="G491">
            <v>35</v>
          </cell>
          <cell r="H491">
            <v>64</v>
          </cell>
          <cell r="I491">
            <v>85</v>
          </cell>
          <cell r="J491">
            <v>74</v>
          </cell>
          <cell r="K491">
            <v>55</v>
          </cell>
          <cell r="L491">
            <v>32</v>
          </cell>
          <cell r="M491">
            <v>345</v>
          </cell>
          <cell r="N491" t="str">
            <v>shell-armor</v>
          </cell>
          <cell r="P491" t="str">
            <v>rattled</v>
          </cell>
          <cell r="Q491">
            <v>0.4</v>
          </cell>
          <cell r="R491">
            <v>52.5</v>
          </cell>
          <cell r="S491" t="str">
            <v>CLAMPERL’s sturdy shell is not only good for protection - it is also used for clamping and catching prey. A fully grown CLAMPERL’s shell will be scored with nicks and scratches all over.</v>
          </cell>
          <cell r="T491" t="str">
            <v>https://raw.githubusercontent.com/PokeAPI/sprites/master/sprites/pokemon/other/official-artwork/366.png</v>
          </cell>
          <cell r="U491" t="str">
            <v>https://raw.githubusercontent.com/PokeAPI/sprites/master/sprites/pokemon/other/official-artwork/shiny/366.png</v>
          </cell>
        </row>
        <row r="492">
          <cell r="A492">
            <v>367</v>
          </cell>
          <cell r="C492" t="str">
            <v>Huntail</v>
          </cell>
          <cell r="D492" t="str">
            <v>Standard</v>
          </cell>
          <cell r="E492" t="str">
            <v>water</v>
          </cell>
          <cell r="G492">
            <v>55</v>
          </cell>
          <cell r="H492">
            <v>104</v>
          </cell>
          <cell r="I492">
            <v>105</v>
          </cell>
          <cell r="J492">
            <v>94</v>
          </cell>
          <cell r="K492">
            <v>75</v>
          </cell>
          <cell r="L492">
            <v>52</v>
          </cell>
          <cell r="M492">
            <v>485</v>
          </cell>
          <cell r="N492" t="str">
            <v>swift-swim</v>
          </cell>
          <cell r="P492" t="str">
            <v>water-veil</v>
          </cell>
          <cell r="Q492">
            <v>1.7</v>
          </cell>
          <cell r="R492">
            <v>27</v>
          </cell>
          <cell r="S492" t="str">
            <v>HUNTAIL’s presence went unnoticed by people for a long time because it lives at extreme depths in the sea. This POKéMON’s eyes can see clearly even in the murky dark depths of the ocean.</v>
          </cell>
          <cell r="T492" t="str">
            <v>https://raw.githubusercontent.com/PokeAPI/sprites/master/sprites/pokemon/other/official-artwork/367.png</v>
          </cell>
          <cell r="U492" t="str">
            <v>https://raw.githubusercontent.com/PokeAPI/sprites/master/sprites/pokemon/other/official-artwork/shiny/367.png</v>
          </cell>
        </row>
        <row r="493">
          <cell r="A493">
            <v>368</v>
          </cell>
          <cell r="C493" t="str">
            <v>Gorebyss</v>
          </cell>
          <cell r="D493" t="str">
            <v>Standard</v>
          </cell>
          <cell r="E493" t="str">
            <v>water</v>
          </cell>
          <cell r="G493">
            <v>55</v>
          </cell>
          <cell r="H493">
            <v>84</v>
          </cell>
          <cell r="I493">
            <v>105</v>
          </cell>
          <cell r="J493">
            <v>114</v>
          </cell>
          <cell r="K493">
            <v>75</v>
          </cell>
          <cell r="L493">
            <v>52</v>
          </cell>
          <cell r="M493">
            <v>485</v>
          </cell>
          <cell r="N493" t="str">
            <v>swift-swim</v>
          </cell>
          <cell r="P493" t="str">
            <v>hydration</v>
          </cell>
          <cell r="Q493">
            <v>1.8</v>
          </cell>
          <cell r="R493">
            <v>22.6</v>
          </cell>
          <cell r="S493" t="str">
            <v>GOREBYSS lives in the southern seas at extreme depths. Its body is built to withstand the enormous pressure of water at incredible depths. Because of this, this POKéMON’s body is unharmed by ordinary attacks.</v>
          </cell>
          <cell r="T493" t="str">
            <v>https://raw.githubusercontent.com/PokeAPI/sprites/master/sprites/pokemon/other/official-artwork/368.png</v>
          </cell>
          <cell r="U493" t="str">
            <v>https://raw.githubusercontent.com/PokeAPI/sprites/master/sprites/pokemon/other/official-artwork/shiny/368.png</v>
          </cell>
        </row>
        <row r="494">
          <cell r="A494">
            <v>369</v>
          </cell>
          <cell r="C494" t="str">
            <v>Relicanth</v>
          </cell>
          <cell r="D494" t="str">
            <v>Standard</v>
          </cell>
          <cell r="E494" t="str">
            <v>water</v>
          </cell>
          <cell r="F494" t="str">
            <v>rock</v>
          </cell>
          <cell r="G494">
            <v>100</v>
          </cell>
          <cell r="H494">
            <v>90</v>
          </cell>
          <cell r="I494">
            <v>130</v>
          </cell>
          <cell r="J494">
            <v>45</v>
          </cell>
          <cell r="K494">
            <v>65</v>
          </cell>
          <cell r="L494">
            <v>55</v>
          </cell>
          <cell r="M494">
            <v>485</v>
          </cell>
          <cell r="N494" t="str">
            <v>swift-swim</v>
          </cell>
          <cell r="O494" t="str">
            <v>rock-head</v>
          </cell>
          <cell r="P494" t="str">
            <v>sturdy</v>
          </cell>
          <cell r="Q494">
            <v>1</v>
          </cell>
          <cell r="R494">
            <v>23.4</v>
          </cell>
          <cell r="S494" t="str">
            <v>RELICANTH is a POKéMON species that existed for a hundred million years without ever changing its form. This ancient POKéMON feeds on microscopic organisms with its toothless mouth.</v>
          </cell>
          <cell r="T494" t="str">
            <v>https://raw.githubusercontent.com/PokeAPI/sprites/master/sprites/pokemon/other/official-artwork/369.png</v>
          </cell>
          <cell r="U494" t="str">
            <v>https://raw.githubusercontent.com/PokeAPI/sprites/master/sprites/pokemon/other/official-artwork/shiny/369.png</v>
          </cell>
        </row>
        <row r="495">
          <cell r="A495">
            <v>370</v>
          </cell>
          <cell r="C495" t="str">
            <v>Luvdisc</v>
          </cell>
          <cell r="D495" t="str">
            <v>Standard</v>
          </cell>
          <cell r="E495" t="str">
            <v>water</v>
          </cell>
          <cell r="G495">
            <v>43</v>
          </cell>
          <cell r="H495">
            <v>30</v>
          </cell>
          <cell r="I495">
            <v>55</v>
          </cell>
          <cell r="J495">
            <v>40</v>
          </cell>
          <cell r="K495">
            <v>65</v>
          </cell>
          <cell r="L495">
            <v>97</v>
          </cell>
          <cell r="M495">
            <v>330</v>
          </cell>
          <cell r="N495" t="str">
            <v>swift-swim</v>
          </cell>
          <cell r="P495" t="str">
            <v>hydration</v>
          </cell>
          <cell r="Q495">
            <v>0.6</v>
          </cell>
          <cell r="R495">
            <v>8.6999999999999993</v>
          </cell>
          <cell r="S495" t="str">
            <v>LUVDISC live in shallow seas in the tropics. This heart-shaped POKéMON earned its name by swimming after loving couples it spotted in the ocean’s waves.</v>
          </cell>
          <cell r="T495" t="str">
            <v>https://raw.githubusercontent.com/PokeAPI/sprites/master/sprites/pokemon/other/official-artwork/370.png</v>
          </cell>
          <cell r="U495" t="str">
            <v>https://raw.githubusercontent.com/PokeAPI/sprites/master/sprites/pokemon/other/official-artwork/shiny/370.png</v>
          </cell>
        </row>
        <row r="496">
          <cell r="A496">
            <v>371</v>
          </cell>
          <cell r="C496" t="str">
            <v>Bagon</v>
          </cell>
          <cell r="D496" t="str">
            <v>Standard</v>
          </cell>
          <cell r="E496" t="str">
            <v>dragon</v>
          </cell>
          <cell r="G496">
            <v>45</v>
          </cell>
          <cell r="H496">
            <v>75</v>
          </cell>
          <cell r="I496">
            <v>60</v>
          </cell>
          <cell r="J496">
            <v>40</v>
          </cell>
          <cell r="K496">
            <v>30</v>
          </cell>
          <cell r="L496">
            <v>50</v>
          </cell>
          <cell r="M496">
            <v>300</v>
          </cell>
          <cell r="N496" t="str">
            <v>rock-head</v>
          </cell>
          <cell r="P496" t="str">
            <v>sheer-force</v>
          </cell>
          <cell r="Q496">
            <v>0.6</v>
          </cell>
          <cell r="R496">
            <v>42.1</v>
          </cell>
          <cell r="S496" t="str">
            <v>Dreaming of one day flying, it practices by leaping off cliffs every day.</v>
          </cell>
          <cell r="T496" t="str">
            <v>https://raw.githubusercontent.com/PokeAPI/sprites/master/sprites/pokemon/other/official-artwork/371.png</v>
          </cell>
          <cell r="U496" t="str">
            <v>https://raw.githubusercontent.com/PokeAPI/sprites/master/sprites/pokemon/other/official-artwork/shiny/371.png</v>
          </cell>
        </row>
        <row r="497">
          <cell r="A497">
            <v>372</v>
          </cell>
          <cell r="C497" t="str">
            <v>Shelgon</v>
          </cell>
          <cell r="D497" t="str">
            <v>Standard</v>
          </cell>
          <cell r="E497" t="str">
            <v>dragon</v>
          </cell>
          <cell r="G497">
            <v>65</v>
          </cell>
          <cell r="H497">
            <v>95</v>
          </cell>
          <cell r="I497">
            <v>100</v>
          </cell>
          <cell r="J497">
            <v>60</v>
          </cell>
          <cell r="K497">
            <v>50</v>
          </cell>
          <cell r="L497">
            <v>50</v>
          </cell>
          <cell r="M497">
            <v>420</v>
          </cell>
          <cell r="N497" t="str">
            <v>rock-head</v>
          </cell>
          <cell r="P497" t="str">
            <v>overcoat</v>
          </cell>
          <cell r="Q497">
            <v>1.1000000000000001</v>
          </cell>
          <cell r="R497">
            <v>110.5</v>
          </cell>
          <cell r="S497" t="str">
            <v>Inside SHELGON’s armor-like shell, cells are in the midst of transformation to create an entirely new body. This POKéMON’s shell is extremely heavy, making its movements sluggish.</v>
          </cell>
          <cell r="T497" t="str">
            <v>https://raw.githubusercontent.com/PokeAPI/sprites/master/sprites/pokemon/other/official-artwork/372.png</v>
          </cell>
          <cell r="U497" t="str">
            <v>https://raw.githubusercontent.com/PokeAPI/sprites/master/sprites/pokemon/other/official-artwork/shiny/372.png</v>
          </cell>
        </row>
        <row r="498">
          <cell r="A498">
            <v>373</v>
          </cell>
          <cell r="C498" t="str">
            <v>Salamence</v>
          </cell>
          <cell r="D498" t="str">
            <v>Standard</v>
          </cell>
          <cell r="E498" t="str">
            <v>dragon</v>
          </cell>
          <cell r="F498" t="str">
            <v>flying</v>
          </cell>
          <cell r="G498">
            <v>95</v>
          </cell>
          <cell r="H498">
            <v>135</v>
          </cell>
          <cell r="I498">
            <v>80</v>
          </cell>
          <cell r="J498">
            <v>110</v>
          </cell>
          <cell r="K498">
            <v>80</v>
          </cell>
          <cell r="L498">
            <v>100</v>
          </cell>
          <cell r="M498">
            <v>600</v>
          </cell>
          <cell r="N498" t="str">
            <v>intimidate</v>
          </cell>
          <cell r="P498" t="str">
            <v>moxie</v>
          </cell>
          <cell r="Q498">
            <v>1.5</v>
          </cell>
          <cell r="R498">
            <v>102.6</v>
          </cell>
          <cell r="S498" t="str">
            <v>SALAMENCE came about as a result of a strong, long-held dream of growing wings. It is said that this powerful desire triggered a sudden mutation in this POKéMON’s cells, causing it to sprout its magnificent wings.</v>
          </cell>
          <cell r="T498" t="str">
            <v>https://raw.githubusercontent.com/PokeAPI/sprites/master/sprites/pokemon/other/official-artwork/373.png</v>
          </cell>
          <cell r="U498" t="str">
            <v>https://raw.githubusercontent.com/PokeAPI/sprites/master/sprites/pokemon/other/official-artwork/shiny/373.png</v>
          </cell>
        </row>
        <row r="499">
          <cell r="A499">
            <v>373</v>
          </cell>
          <cell r="C499" t="str">
            <v>Salamence Mega</v>
          </cell>
          <cell r="D499" t="str">
            <v>Mega</v>
          </cell>
          <cell r="E499" t="str">
            <v>dragon</v>
          </cell>
          <cell r="F499" t="str">
            <v>flying</v>
          </cell>
          <cell r="G499">
            <v>95</v>
          </cell>
          <cell r="H499">
            <v>145</v>
          </cell>
          <cell r="I499">
            <v>130</v>
          </cell>
          <cell r="J499">
            <v>120</v>
          </cell>
          <cell r="K499">
            <v>90</v>
          </cell>
          <cell r="L499">
            <v>120</v>
          </cell>
          <cell r="M499">
            <v>700</v>
          </cell>
          <cell r="N499" t="str">
            <v>aerilate</v>
          </cell>
          <cell r="Q499">
            <v>1.8</v>
          </cell>
          <cell r="R499">
            <v>112.6</v>
          </cell>
          <cell r="S499" t="str">
            <v>SALAMENCE came about as a result of a strong, long-held dream of growing wings. It is said that this powerful desire triggered a sudden mutation in this POKéMON’s cells, causing it to sprout its magnificent wings.</v>
          </cell>
          <cell r="T499" t="str">
            <v>https://raw.githubusercontent.com/PokeAPI/sprites/master/sprites/pokemon/other/official-artwork/10089.png</v>
          </cell>
          <cell r="U499" t="str">
            <v>https://raw.githubusercontent.com/PokeAPI/sprites/master/sprites/pokemon/other/official-artwork/shiny/10089.png</v>
          </cell>
        </row>
        <row r="500">
          <cell r="A500">
            <v>374</v>
          </cell>
          <cell r="C500" t="str">
            <v>Beldum</v>
          </cell>
          <cell r="D500" t="str">
            <v>Standard</v>
          </cell>
          <cell r="E500" t="str">
            <v>steel</v>
          </cell>
          <cell r="F500" t="str">
            <v>psychic</v>
          </cell>
          <cell r="G500">
            <v>40</v>
          </cell>
          <cell r="H500">
            <v>55</v>
          </cell>
          <cell r="I500">
            <v>80</v>
          </cell>
          <cell r="J500">
            <v>35</v>
          </cell>
          <cell r="K500">
            <v>60</v>
          </cell>
          <cell r="L500">
            <v>30</v>
          </cell>
          <cell r="M500">
            <v>300</v>
          </cell>
          <cell r="N500" t="str">
            <v>clear-body</v>
          </cell>
          <cell r="P500" t="str">
            <v>light-metal</v>
          </cell>
          <cell r="Q500">
            <v>0.6</v>
          </cell>
          <cell r="R500">
            <v>95.2</v>
          </cell>
          <cell r="S500" t="str">
            <v>Instead of blood, a powerful magnetic force courses throughout BELDUM’s body. This POKéMON communicates with others by sending controlled pulses of magnetism.</v>
          </cell>
          <cell r="T500" t="str">
            <v>https://raw.githubusercontent.com/PokeAPI/sprites/master/sprites/pokemon/other/official-artwork/374.png</v>
          </cell>
          <cell r="U500" t="str">
            <v>https://raw.githubusercontent.com/PokeAPI/sprites/master/sprites/pokemon/other/official-artwork/shiny/374.png</v>
          </cell>
        </row>
        <row r="501">
          <cell r="A501">
            <v>375</v>
          </cell>
          <cell r="C501" t="str">
            <v>Metang</v>
          </cell>
          <cell r="D501" t="str">
            <v>Standard</v>
          </cell>
          <cell r="E501" t="str">
            <v>steel</v>
          </cell>
          <cell r="F501" t="str">
            <v>psychic</v>
          </cell>
          <cell r="G501">
            <v>60</v>
          </cell>
          <cell r="H501">
            <v>75</v>
          </cell>
          <cell r="I501">
            <v>100</v>
          </cell>
          <cell r="J501">
            <v>55</v>
          </cell>
          <cell r="K501">
            <v>80</v>
          </cell>
          <cell r="L501">
            <v>50</v>
          </cell>
          <cell r="M501">
            <v>420</v>
          </cell>
          <cell r="N501" t="str">
            <v>clear-body</v>
          </cell>
          <cell r="P501" t="str">
            <v>light-metal</v>
          </cell>
          <cell r="Q501">
            <v>1.2</v>
          </cell>
          <cell r="R501">
            <v>202.5</v>
          </cell>
          <cell r="S501" t="str">
            <v>When two BELDUM fuse together, METANG is formed. The brains of the BELDUM are joined by a magnetic nervous system. By linking its brains magnetically, this POKéMON generates strong psychokinetic power.</v>
          </cell>
          <cell r="T501" t="str">
            <v>https://raw.githubusercontent.com/PokeAPI/sprites/master/sprites/pokemon/other/official-artwork/375.png</v>
          </cell>
          <cell r="U501" t="str">
            <v>https://raw.githubusercontent.com/PokeAPI/sprites/master/sprites/pokemon/other/official-artwork/shiny/375.png</v>
          </cell>
        </row>
        <row r="502">
          <cell r="A502">
            <v>376</v>
          </cell>
          <cell r="C502" t="str">
            <v>Metagross</v>
          </cell>
          <cell r="D502" t="str">
            <v>Standard</v>
          </cell>
          <cell r="E502" t="str">
            <v>steel</v>
          </cell>
          <cell r="F502" t="str">
            <v>psychic</v>
          </cell>
          <cell r="G502">
            <v>80</v>
          </cell>
          <cell r="H502">
            <v>135</v>
          </cell>
          <cell r="I502">
            <v>130</v>
          </cell>
          <cell r="J502">
            <v>95</v>
          </cell>
          <cell r="K502">
            <v>90</v>
          </cell>
          <cell r="L502">
            <v>70</v>
          </cell>
          <cell r="M502">
            <v>600</v>
          </cell>
          <cell r="N502" t="str">
            <v>clear-body</v>
          </cell>
          <cell r="P502" t="str">
            <v>light-metal</v>
          </cell>
          <cell r="Q502">
            <v>1.6</v>
          </cell>
          <cell r="R502">
            <v>550</v>
          </cell>
          <cell r="S502" t="str">
            <v>METAGROSS has four brains in total. Combined, the four brains can breeze through difficult calculations faster than a supercomputer. This POKéMON can float in the air by tucking in its four legs.</v>
          </cell>
          <cell r="T502" t="str">
            <v>https://raw.githubusercontent.com/PokeAPI/sprites/master/sprites/pokemon/other/official-artwork/376.png</v>
          </cell>
          <cell r="U502" t="str">
            <v>https://raw.githubusercontent.com/PokeAPI/sprites/master/sprites/pokemon/other/official-artwork/shiny/376.png</v>
          </cell>
        </row>
        <row r="503">
          <cell r="A503">
            <v>376</v>
          </cell>
          <cell r="C503" t="str">
            <v>Metagross Mega</v>
          </cell>
          <cell r="D503" t="str">
            <v>Mega</v>
          </cell>
          <cell r="E503" t="str">
            <v>steel</v>
          </cell>
          <cell r="F503" t="str">
            <v>psychic</v>
          </cell>
          <cell r="G503">
            <v>80</v>
          </cell>
          <cell r="H503">
            <v>145</v>
          </cell>
          <cell r="I503">
            <v>150</v>
          </cell>
          <cell r="J503">
            <v>105</v>
          </cell>
          <cell r="K503">
            <v>110</v>
          </cell>
          <cell r="L503">
            <v>110</v>
          </cell>
          <cell r="M503">
            <v>700</v>
          </cell>
          <cell r="N503" t="str">
            <v>tough-claws</v>
          </cell>
          <cell r="Q503">
            <v>2.5</v>
          </cell>
          <cell r="R503">
            <v>942.9</v>
          </cell>
          <cell r="S503" t="str">
            <v>METAGROSS has four brains in total. Combined, the four brains can breeze through difficult calculations faster than a supercomputer. This POKéMON can float in the air by tucking in its four legs.</v>
          </cell>
          <cell r="T503" t="str">
            <v>https://raw.githubusercontent.com/PokeAPI/sprites/master/sprites/pokemon/other/official-artwork/10076.png</v>
          </cell>
          <cell r="U503" t="str">
            <v>https://raw.githubusercontent.com/PokeAPI/sprites/master/sprites/pokemon/other/official-artwork/shiny/10076.png</v>
          </cell>
        </row>
        <row r="504">
          <cell r="A504">
            <v>377</v>
          </cell>
          <cell r="C504" t="str">
            <v>Regirock</v>
          </cell>
          <cell r="D504" t="str">
            <v>Standard</v>
          </cell>
          <cell r="E504" t="str">
            <v>rock</v>
          </cell>
          <cell r="G504">
            <v>80</v>
          </cell>
          <cell r="H504">
            <v>100</v>
          </cell>
          <cell r="I504">
            <v>200</v>
          </cell>
          <cell r="J504">
            <v>50</v>
          </cell>
          <cell r="K504">
            <v>100</v>
          </cell>
          <cell r="L504">
            <v>50</v>
          </cell>
          <cell r="M504">
            <v>580</v>
          </cell>
          <cell r="N504" t="str">
            <v>clear-body</v>
          </cell>
          <cell r="P504" t="str">
            <v>sturdy</v>
          </cell>
          <cell r="Q504">
            <v>1.7</v>
          </cell>
          <cell r="R504">
            <v>230</v>
          </cell>
          <cell r="S504" t="str">
            <v>Its entire body is made of rock. If any part chips off in battle, it attaches rocks to repair itself.</v>
          </cell>
          <cell r="T504" t="str">
            <v>https://raw.githubusercontent.com/PokeAPI/sprites/master/sprites/pokemon/other/official-artwork/377.png</v>
          </cell>
          <cell r="U504" t="str">
            <v>https://raw.githubusercontent.com/PokeAPI/sprites/master/sprites/pokemon/other/official-artwork/shiny/377.png</v>
          </cell>
        </row>
        <row r="505">
          <cell r="A505">
            <v>378</v>
          </cell>
          <cell r="C505" t="str">
            <v>Regice</v>
          </cell>
          <cell r="D505" t="str">
            <v>Standard</v>
          </cell>
          <cell r="E505" t="str">
            <v>ice</v>
          </cell>
          <cell r="G505">
            <v>80</v>
          </cell>
          <cell r="H505">
            <v>50</v>
          </cell>
          <cell r="I505">
            <v>100</v>
          </cell>
          <cell r="J505">
            <v>100</v>
          </cell>
          <cell r="K505">
            <v>200</v>
          </cell>
          <cell r="L505">
            <v>50</v>
          </cell>
          <cell r="M505">
            <v>580</v>
          </cell>
          <cell r="N505" t="str">
            <v>clear-body</v>
          </cell>
          <cell r="P505" t="str">
            <v>ice-body</v>
          </cell>
          <cell r="Q505">
            <v>1.8</v>
          </cell>
          <cell r="R505">
            <v>175</v>
          </cell>
          <cell r="S505" t="str">
            <v>REGICE’s body was made during an ice age. The deep-frozen body can’t be melted, even by fire. This POKéMON controls frigid air of minus 328 degrees F.</v>
          </cell>
          <cell r="T505" t="str">
            <v>https://raw.githubusercontent.com/PokeAPI/sprites/master/sprites/pokemon/other/official-artwork/378.png</v>
          </cell>
          <cell r="U505" t="str">
            <v>https://raw.githubusercontent.com/PokeAPI/sprites/master/sprites/pokemon/other/official-artwork/shiny/378.png</v>
          </cell>
        </row>
        <row r="506">
          <cell r="A506">
            <v>379</v>
          </cell>
          <cell r="C506" t="str">
            <v>Registeel</v>
          </cell>
          <cell r="D506" t="str">
            <v>Standard</v>
          </cell>
          <cell r="E506" t="str">
            <v>steel</v>
          </cell>
          <cell r="G506">
            <v>80</v>
          </cell>
          <cell r="H506">
            <v>75</v>
          </cell>
          <cell r="I506">
            <v>150</v>
          </cell>
          <cell r="J506">
            <v>75</v>
          </cell>
          <cell r="K506">
            <v>150</v>
          </cell>
          <cell r="L506">
            <v>50</v>
          </cell>
          <cell r="M506">
            <v>580</v>
          </cell>
          <cell r="N506" t="str">
            <v>clear-body</v>
          </cell>
          <cell r="P506" t="str">
            <v>light-metal</v>
          </cell>
          <cell r="Q506">
            <v>1.9</v>
          </cell>
          <cell r="R506">
            <v>205</v>
          </cell>
          <cell r="S506" t="str">
            <v>REGISTEEL has a body that is harder than any kind of metal. Its body is apparently hollow. No one has any idea what this POKéMON eats.</v>
          </cell>
          <cell r="T506" t="str">
            <v>https://raw.githubusercontent.com/PokeAPI/sprites/master/sprites/pokemon/other/official-artwork/379.png</v>
          </cell>
          <cell r="U506" t="str">
            <v>https://raw.githubusercontent.com/PokeAPI/sprites/master/sprites/pokemon/other/official-artwork/shiny/379.png</v>
          </cell>
        </row>
        <row r="507">
          <cell r="A507">
            <v>380</v>
          </cell>
          <cell r="C507" t="str">
            <v>Latias</v>
          </cell>
          <cell r="D507" t="str">
            <v>Standard</v>
          </cell>
          <cell r="E507" t="str">
            <v>dragon</v>
          </cell>
          <cell r="F507" t="str">
            <v>psychic</v>
          </cell>
          <cell r="G507">
            <v>80</v>
          </cell>
          <cell r="H507">
            <v>80</v>
          </cell>
          <cell r="I507">
            <v>90</v>
          </cell>
          <cell r="J507">
            <v>110</v>
          </cell>
          <cell r="K507">
            <v>130</v>
          </cell>
          <cell r="L507">
            <v>110</v>
          </cell>
          <cell r="M507">
            <v>600</v>
          </cell>
          <cell r="N507" t="str">
            <v>levitate</v>
          </cell>
          <cell r="Q507">
            <v>1.4</v>
          </cell>
          <cell r="R507">
            <v>40</v>
          </cell>
          <cell r="S507" t="str">
            <v>LATIAS is highly sensitive to the emotions of people. If it senses any hostility, this POKéMON ruffles the feathers all over its body and cries shrilly to intimidate the foe.</v>
          </cell>
          <cell r="T507" t="str">
            <v>https://raw.githubusercontent.com/PokeAPI/sprites/master/sprites/pokemon/other/official-artwork/380.png</v>
          </cell>
          <cell r="U507" t="str">
            <v>https://raw.githubusercontent.com/PokeAPI/sprites/master/sprites/pokemon/other/official-artwork/shiny/380.png</v>
          </cell>
        </row>
        <row r="508">
          <cell r="A508">
            <v>380</v>
          </cell>
          <cell r="C508" t="str">
            <v>Latias Mega</v>
          </cell>
          <cell r="D508" t="str">
            <v>Mega</v>
          </cell>
          <cell r="E508" t="str">
            <v>dragon</v>
          </cell>
          <cell r="F508" t="str">
            <v>psychic</v>
          </cell>
          <cell r="G508">
            <v>80</v>
          </cell>
          <cell r="H508">
            <v>100</v>
          </cell>
          <cell r="I508">
            <v>120</v>
          </cell>
          <cell r="J508">
            <v>140</v>
          </cell>
          <cell r="K508">
            <v>150</v>
          </cell>
          <cell r="L508">
            <v>110</v>
          </cell>
          <cell r="M508">
            <v>700</v>
          </cell>
          <cell r="N508" t="str">
            <v>levitate</v>
          </cell>
          <cell r="Q508">
            <v>1.8</v>
          </cell>
          <cell r="R508">
            <v>52</v>
          </cell>
          <cell r="S508" t="str">
            <v>LATIAS is highly sensitive to the emotions of people. If it senses any hostility, this POKéMON ruffles the feathers all over its body and cries shrilly to intimidate the foe.</v>
          </cell>
          <cell r="T508" t="str">
            <v>https://raw.githubusercontent.com/PokeAPI/sprites/master/sprites/pokemon/other/official-artwork/10062.png</v>
          </cell>
          <cell r="U508" t="str">
            <v>https://raw.githubusercontent.com/PokeAPI/sprites/master/sprites/pokemon/other/official-artwork/shiny/10062.png</v>
          </cell>
        </row>
        <row r="509">
          <cell r="A509">
            <v>381</v>
          </cell>
          <cell r="C509" t="str">
            <v>Latios</v>
          </cell>
          <cell r="D509" t="str">
            <v>Standard</v>
          </cell>
          <cell r="E509" t="str">
            <v>dragon</v>
          </cell>
          <cell r="F509" t="str">
            <v>psychic</v>
          </cell>
          <cell r="G509">
            <v>80</v>
          </cell>
          <cell r="H509">
            <v>90</v>
          </cell>
          <cell r="I509">
            <v>80</v>
          </cell>
          <cell r="J509">
            <v>130</v>
          </cell>
          <cell r="K509">
            <v>110</v>
          </cell>
          <cell r="L509">
            <v>110</v>
          </cell>
          <cell r="M509">
            <v>600</v>
          </cell>
          <cell r="N509" t="str">
            <v>levitate</v>
          </cell>
          <cell r="Q509">
            <v>2</v>
          </cell>
          <cell r="R509">
            <v>60</v>
          </cell>
          <cell r="S509" t="str">
            <v>LATIOS has the ability to make its foe see an image of what it has seen or imagines in its head. This POKéMON is intelligent and understands human speech.</v>
          </cell>
          <cell r="T509" t="str">
            <v>https://raw.githubusercontent.com/PokeAPI/sprites/master/sprites/pokemon/other/official-artwork/381.png</v>
          </cell>
          <cell r="U509" t="str">
            <v>https://raw.githubusercontent.com/PokeAPI/sprites/master/sprites/pokemon/other/official-artwork/shiny/381.png</v>
          </cell>
        </row>
        <row r="510">
          <cell r="A510">
            <v>381</v>
          </cell>
          <cell r="C510" t="str">
            <v>Latios Mega</v>
          </cell>
          <cell r="D510" t="str">
            <v>Mega</v>
          </cell>
          <cell r="E510" t="str">
            <v>dragon</v>
          </cell>
          <cell r="F510" t="str">
            <v>psychic</v>
          </cell>
          <cell r="G510">
            <v>80</v>
          </cell>
          <cell r="H510">
            <v>130</v>
          </cell>
          <cell r="I510">
            <v>100</v>
          </cell>
          <cell r="J510">
            <v>160</v>
          </cell>
          <cell r="K510">
            <v>120</v>
          </cell>
          <cell r="L510">
            <v>110</v>
          </cell>
          <cell r="M510">
            <v>700</v>
          </cell>
          <cell r="N510" t="str">
            <v>levitate</v>
          </cell>
          <cell r="Q510">
            <v>2.2999999999999998</v>
          </cell>
          <cell r="R510">
            <v>70</v>
          </cell>
          <cell r="S510" t="str">
            <v>LATIOS has the ability to make its foe see an image of what it has seen or imagines in its head. This POKéMON is intelligent and understands human speech.</v>
          </cell>
          <cell r="T510" t="str">
            <v>https://raw.githubusercontent.com/PokeAPI/sprites/master/sprites/pokemon/other/official-artwork/10063.png</v>
          </cell>
          <cell r="U510" t="str">
            <v>https://raw.githubusercontent.com/PokeAPI/sprites/master/sprites/pokemon/other/official-artwork/shiny/10063.png</v>
          </cell>
        </row>
        <row r="511">
          <cell r="A511">
            <v>382</v>
          </cell>
          <cell r="C511" t="str">
            <v>Kyogre</v>
          </cell>
          <cell r="D511" t="str">
            <v>Standard</v>
          </cell>
          <cell r="E511" t="str">
            <v>water</v>
          </cell>
          <cell r="G511">
            <v>100</v>
          </cell>
          <cell r="H511">
            <v>100</v>
          </cell>
          <cell r="I511">
            <v>90</v>
          </cell>
          <cell r="J511">
            <v>150</v>
          </cell>
          <cell r="K511">
            <v>140</v>
          </cell>
          <cell r="L511">
            <v>90</v>
          </cell>
          <cell r="M511">
            <v>670</v>
          </cell>
          <cell r="N511" t="str">
            <v>drizzle</v>
          </cell>
          <cell r="Q511">
            <v>4.5</v>
          </cell>
          <cell r="R511">
            <v>352</v>
          </cell>
          <cell r="S511" t="str">
            <v>KYOGRE has the power to create massive rain clouds that cover the entire sky and bring about torrential downpours. This POKéMON saved people who were suffering from droughts.</v>
          </cell>
          <cell r="T511" t="str">
            <v>https://raw.githubusercontent.com/PokeAPI/sprites/master/sprites/pokemon/other/official-artwork/382.png</v>
          </cell>
          <cell r="U511" t="str">
            <v>https://raw.githubusercontent.com/PokeAPI/sprites/master/sprites/pokemon/other/official-artwork/shiny/382.png</v>
          </cell>
        </row>
        <row r="512">
          <cell r="A512">
            <v>382</v>
          </cell>
          <cell r="C512" t="str">
            <v>Kyogre Primal</v>
          </cell>
          <cell r="D512" t="str">
            <v>Other</v>
          </cell>
          <cell r="E512" t="str">
            <v>water</v>
          </cell>
          <cell r="G512">
            <v>100</v>
          </cell>
          <cell r="H512">
            <v>150</v>
          </cell>
          <cell r="I512">
            <v>90</v>
          </cell>
          <cell r="J512">
            <v>180</v>
          </cell>
          <cell r="K512">
            <v>160</v>
          </cell>
          <cell r="L512">
            <v>90</v>
          </cell>
          <cell r="M512">
            <v>770</v>
          </cell>
          <cell r="N512" t="str">
            <v>primordial-sea</v>
          </cell>
          <cell r="Q512">
            <v>9.8000000000000007</v>
          </cell>
          <cell r="R512">
            <v>430</v>
          </cell>
          <cell r="S512" t="str">
            <v>KYOGRE has the power to create massive rain clouds that cover the entire sky and bring about torrential downpours. This POKéMON saved people who were suffering from droughts.</v>
          </cell>
          <cell r="T512" t="str">
            <v>https://raw.githubusercontent.com/PokeAPI/sprites/master/sprites/pokemon/other/official-artwork/10077.png</v>
          </cell>
          <cell r="U512" t="str">
            <v>https://raw.githubusercontent.com/PokeAPI/sprites/master/sprites/pokemon/other/official-artwork/shiny/10077.png</v>
          </cell>
        </row>
        <row r="513">
          <cell r="A513">
            <v>383</v>
          </cell>
          <cell r="C513" t="str">
            <v>Groudon</v>
          </cell>
          <cell r="D513" t="str">
            <v>Standard</v>
          </cell>
          <cell r="E513" t="str">
            <v>ground</v>
          </cell>
          <cell r="G513">
            <v>100</v>
          </cell>
          <cell r="H513">
            <v>150</v>
          </cell>
          <cell r="I513">
            <v>140</v>
          </cell>
          <cell r="J513">
            <v>100</v>
          </cell>
          <cell r="K513">
            <v>90</v>
          </cell>
          <cell r="L513">
            <v>90</v>
          </cell>
          <cell r="M513">
            <v>670</v>
          </cell>
          <cell r="N513" t="str">
            <v>drought</v>
          </cell>
          <cell r="Q513">
            <v>3.5</v>
          </cell>
          <cell r="R513">
            <v>950</v>
          </cell>
          <cell r="S513" t="str">
            <v>GROUDON has long been described in mythology as the POKéMON that raised lands and expanded continents. This POKéMON took to sleep after a cataclysmic battle with KYOGRE.</v>
          </cell>
          <cell r="T513" t="str">
            <v>https://raw.githubusercontent.com/PokeAPI/sprites/master/sprites/pokemon/other/official-artwork/383.png</v>
          </cell>
          <cell r="U513" t="str">
            <v>https://raw.githubusercontent.com/PokeAPI/sprites/master/sprites/pokemon/other/official-artwork/shiny/383.png</v>
          </cell>
        </row>
        <row r="514">
          <cell r="A514">
            <v>383</v>
          </cell>
          <cell r="C514" t="str">
            <v>Groudon Primal</v>
          </cell>
          <cell r="D514" t="str">
            <v>Other</v>
          </cell>
          <cell r="E514" t="str">
            <v>ground</v>
          </cell>
          <cell r="F514" t="str">
            <v>fire</v>
          </cell>
          <cell r="G514">
            <v>100</v>
          </cell>
          <cell r="H514">
            <v>180</v>
          </cell>
          <cell r="I514">
            <v>160</v>
          </cell>
          <cell r="J514">
            <v>150</v>
          </cell>
          <cell r="K514">
            <v>90</v>
          </cell>
          <cell r="L514">
            <v>90</v>
          </cell>
          <cell r="M514">
            <v>770</v>
          </cell>
          <cell r="N514" t="str">
            <v>desolate-land</v>
          </cell>
          <cell r="Q514">
            <v>5</v>
          </cell>
          <cell r="R514">
            <v>999.7</v>
          </cell>
          <cell r="S514" t="str">
            <v>GROUDON has long been described in mythology as the POKéMON that raised lands and expanded continents. This POKéMON took to sleep after a cataclysmic battle with KYOGRE.</v>
          </cell>
          <cell r="T514" t="str">
            <v>https://raw.githubusercontent.com/PokeAPI/sprites/master/sprites/pokemon/other/official-artwork/10078.png</v>
          </cell>
          <cell r="U514" t="str">
            <v>https://raw.githubusercontent.com/PokeAPI/sprites/master/sprites/pokemon/other/official-artwork/shiny/10078.png</v>
          </cell>
        </row>
        <row r="515">
          <cell r="A515">
            <v>384</v>
          </cell>
          <cell r="C515" t="str">
            <v>Rayquaza</v>
          </cell>
          <cell r="D515" t="str">
            <v>Standard</v>
          </cell>
          <cell r="E515" t="str">
            <v>dragon</v>
          </cell>
          <cell r="F515" t="str">
            <v>flying</v>
          </cell>
          <cell r="G515">
            <v>105</v>
          </cell>
          <cell r="H515">
            <v>150</v>
          </cell>
          <cell r="I515">
            <v>90</v>
          </cell>
          <cell r="J515">
            <v>150</v>
          </cell>
          <cell r="K515">
            <v>90</v>
          </cell>
          <cell r="L515">
            <v>95</v>
          </cell>
          <cell r="M515">
            <v>680</v>
          </cell>
          <cell r="N515" t="str">
            <v>air-lock</v>
          </cell>
          <cell r="Q515">
            <v>7</v>
          </cell>
          <cell r="R515">
            <v>206.5</v>
          </cell>
          <cell r="S515" t="str">
            <v>RAYQUAZA lived for hundreds of millions of years in the earth’s ozone layer, never descending to the ground. This POKéMON appears to feed on water and particles in the atmosphere.</v>
          </cell>
          <cell r="T515" t="str">
            <v>https://raw.githubusercontent.com/PokeAPI/sprites/master/sprites/pokemon/other/official-artwork/384.png</v>
          </cell>
          <cell r="U515" t="str">
            <v>https://raw.githubusercontent.com/PokeAPI/sprites/master/sprites/pokemon/other/official-artwork/shiny/384.png</v>
          </cell>
        </row>
        <row r="516">
          <cell r="A516">
            <v>384</v>
          </cell>
          <cell r="C516" t="str">
            <v>Rayquaza Mega</v>
          </cell>
          <cell r="D516" t="str">
            <v>Mega</v>
          </cell>
          <cell r="E516" t="str">
            <v>dragon</v>
          </cell>
          <cell r="F516" t="str">
            <v>flying</v>
          </cell>
          <cell r="G516">
            <v>105</v>
          </cell>
          <cell r="H516">
            <v>180</v>
          </cell>
          <cell r="I516">
            <v>100</v>
          </cell>
          <cell r="J516">
            <v>180</v>
          </cell>
          <cell r="K516">
            <v>100</v>
          </cell>
          <cell r="L516">
            <v>115</v>
          </cell>
          <cell r="M516">
            <v>780</v>
          </cell>
          <cell r="N516" t="str">
            <v>delta-stream</v>
          </cell>
          <cell r="Q516">
            <v>10.8</v>
          </cell>
          <cell r="R516">
            <v>392</v>
          </cell>
          <cell r="S516" t="str">
            <v>RAYQUAZA lived for hundreds of millions of years in the earth’s ozone layer, never descending to the ground. This POKéMON appears to feed on water and particles in the atmosphere.</v>
          </cell>
          <cell r="T516" t="str">
            <v>https://raw.githubusercontent.com/PokeAPI/sprites/master/sprites/pokemon/other/official-artwork/10079.png</v>
          </cell>
          <cell r="U516" t="str">
            <v>https://raw.githubusercontent.com/PokeAPI/sprites/master/sprites/pokemon/other/official-artwork/shiny/10079.png</v>
          </cell>
        </row>
        <row r="517">
          <cell r="A517">
            <v>385</v>
          </cell>
          <cell r="C517" t="str">
            <v>Jirachi</v>
          </cell>
          <cell r="D517" t="str">
            <v>Standard</v>
          </cell>
          <cell r="E517" t="str">
            <v>steel</v>
          </cell>
          <cell r="F517" t="str">
            <v>psychic</v>
          </cell>
          <cell r="G517">
            <v>100</v>
          </cell>
          <cell r="H517">
            <v>100</v>
          </cell>
          <cell r="I517">
            <v>100</v>
          </cell>
          <cell r="J517">
            <v>100</v>
          </cell>
          <cell r="K517">
            <v>100</v>
          </cell>
          <cell r="L517">
            <v>100</v>
          </cell>
          <cell r="M517">
            <v>600</v>
          </cell>
          <cell r="N517" t="str">
            <v>serene-grace</v>
          </cell>
          <cell r="Q517">
            <v>0.3</v>
          </cell>
          <cell r="R517">
            <v>1.1000000000000001</v>
          </cell>
          <cell r="S517" t="str">
            <v>A legend states that JIRACHI will make true any wish that is written on notes attached to its head when it awakens. If this POKéMON senses danger, it will fight without awakening.</v>
          </cell>
          <cell r="T517" t="str">
            <v>https://raw.githubusercontent.com/PokeAPI/sprites/master/sprites/pokemon/other/official-artwork/385.png</v>
          </cell>
          <cell r="U517" t="str">
            <v>https://raw.githubusercontent.com/PokeAPI/sprites/master/sprites/pokemon/other/official-artwork/shiny/385.png</v>
          </cell>
        </row>
        <row r="518">
          <cell r="A518">
            <v>386</v>
          </cell>
          <cell r="C518" t="str">
            <v>Deoxys Attack</v>
          </cell>
          <cell r="D518" t="str">
            <v>Other</v>
          </cell>
          <cell r="E518" t="str">
            <v>psychic</v>
          </cell>
          <cell r="G518">
            <v>50</v>
          </cell>
          <cell r="H518">
            <v>180</v>
          </cell>
          <cell r="I518">
            <v>20</v>
          </cell>
          <cell r="J518">
            <v>180</v>
          </cell>
          <cell r="K518">
            <v>20</v>
          </cell>
          <cell r="L518">
            <v>150</v>
          </cell>
          <cell r="M518">
            <v>600</v>
          </cell>
          <cell r="N518" t="str">
            <v>pressure</v>
          </cell>
          <cell r="Q518">
            <v>1.7</v>
          </cell>
          <cell r="R518">
            <v>60.8</v>
          </cell>
          <cell r="S518" t="str">
            <v>The DNA of a space virus underwent a sudden mutation upon exposure to a laser beam and resulted in DEOXYS. The crystalline organ on this POKéMON’s chest appears to be its brain.</v>
          </cell>
          <cell r="T518" t="str">
            <v>https://raw.githubusercontent.com/PokeAPI/sprites/master/sprites/pokemon/other/official-artwork/10001.png</v>
          </cell>
          <cell r="U518" t="str">
            <v>https://raw.githubusercontent.com/PokeAPI/sprites/master/sprites/pokemon/other/official-artwork/shiny/10001.png</v>
          </cell>
        </row>
        <row r="519">
          <cell r="A519">
            <v>386</v>
          </cell>
          <cell r="C519" t="str">
            <v>Deoxys Defense</v>
          </cell>
          <cell r="D519" t="str">
            <v>Other</v>
          </cell>
          <cell r="E519" t="str">
            <v>psychic</v>
          </cell>
          <cell r="G519">
            <v>50</v>
          </cell>
          <cell r="H519">
            <v>70</v>
          </cell>
          <cell r="I519">
            <v>160</v>
          </cell>
          <cell r="J519">
            <v>70</v>
          </cell>
          <cell r="K519">
            <v>160</v>
          </cell>
          <cell r="L519">
            <v>90</v>
          </cell>
          <cell r="M519">
            <v>600</v>
          </cell>
          <cell r="N519" t="str">
            <v>pressure</v>
          </cell>
          <cell r="Q519">
            <v>1.7</v>
          </cell>
          <cell r="R519">
            <v>60.8</v>
          </cell>
          <cell r="S519" t="str">
            <v>The DNA of a space virus underwent a sudden mutation upon exposure to a laser beam and resulted in DEOXYS. The crystalline organ on this POKéMON’s chest appears to be its brain.</v>
          </cell>
          <cell r="T519" t="str">
            <v>https://raw.githubusercontent.com/PokeAPI/sprites/master/sprites/pokemon/other/official-artwork/10002.png</v>
          </cell>
          <cell r="U519" t="str">
            <v>https://raw.githubusercontent.com/PokeAPI/sprites/master/sprites/pokemon/other/official-artwork/shiny/10002.png</v>
          </cell>
        </row>
        <row r="520">
          <cell r="A520">
            <v>386</v>
          </cell>
          <cell r="C520" t="str">
            <v>Deoxys Normal</v>
          </cell>
          <cell r="D520" t="str">
            <v>Other</v>
          </cell>
          <cell r="E520" t="str">
            <v>psychic</v>
          </cell>
          <cell r="G520">
            <v>50</v>
          </cell>
          <cell r="H520">
            <v>150</v>
          </cell>
          <cell r="I520">
            <v>50</v>
          </cell>
          <cell r="J520">
            <v>150</v>
          </cell>
          <cell r="K520">
            <v>50</v>
          </cell>
          <cell r="L520">
            <v>150</v>
          </cell>
          <cell r="M520">
            <v>600</v>
          </cell>
          <cell r="N520" t="str">
            <v>pressure</v>
          </cell>
          <cell r="Q520">
            <v>1.7</v>
          </cell>
          <cell r="R520">
            <v>60.8</v>
          </cell>
          <cell r="S520" t="str">
            <v>The DNA of a space virus underwent a sudden mutation upon exposure to a laser beam and resulted in DEOXYS. The crystalline organ on this POKéMON’s chest appears to be its brain.</v>
          </cell>
          <cell r="T520" t="str">
            <v>https://raw.githubusercontent.com/PokeAPI/sprites/master/sprites/pokemon/other/official-artwork/386.png</v>
          </cell>
          <cell r="U520" t="str">
            <v>https://raw.githubusercontent.com/PokeAPI/sprites/master/sprites/pokemon/other/official-artwork/shiny/386.png</v>
          </cell>
        </row>
        <row r="521">
          <cell r="A521">
            <v>386</v>
          </cell>
          <cell r="C521" t="str">
            <v>Deoxys Speed</v>
          </cell>
          <cell r="D521" t="str">
            <v>Other</v>
          </cell>
          <cell r="E521" t="str">
            <v>psychic</v>
          </cell>
          <cell r="G521">
            <v>50</v>
          </cell>
          <cell r="H521">
            <v>95</v>
          </cell>
          <cell r="I521">
            <v>90</v>
          </cell>
          <cell r="J521">
            <v>95</v>
          </cell>
          <cell r="K521">
            <v>90</v>
          </cell>
          <cell r="L521">
            <v>180</v>
          </cell>
          <cell r="M521">
            <v>600</v>
          </cell>
          <cell r="N521" t="str">
            <v>pressure</v>
          </cell>
          <cell r="Q521">
            <v>1.7</v>
          </cell>
          <cell r="R521">
            <v>60.8</v>
          </cell>
          <cell r="S521" t="str">
            <v>The DNA of a space virus underwent a sudden mutation upon exposure to a laser beam and resulted in DEOXYS. The crystalline organ on this POKéMON’s chest appears to be its brain.</v>
          </cell>
          <cell r="T521" t="str">
            <v>https://raw.githubusercontent.com/PokeAPI/sprites/master/sprites/pokemon/other/official-artwork/10003.png</v>
          </cell>
          <cell r="U521" t="str">
            <v>https://raw.githubusercontent.com/PokeAPI/sprites/master/sprites/pokemon/other/official-artwork/shiny/10003.png</v>
          </cell>
        </row>
        <row r="522">
          <cell r="A522">
            <v>387</v>
          </cell>
          <cell r="C522" t="str">
            <v>Turtwig</v>
          </cell>
          <cell r="D522" t="str">
            <v>Standard</v>
          </cell>
          <cell r="E522" t="str">
            <v>grass</v>
          </cell>
          <cell r="G522">
            <v>55</v>
          </cell>
          <cell r="H522">
            <v>68</v>
          </cell>
          <cell r="I522">
            <v>64</v>
          </cell>
          <cell r="J522">
            <v>45</v>
          </cell>
          <cell r="K522">
            <v>55</v>
          </cell>
          <cell r="L522">
            <v>31</v>
          </cell>
          <cell r="M522">
            <v>318</v>
          </cell>
          <cell r="N522" t="str">
            <v>overgrow</v>
          </cell>
          <cell r="P522" t="str">
            <v>shell-armor</v>
          </cell>
          <cell r="Q522">
            <v>0.4</v>
          </cell>
          <cell r="R522">
            <v>10.199999999999999</v>
          </cell>
          <cell r="S522" t="str">
            <v>Made from soil, the shell on its back hardens when it drinks water. It lives along lakes.</v>
          </cell>
          <cell r="T522" t="str">
            <v>https://raw.githubusercontent.com/PokeAPI/sprites/master/sprites/pokemon/other/official-artwork/387.png</v>
          </cell>
          <cell r="U522" t="str">
            <v>https://raw.githubusercontent.com/PokeAPI/sprites/master/sprites/pokemon/other/official-artwork/shiny/387.png</v>
          </cell>
        </row>
        <row r="523">
          <cell r="A523">
            <v>388</v>
          </cell>
          <cell r="C523" t="str">
            <v>Grotle</v>
          </cell>
          <cell r="D523" t="str">
            <v>Standard</v>
          </cell>
          <cell r="E523" t="str">
            <v>grass</v>
          </cell>
          <cell r="G523">
            <v>75</v>
          </cell>
          <cell r="H523">
            <v>89</v>
          </cell>
          <cell r="I523">
            <v>85</v>
          </cell>
          <cell r="J523">
            <v>55</v>
          </cell>
          <cell r="K523">
            <v>65</v>
          </cell>
          <cell r="L523">
            <v>36</v>
          </cell>
          <cell r="M523">
            <v>405</v>
          </cell>
          <cell r="N523" t="str">
            <v>overgrow</v>
          </cell>
          <cell r="P523" t="str">
            <v>shell-armor</v>
          </cell>
          <cell r="Q523">
            <v>1.1000000000000001</v>
          </cell>
          <cell r="R523">
            <v>97</v>
          </cell>
          <cell r="S523" t="str">
            <v>It knows where pure water wells up. It carries fellow Pokémon there on its back.</v>
          </cell>
          <cell r="T523" t="str">
            <v>https://raw.githubusercontent.com/PokeAPI/sprites/master/sprites/pokemon/other/official-artwork/388.png</v>
          </cell>
          <cell r="U523" t="str">
            <v>https://raw.githubusercontent.com/PokeAPI/sprites/master/sprites/pokemon/other/official-artwork/shiny/388.png</v>
          </cell>
        </row>
        <row r="524">
          <cell r="A524">
            <v>389</v>
          </cell>
          <cell r="C524" t="str">
            <v>Torterra</v>
          </cell>
          <cell r="D524" t="str">
            <v>Standard</v>
          </cell>
          <cell r="E524" t="str">
            <v>grass</v>
          </cell>
          <cell r="F524" t="str">
            <v>ground</v>
          </cell>
          <cell r="G524">
            <v>95</v>
          </cell>
          <cell r="H524">
            <v>109</v>
          </cell>
          <cell r="I524">
            <v>105</v>
          </cell>
          <cell r="J524">
            <v>75</v>
          </cell>
          <cell r="K524">
            <v>85</v>
          </cell>
          <cell r="L524">
            <v>56</v>
          </cell>
          <cell r="M524">
            <v>525</v>
          </cell>
          <cell r="N524" t="str">
            <v>overgrow</v>
          </cell>
          <cell r="P524" t="str">
            <v>shell-armor</v>
          </cell>
          <cell r="Q524">
            <v>2.2000000000000002</v>
          </cell>
          <cell r="R524">
            <v>310</v>
          </cell>
          <cell r="S524" t="str">
            <v>Small Pokémon occasionally gather on its unmoving back to begin building their nests.</v>
          </cell>
          <cell r="T524" t="str">
            <v>https://raw.githubusercontent.com/PokeAPI/sprites/master/sprites/pokemon/other/official-artwork/389.png</v>
          </cell>
          <cell r="U524" t="str">
            <v>https://raw.githubusercontent.com/PokeAPI/sprites/master/sprites/pokemon/other/official-artwork/shiny/389.png</v>
          </cell>
        </row>
        <row r="525">
          <cell r="A525">
            <v>390</v>
          </cell>
          <cell r="C525" t="str">
            <v>Chimchar</v>
          </cell>
          <cell r="D525" t="str">
            <v>Standard</v>
          </cell>
          <cell r="E525" t="str">
            <v>fire</v>
          </cell>
          <cell r="G525">
            <v>44</v>
          </cell>
          <cell r="H525">
            <v>58</v>
          </cell>
          <cell r="I525">
            <v>44</v>
          </cell>
          <cell r="J525">
            <v>58</v>
          </cell>
          <cell r="K525">
            <v>44</v>
          </cell>
          <cell r="L525">
            <v>61</v>
          </cell>
          <cell r="M525">
            <v>309</v>
          </cell>
          <cell r="N525" t="str">
            <v>blaze</v>
          </cell>
          <cell r="P525" t="str">
            <v>iron-fist</v>
          </cell>
          <cell r="Q525">
            <v>0.5</v>
          </cell>
          <cell r="R525">
            <v>6.2</v>
          </cell>
          <cell r="S525" t="str">
            <v>It agilely scales sheer cliffs to live atop craggy mountains. Its fire is put out when it sleeps.</v>
          </cell>
          <cell r="T525" t="str">
            <v>https://raw.githubusercontent.com/PokeAPI/sprites/master/sprites/pokemon/other/official-artwork/390.png</v>
          </cell>
          <cell r="U525" t="str">
            <v>https://raw.githubusercontent.com/PokeAPI/sprites/master/sprites/pokemon/other/official-artwork/shiny/390.png</v>
          </cell>
        </row>
        <row r="526">
          <cell r="A526">
            <v>391</v>
          </cell>
          <cell r="C526" t="str">
            <v>Monferno</v>
          </cell>
          <cell r="D526" t="str">
            <v>Standard</v>
          </cell>
          <cell r="E526" t="str">
            <v>fire</v>
          </cell>
          <cell r="F526" t="str">
            <v>fighting</v>
          </cell>
          <cell r="G526">
            <v>64</v>
          </cell>
          <cell r="H526">
            <v>78</v>
          </cell>
          <cell r="I526">
            <v>52</v>
          </cell>
          <cell r="J526">
            <v>78</v>
          </cell>
          <cell r="K526">
            <v>52</v>
          </cell>
          <cell r="L526">
            <v>81</v>
          </cell>
          <cell r="M526">
            <v>405</v>
          </cell>
          <cell r="N526" t="str">
            <v>blaze</v>
          </cell>
          <cell r="P526" t="str">
            <v>iron-fist</v>
          </cell>
          <cell r="Q526">
            <v>0.9</v>
          </cell>
          <cell r="R526">
            <v>22</v>
          </cell>
          <cell r="S526" t="str">
            <v>To intimidate attackers, it stretches the fire on its tail to make itself appear bigger.</v>
          </cell>
          <cell r="T526" t="str">
            <v>https://raw.githubusercontent.com/PokeAPI/sprites/master/sprites/pokemon/other/official-artwork/391.png</v>
          </cell>
          <cell r="U526" t="str">
            <v>https://raw.githubusercontent.com/PokeAPI/sprites/master/sprites/pokemon/other/official-artwork/shiny/391.png</v>
          </cell>
        </row>
        <row r="527">
          <cell r="A527">
            <v>392</v>
          </cell>
          <cell r="C527" t="str">
            <v>Infernape</v>
          </cell>
          <cell r="D527" t="str">
            <v>Standard</v>
          </cell>
          <cell r="E527" t="str">
            <v>fire</v>
          </cell>
          <cell r="F527" t="str">
            <v>fighting</v>
          </cell>
          <cell r="G527">
            <v>76</v>
          </cell>
          <cell r="H527">
            <v>104</v>
          </cell>
          <cell r="I527">
            <v>71</v>
          </cell>
          <cell r="J527">
            <v>104</v>
          </cell>
          <cell r="K527">
            <v>71</v>
          </cell>
          <cell r="L527">
            <v>108</v>
          </cell>
          <cell r="M527">
            <v>534</v>
          </cell>
          <cell r="N527" t="str">
            <v>blaze</v>
          </cell>
          <cell r="P527" t="str">
            <v>iron-fist</v>
          </cell>
          <cell r="Q527">
            <v>1.2</v>
          </cell>
          <cell r="R527">
            <v>55</v>
          </cell>
          <cell r="S527" t="str">
            <v>It uses a special kind of martial arts involving all its limbs. Its fire never goes out.</v>
          </cell>
          <cell r="T527" t="str">
            <v>https://raw.githubusercontent.com/PokeAPI/sprites/master/sprites/pokemon/other/official-artwork/392.png</v>
          </cell>
          <cell r="U527" t="str">
            <v>https://raw.githubusercontent.com/PokeAPI/sprites/master/sprites/pokemon/other/official-artwork/shiny/392.png</v>
          </cell>
        </row>
        <row r="528">
          <cell r="A528">
            <v>393</v>
          </cell>
          <cell r="C528" t="str">
            <v>Piplup</v>
          </cell>
          <cell r="D528" t="str">
            <v>Standard</v>
          </cell>
          <cell r="E528" t="str">
            <v>water</v>
          </cell>
          <cell r="G528">
            <v>53</v>
          </cell>
          <cell r="H528">
            <v>51</v>
          </cell>
          <cell r="I528">
            <v>53</v>
          </cell>
          <cell r="J528">
            <v>61</v>
          </cell>
          <cell r="K528">
            <v>56</v>
          </cell>
          <cell r="L528">
            <v>40</v>
          </cell>
          <cell r="M528">
            <v>314</v>
          </cell>
          <cell r="N528" t="str">
            <v>torrent</v>
          </cell>
          <cell r="P528" t="str">
            <v>competitive</v>
          </cell>
          <cell r="Q528">
            <v>0.4</v>
          </cell>
          <cell r="R528">
            <v>5.2</v>
          </cell>
          <cell r="S528" t="str">
            <v>Because it is very proud, it hates accepting food from people. Its thick down guards it from cold.</v>
          </cell>
          <cell r="T528" t="str">
            <v>https://raw.githubusercontent.com/PokeAPI/sprites/master/sprites/pokemon/other/official-artwork/393.png</v>
          </cell>
          <cell r="U528" t="str">
            <v>https://raw.githubusercontent.com/PokeAPI/sprites/master/sprites/pokemon/other/official-artwork/shiny/393.png</v>
          </cell>
        </row>
        <row r="529">
          <cell r="A529">
            <v>394</v>
          </cell>
          <cell r="C529" t="str">
            <v>Prinplup</v>
          </cell>
          <cell r="D529" t="str">
            <v>Standard</v>
          </cell>
          <cell r="E529" t="str">
            <v>water</v>
          </cell>
          <cell r="G529">
            <v>64</v>
          </cell>
          <cell r="H529">
            <v>66</v>
          </cell>
          <cell r="I529">
            <v>68</v>
          </cell>
          <cell r="J529">
            <v>81</v>
          </cell>
          <cell r="K529">
            <v>76</v>
          </cell>
          <cell r="L529">
            <v>50</v>
          </cell>
          <cell r="M529">
            <v>405</v>
          </cell>
          <cell r="N529" t="str">
            <v>torrent</v>
          </cell>
          <cell r="P529" t="str">
            <v>competitive</v>
          </cell>
          <cell r="Q529">
            <v>0.8</v>
          </cell>
          <cell r="R529">
            <v>23</v>
          </cell>
          <cell r="S529" t="str">
            <v>It lives alone, away from others. Apparently, every one of them believes it is the most important.</v>
          </cell>
          <cell r="T529" t="str">
            <v>https://raw.githubusercontent.com/PokeAPI/sprites/master/sprites/pokemon/other/official-artwork/394.png</v>
          </cell>
          <cell r="U529" t="str">
            <v>https://raw.githubusercontent.com/PokeAPI/sprites/master/sprites/pokemon/other/official-artwork/shiny/394.png</v>
          </cell>
        </row>
        <row r="530">
          <cell r="A530">
            <v>395</v>
          </cell>
          <cell r="C530" t="str">
            <v>Empoleon</v>
          </cell>
          <cell r="D530" t="str">
            <v>Standard</v>
          </cell>
          <cell r="E530" t="str">
            <v>water</v>
          </cell>
          <cell r="F530" t="str">
            <v>steel</v>
          </cell>
          <cell r="G530">
            <v>84</v>
          </cell>
          <cell r="H530">
            <v>86</v>
          </cell>
          <cell r="I530">
            <v>88</v>
          </cell>
          <cell r="J530">
            <v>111</v>
          </cell>
          <cell r="K530">
            <v>101</v>
          </cell>
          <cell r="L530">
            <v>60</v>
          </cell>
          <cell r="M530">
            <v>530</v>
          </cell>
          <cell r="N530" t="str">
            <v>torrent</v>
          </cell>
          <cell r="P530" t="str">
            <v>competitive</v>
          </cell>
          <cell r="Q530">
            <v>1.7</v>
          </cell>
          <cell r="R530">
            <v>84.5</v>
          </cell>
          <cell r="S530" t="str">
            <v>The three horns that extend from its beak attest to its power. The leader has the biggest horns.</v>
          </cell>
          <cell r="T530" t="str">
            <v>https://raw.githubusercontent.com/PokeAPI/sprites/master/sprites/pokemon/other/official-artwork/395.png</v>
          </cell>
          <cell r="U530" t="str">
            <v>https://raw.githubusercontent.com/PokeAPI/sprites/master/sprites/pokemon/other/official-artwork/shiny/395.png</v>
          </cell>
        </row>
        <row r="531">
          <cell r="A531">
            <v>396</v>
          </cell>
          <cell r="C531" t="str">
            <v>Starly</v>
          </cell>
          <cell r="D531" t="str">
            <v>Standard</v>
          </cell>
          <cell r="E531" t="str">
            <v>normal</v>
          </cell>
          <cell r="F531" t="str">
            <v>flying</v>
          </cell>
          <cell r="G531">
            <v>40</v>
          </cell>
          <cell r="H531">
            <v>55</v>
          </cell>
          <cell r="I531">
            <v>30</v>
          </cell>
          <cell r="J531">
            <v>30</v>
          </cell>
          <cell r="K531">
            <v>30</v>
          </cell>
          <cell r="L531">
            <v>60</v>
          </cell>
          <cell r="M531">
            <v>245</v>
          </cell>
          <cell r="N531" t="str">
            <v>keen-eye</v>
          </cell>
          <cell r="P531" t="str">
            <v>reckless</v>
          </cell>
          <cell r="Q531">
            <v>0.3</v>
          </cell>
          <cell r="R531">
            <v>2</v>
          </cell>
          <cell r="S531" t="str">
            <v>They flock in great numbers. Though small, they flap their wings with great power.</v>
          </cell>
          <cell r="T531" t="str">
            <v>https://raw.githubusercontent.com/PokeAPI/sprites/master/sprites/pokemon/other/official-artwork/396.png</v>
          </cell>
          <cell r="U531" t="str">
            <v>https://raw.githubusercontent.com/PokeAPI/sprites/master/sprites/pokemon/other/official-artwork/shiny/396.png</v>
          </cell>
        </row>
        <row r="532">
          <cell r="A532">
            <v>397</v>
          </cell>
          <cell r="C532" t="str">
            <v>Staravia</v>
          </cell>
          <cell r="D532" t="str">
            <v>Standard</v>
          </cell>
          <cell r="E532" t="str">
            <v>normal</v>
          </cell>
          <cell r="F532" t="str">
            <v>flying</v>
          </cell>
          <cell r="G532">
            <v>55</v>
          </cell>
          <cell r="H532">
            <v>75</v>
          </cell>
          <cell r="I532">
            <v>50</v>
          </cell>
          <cell r="J532">
            <v>40</v>
          </cell>
          <cell r="K532">
            <v>40</v>
          </cell>
          <cell r="L532">
            <v>80</v>
          </cell>
          <cell r="M532">
            <v>340</v>
          </cell>
          <cell r="N532" t="str">
            <v>intimidate</v>
          </cell>
          <cell r="P532" t="str">
            <v>reckless</v>
          </cell>
          <cell r="Q532">
            <v>0.6</v>
          </cell>
          <cell r="R532">
            <v>15.5</v>
          </cell>
          <cell r="S532" t="str">
            <v>It flies around forests and fields in search of bug Pokémon. It stays within a huge flock.</v>
          </cell>
          <cell r="T532" t="str">
            <v>https://raw.githubusercontent.com/PokeAPI/sprites/master/sprites/pokemon/other/official-artwork/397.png</v>
          </cell>
          <cell r="U532" t="str">
            <v>https://raw.githubusercontent.com/PokeAPI/sprites/master/sprites/pokemon/other/official-artwork/shiny/397.png</v>
          </cell>
        </row>
        <row r="533">
          <cell r="A533">
            <v>398</v>
          </cell>
          <cell r="C533" t="str">
            <v>Staraptor</v>
          </cell>
          <cell r="D533" t="str">
            <v>Standard</v>
          </cell>
          <cell r="E533" t="str">
            <v>normal</v>
          </cell>
          <cell r="F533" t="str">
            <v>flying</v>
          </cell>
          <cell r="G533">
            <v>85</v>
          </cell>
          <cell r="H533">
            <v>120</v>
          </cell>
          <cell r="I533">
            <v>70</v>
          </cell>
          <cell r="J533">
            <v>50</v>
          </cell>
          <cell r="K533">
            <v>60</v>
          </cell>
          <cell r="L533">
            <v>100</v>
          </cell>
          <cell r="M533">
            <v>485</v>
          </cell>
          <cell r="N533" t="str">
            <v>intimidate</v>
          </cell>
          <cell r="P533" t="str">
            <v>reckless</v>
          </cell>
          <cell r="Q533">
            <v>1.2</v>
          </cell>
          <cell r="R533">
            <v>24.9</v>
          </cell>
          <cell r="S533" t="str">
            <v>It has a savage nature. It will courageously challenge foes that are much larger.</v>
          </cell>
          <cell r="T533" t="str">
            <v>https://raw.githubusercontent.com/PokeAPI/sprites/master/sprites/pokemon/other/official-artwork/398.png</v>
          </cell>
          <cell r="U533" t="str">
            <v>https://raw.githubusercontent.com/PokeAPI/sprites/master/sprites/pokemon/other/official-artwork/shiny/398.png</v>
          </cell>
        </row>
        <row r="534">
          <cell r="A534">
            <v>398</v>
          </cell>
          <cell r="C534" t="str">
            <v>Staraptor Mega</v>
          </cell>
          <cell r="D534" t="str">
            <v>Mega</v>
          </cell>
          <cell r="E534" t="str">
            <v>fighting</v>
          </cell>
          <cell r="F534" t="str">
            <v>flying</v>
          </cell>
          <cell r="G534">
            <v>85</v>
          </cell>
          <cell r="H534">
            <v>140</v>
          </cell>
          <cell r="I534">
            <v>100</v>
          </cell>
          <cell r="J534">
            <v>60</v>
          </cell>
          <cell r="K534">
            <v>90</v>
          </cell>
          <cell r="L534">
            <v>110</v>
          </cell>
          <cell r="M534">
            <v>585</v>
          </cell>
          <cell r="Q534">
            <v>1.9</v>
          </cell>
          <cell r="R534">
            <v>50</v>
          </cell>
          <cell r="S534" t="str">
            <v>It has a savage nature. It will courageously challenge foes that are much larger.</v>
          </cell>
        </row>
        <row r="535">
          <cell r="A535">
            <v>399</v>
          </cell>
          <cell r="C535" t="str">
            <v>Bidoof</v>
          </cell>
          <cell r="D535" t="str">
            <v>Standard</v>
          </cell>
          <cell r="E535" t="str">
            <v>normal</v>
          </cell>
          <cell r="G535">
            <v>59</v>
          </cell>
          <cell r="H535">
            <v>45</v>
          </cell>
          <cell r="I535">
            <v>40</v>
          </cell>
          <cell r="J535">
            <v>35</v>
          </cell>
          <cell r="K535">
            <v>40</v>
          </cell>
          <cell r="L535">
            <v>31</v>
          </cell>
          <cell r="M535">
            <v>250</v>
          </cell>
          <cell r="N535" t="str">
            <v>simple</v>
          </cell>
          <cell r="O535" t="str">
            <v>unaware</v>
          </cell>
          <cell r="P535" t="str">
            <v>moody</v>
          </cell>
          <cell r="Q535">
            <v>0.5</v>
          </cell>
          <cell r="R535">
            <v>20</v>
          </cell>
          <cell r="S535" t="str">
            <v>With nerves of steel, nothing can perturb it. It is more agile and active than it appears.</v>
          </cell>
          <cell r="T535" t="str">
            <v>https://raw.githubusercontent.com/PokeAPI/sprites/master/sprites/pokemon/other/official-artwork/399.png</v>
          </cell>
          <cell r="U535" t="str">
            <v>https://raw.githubusercontent.com/PokeAPI/sprites/master/sprites/pokemon/other/official-artwork/shiny/399.png</v>
          </cell>
        </row>
        <row r="536">
          <cell r="A536">
            <v>400</v>
          </cell>
          <cell r="C536" t="str">
            <v>Bibarel</v>
          </cell>
          <cell r="D536" t="str">
            <v>Standard</v>
          </cell>
          <cell r="E536" t="str">
            <v>normal</v>
          </cell>
          <cell r="F536" t="str">
            <v>water</v>
          </cell>
          <cell r="G536">
            <v>79</v>
          </cell>
          <cell r="H536">
            <v>85</v>
          </cell>
          <cell r="I536">
            <v>60</v>
          </cell>
          <cell r="J536">
            <v>55</v>
          </cell>
          <cell r="K536">
            <v>60</v>
          </cell>
          <cell r="L536">
            <v>71</v>
          </cell>
          <cell r="M536">
            <v>410</v>
          </cell>
          <cell r="N536" t="str">
            <v>simple</v>
          </cell>
          <cell r="O536" t="str">
            <v>unaware</v>
          </cell>
          <cell r="P536" t="str">
            <v>moody</v>
          </cell>
          <cell r="Q536">
            <v>1</v>
          </cell>
          <cell r="R536">
            <v>31.5</v>
          </cell>
          <cell r="S536" t="str">
            <v>It makes its nest by damming streams with bark and mud. It is known as an industrious worker.</v>
          </cell>
          <cell r="T536" t="str">
            <v>https://raw.githubusercontent.com/PokeAPI/sprites/master/sprites/pokemon/other/official-artwork/400.png</v>
          </cell>
          <cell r="U536" t="str">
            <v>https://raw.githubusercontent.com/PokeAPI/sprites/master/sprites/pokemon/other/official-artwork/shiny/400.png</v>
          </cell>
        </row>
        <row r="537">
          <cell r="A537">
            <v>401</v>
          </cell>
          <cell r="C537" t="str">
            <v>Kricketot</v>
          </cell>
          <cell r="D537" t="str">
            <v>Standard</v>
          </cell>
          <cell r="E537" t="str">
            <v>bug</v>
          </cell>
          <cell r="G537">
            <v>37</v>
          </cell>
          <cell r="H537">
            <v>25</v>
          </cell>
          <cell r="I537">
            <v>41</v>
          </cell>
          <cell r="J537">
            <v>25</v>
          </cell>
          <cell r="K537">
            <v>41</v>
          </cell>
          <cell r="L537">
            <v>25</v>
          </cell>
          <cell r="M537">
            <v>194</v>
          </cell>
          <cell r="N537" t="str">
            <v>shed-skin</v>
          </cell>
          <cell r="P537" t="str">
            <v>run-away</v>
          </cell>
          <cell r="Q537">
            <v>0.3</v>
          </cell>
          <cell r="R537">
            <v>2.2000000000000002</v>
          </cell>
          <cell r="S537" t="str">
            <v>It shakes its head back to front, causing its antennae to hit each other and sound like a xylophone.</v>
          </cell>
          <cell r="T537" t="str">
            <v>https://raw.githubusercontent.com/PokeAPI/sprites/master/sprites/pokemon/other/official-artwork/401.png</v>
          </cell>
          <cell r="U537" t="str">
            <v>https://raw.githubusercontent.com/PokeAPI/sprites/master/sprites/pokemon/other/official-artwork/shiny/401.png</v>
          </cell>
        </row>
        <row r="538">
          <cell r="A538">
            <v>402</v>
          </cell>
          <cell r="C538" t="str">
            <v>Kricketune</v>
          </cell>
          <cell r="D538" t="str">
            <v>Standard</v>
          </cell>
          <cell r="E538" t="str">
            <v>bug</v>
          </cell>
          <cell r="G538">
            <v>77</v>
          </cell>
          <cell r="H538">
            <v>85</v>
          </cell>
          <cell r="I538">
            <v>51</v>
          </cell>
          <cell r="J538">
            <v>55</v>
          </cell>
          <cell r="K538">
            <v>51</v>
          </cell>
          <cell r="L538">
            <v>65</v>
          </cell>
          <cell r="M538">
            <v>384</v>
          </cell>
          <cell r="N538" t="str">
            <v>swarm</v>
          </cell>
          <cell r="P538" t="str">
            <v>technician</v>
          </cell>
          <cell r="Q538">
            <v>1</v>
          </cell>
          <cell r="R538">
            <v>25.5</v>
          </cell>
          <cell r="S538" t="str">
            <v>It crosses its knifelike arms in front of its chest when it cries. It can compose melodies ad lib.</v>
          </cell>
          <cell r="T538" t="str">
            <v>https://raw.githubusercontent.com/PokeAPI/sprites/master/sprites/pokemon/other/official-artwork/402.png</v>
          </cell>
          <cell r="U538" t="str">
            <v>https://raw.githubusercontent.com/PokeAPI/sprites/master/sprites/pokemon/other/official-artwork/shiny/402.png</v>
          </cell>
        </row>
        <row r="539">
          <cell r="A539">
            <v>403</v>
          </cell>
          <cell r="C539" t="str">
            <v>Shinx</v>
          </cell>
          <cell r="D539" t="str">
            <v>Standard</v>
          </cell>
          <cell r="E539" t="str">
            <v>electric</v>
          </cell>
          <cell r="G539">
            <v>45</v>
          </cell>
          <cell r="H539">
            <v>65</v>
          </cell>
          <cell r="I539">
            <v>34</v>
          </cell>
          <cell r="J539">
            <v>40</v>
          </cell>
          <cell r="K539">
            <v>34</v>
          </cell>
          <cell r="L539">
            <v>45</v>
          </cell>
          <cell r="M539">
            <v>263</v>
          </cell>
          <cell r="N539" t="str">
            <v>rivalry</v>
          </cell>
          <cell r="O539" t="str">
            <v>intimidate</v>
          </cell>
          <cell r="P539" t="str">
            <v>guts</v>
          </cell>
          <cell r="Q539">
            <v>0.5</v>
          </cell>
          <cell r="R539">
            <v>9.5</v>
          </cell>
          <cell r="S539" t="str">
            <v>All of its fur dazzles if danger is sensed. It flees while the foe is momentarily blinded.</v>
          </cell>
          <cell r="T539" t="str">
            <v>https://raw.githubusercontent.com/PokeAPI/sprites/master/sprites/pokemon/other/official-artwork/403.png</v>
          </cell>
          <cell r="U539" t="str">
            <v>https://raw.githubusercontent.com/PokeAPI/sprites/master/sprites/pokemon/other/official-artwork/shiny/403.png</v>
          </cell>
        </row>
        <row r="540">
          <cell r="A540">
            <v>404</v>
          </cell>
          <cell r="C540" t="str">
            <v>Luxio</v>
          </cell>
          <cell r="D540" t="str">
            <v>Standard</v>
          </cell>
          <cell r="E540" t="str">
            <v>electric</v>
          </cell>
          <cell r="G540">
            <v>60</v>
          </cell>
          <cell r="H540">
            <v>85</v>
          </cell>
          <cell r="I540">
            <v>49</v>
          </cell>
          <cell r="J540">
            <v>60</v>
          </cell>
          <cell r="K540">
            <v>49</v>
          </cell>
          <cell r="L540">
            <v>60</v>
          </cell>
          <cell r="M540">
            <v>363</v>
          </cell>
          <cell r="N540" t="str">
            <v>rivalry</v>
          </cell>
          <cell r="O540" t="str">
            <v>intimidate</v>
          </cell>
          <cell r="P540" t="str">
            <v>guts</v>
          </cell>
          <cell r="Q540">
            <v>0.9</v>
          </cell>
          <cell r="R540">
            <v>30.5</v>
          </cell>
          <cell r="S540" t="str">
            <v>Its claws loose electricity with enough amperage to cause fainting. They live in small groups.</v>
          </cell>
          <cell r="T540" t="str">
            <v>https://raw.githubusercontent.com/PokeAPI/sprites/master/sprites/pokemon/other/official-artwork/404.png</v>
          </cell>
          <cell r="U540" t="str">
            <v>https://raw.githubusercontent.com/PokeAPI/sprites/master/sprites/pokemon/other/official-artwork/shiny/404.png</v>
          </cell>
        </row>
        <row r="541">
          <cell r="A541">
            <v>405</v>
          </cell>
          <cell r="C541" t="str">
            <v>Luxray</v>
          </cell>
          <cell r="D541" t="str">
            <v>Standard</v>
          </cell>
          <cell r="E541" t="str">
            <v>electric</v>
          </cell>
          <cell r="G541">
            <v>80</v>
          </cell>
          <cell r="H541">
            <v>120</v>
          </cell>
          <cell r="I541">
            <v>79</v>
          </cell>
          <cell r="J541">
            <v>95</v>
          </cell>
          <cell r="K541">
            <v>79</v>
          </cell>
          <cell r="L541">
            <v>70</v>
          </cell>
          <cell r="M541">
            <v>523</v>
          </cell>
          <cell r="N541" t="str">
            <v>rivalry</v>
          </cell>
          <cell r="O541" t="str">
            <v>intimidate</v>
          </cell>
          <cell r="P541" t="str">
            <v>guts</v>
          </cell>
          <cell r="Q541">
            <v>1.4</v>
          </cell>
          <cell r="R541">
            <v>42</v>
          </cell>
          <cell r="S541" t="str">
            <v>It has eyes that can see through anything. It spots and captures prey hiding behind objects.</v>
          </cell>
          <cell r="T541" t="str">
            <v>https://raw.githubusercontent.com/PokeAPI/sprites/master/sprites/pokemon/other/official-artwork/405.png</v>
          </cell>
          <cell r="U541" t="str">
            <v>https://raw.githubusercontent.com/PokeAPI/sprites/master/sprites/pokemon/other/official-artwork/shiny/405.png</v>
          </cell>
        </row>
        <row r="542">
          <cell r="A542">
            <v>406</v>
          </cell>
          <cell r="C542" t="str">
            <v>Budew</v>
          </cell>
          <cell r="D542" t="str">
            <v>Standard</v>
          </cell>
          <cell r="E542" t="str">
            <v>grass</v>
          </cell>
          <cell r="F542" t="str">
            <v>poison</v>
          </cell>
          <cell r="G542">
            <v>40</v>
          </cell>
          <cell r="H542">
            <v>30</v>
          </cell>
          <cell r="I542">
            <v>35</v>
          </cell>
          <cell r="J542">
            <v>50</v>
          </cell>
          <cell r="K542">
            <v>70</v>
          </cell>
          <cell r="L542">
            <v>55</v>
          </cell>
          <cell r="M542">
            <v>280</v>
          </cell>
          <cell r="N542" t="str">
            <v>natural-cure</v>
          </cell>
          <cell r="O542" t="str">
            <v>poison-point</v>
          </cell>
          <cell r="P542" t="str">
            <v>leaf-guard</v>
          </cell>
          <cell r="Q542">
            <v>0.2</v>
          </cell>
          <cell r="R542">
            <v>1.2</v>
          </cell>
          <cell r="S542" t="str">
            <v>Over the winter, it closes its bud and endures the cold. In spring, the bud opens and releases pollen.</v>
          </cell>
          <cell r="T542" t="str">
            <v>https://raw.githubusercontent.com/PokeAPI/sprites/master/sprites/pokemon/other/official-artwork/406.png</v>
          </cell>
          <cell r="U542" t="str">
            <v>https://raw.githubusercontent.com/PokeAPI/sprites/master/sprites/pokemon/other/official-artwork/shiny/406.png</v>
          </cell>
        </row>
        <row r="543">
          <cell r="A543">
            <v>407</v>
          </cell>
          <cell r="C543" t="str">
            <v>Roserade</v>
          </cell>
          <cell r="D543" t="str">
            <v>Standard</v>
          </cell>
          <cell r="E543" t="str">
            <v>grass</v>
          </cell>
          <cell r="F543" t="str">
            <v>poison</v>
          </cell>
          <cell r="G543">
            <v>60</v>
          </cell>
          <cell r="H543">
            <v>70</v>
          </cell>
          <cell r="I543">
            <v>65</v>
          </cell>
          <cell r="J543">
            <v>125</v>
          </cell>
          <cell r="K543">
            <v>105</v>
          </cell>
          <cell r="L543">
            <v>90</v>
          </cell>
          <cell r="M543">
            <v>515</v>
          </cell>
          <cell r="N543" t="str">
            <v>natural-cure</v>
          </cell>
          <cell r="O543" t="str">
            <v>poison-point</v>
          </cell>
          <cell r="P543" t="str">
            <v>technician</v>
          </cell>
          <cell r="Q543">
            <v>0.9</v>
          </cell>
          <cell r="R543">
            <v>14.5</v>
          </cell>
          <cell r="S543" t="str">
            <v>It attracts prey with a sweet aroma, then downs it with thorny whips hidden in its arms.</v>
          </cell>
          <cell r="T543" t="str">
            <v>https://raw.githubusercontent.com/PokeAPI/sprites/master/sprites/pokemon/other/official-artwork/407.png</v>
          </cell>
          <cell r="U543" t="str">
            <v>https://raw.githubusercontent.com/PokeAPI/sprites/master/sprites/pokemon/other/official-artwork/shiny/407.png</v>
          </cell>
        </row>
        <row r="544">
          <cell r="A544">
            <v>408</v>
          </cell>
          <cell r="C544" t="str">
            <v>Cranidos</v>
          </cell>
          <cell r="D544" t="str">
            <v>Standard</v>
          </cell>
          <cell r="E544" t="str">
            <v>rock</v>
          </cell>
          <cell r="G544">
            <v>67</v>
          </cell>
          <cell r="H544">
            <v>125</v>
          </cell>
          <cell r="I544">
            <v>40</v>
          </cell>
          <cell r="J544">
            <v>30</v>
          </cell>
          <cell r="K544">
            <v>30</v>
          </cell>
          <cell r="L544">
            <v>58</v>
          </cell>
          <cell r="M544">
            <v>350</v>
          </cell>
          <cell r="N544" t="str">
            <v>mold-breaker</v>
          </cell>
          <cell r="P544" t="str">
            <v>sheer-force</v>
          </cell>
          <cell r="Q544">
            <v>0.9</v>
          </cell>
          <cell r="R544">
            <v>31.5</v>
          </cell>
          <cell r="S544" t="str">
            <v>It lived in jungles around 100 million years ago. Its skull is as hard as iron.</v>
          </cell>
          <cell r="T544" t="str">
            <v>https://raw.githubusercontent.com/PokeAPI/sprites/master/sprites/pokemon/other/official-artwork/408.png</v>
          </cell>
          <cell r="U544" t="str">
            <v>https://raw.githubusercontent.com/PokeAPI/sprites/master/sprites/pokemon/other/official-artwork/shiny/408.png</v>
          </cell>
        </row>
        <row r="545">
          <cell r="A545">
            <v>409</v>
          </cell>
          <cell r="C545" t="str">
            <v>Rampardos</v>
          </cell>
          <cell r="D545" t="str">
            <v>Standard</v>
          </cell>
          <cell r="E545" t="str">
            <v>rock</v>
          </cell>
          <cell r="G545">
            <v>97</v>
          </cell>
          <cell r="H545">
            <v>165</v>
          </cell>
          <cell r="I545">
            <v>60</v>
          </cell>
          <cell r="J545">
            <v>65</v>
          </cell>
          <cell r="K545">
            <v>50</v>
          </cell>
          <cell r="L545">
            <v>58</v>
          </cell>
          <cell r="M545">
            <v>495</v>
          </cell>
          <cell r="N545" t="str">
            <v>mold-breaker</v>
          </cell>
          <cell r="P545" t="str">
            <v>sheer-force</v>
          </cell>
          <cell r="Q545">
            <v>1.6</v>
          </cell>
          <cell r="R545">
            <v>102.5</v>
          </cell>
          <cell r="S545" t="str">
            <v>Its powerful head butt has enough power to shatter even the most durable things upon impact.</v>
          </cell>
          <cell r="T545" t="str">
            <v>https://raw.githubusercontent.com/PokeAPI/sprites/master/sprites/pokemon/other/official-artwork/409.png</v>
          </cell>
          <cell r="U545" t="str">
            <v>https://raw.githubusercontent.com/PokeAPI/sprites/master/sprites/pokemon/other/official-artwork/shiny/409.png</v>
          </cell>
        </row>
        <row r="546">
          <cell r="A546">
            <v>410</v>
          </cell>
          <cell r="C546" t="str">
            <v>Shieldon</v>
          </cell>
          <cell r="D546" t="str">
            <v>Standard</v>
          </cell>
          <cell r="E546" t="str">
            <v>rock</v>
          </cell>
          <cell r="F546" t="str">
            <v>steel</v>
          </cell>
          <cell r="G546">
            <v>30</v>
          </cell>
          <cell r="H546">
            <v>42</v>
          </cell>
          <cell r="I546">
            <v>118</v>
          </cell>
          <cell r="J546">
            <v>42</v>
          </cell>
          <cell r="K546">
            <v>88</v>
          </cell>
          <cell r="L546">
            <v>30</v>
          </cell>
          <cell r="M546">
            <v>350</v>
          </cell>
          <cell r="N546" t="str">
            <v>sturdy</v>
          </cell>
          <cell r="P546" t="str">
            <v>soundproof</v>
          </cell>
          <cell r="Q546">
            <v>0.5</v>
          </cell>
          <cell r="R546">
            <v>57</v>
          </cell>
          <cell r="S546" t="str">
            <v>A Pokémon that lived in jungles around 100 million years ago. Its facial hide is extremely hard.</v>
          </cell>
          <cell r="T546" t="str">
            <v>https://raw.githubusercontent.com/PokeAPI/sprites/master/sprites/pokemon/other/official-artwork/410.png</v>
          </cell>
          <cell r="U546" t="str">
            <v>https://raw.githubusercontent.com/PokeAPI/sprites/master/sprites/pokemon/other/official-artwork/shiny/410.png</v>
          </cell>
        </row>
        <row r="547">
          <cell r="A547">
            <v>411</v>
          </cell>
          <cell r="C547" t="str">
            <v>Bastiodon</v>
          </cell>
          <cell r="D547" t="str">
            <v>Standard</v>
          </cell>
          <cell r="E547" t="str">
            <v>rock</v>
          </cell>
          <cell r="F547" t="str">
            <v>steel</v>
          </cell>
          <cell r="G547">
            <v>60</v>
          </cell>
          <cell r="H547">
            <v>52</v>
          </cell>
          <cell r="I547">
            <v>168</v>
          </cell>
          <cell r="J547">
            <v>47</v>
          </cell>
          <cell r="K547">
            <v>138</v>
          </cell>
          <cell r="L547">
            <v>30</v>
          </cell>
          <cell r="M547">
            <v>495</v>
          </cell>
          <cell r="N547" t="str">
            <v>sturdy</v>
          </cell>
          <cell r="P547" t="str">
            <v>soundproof</v>
          </cell>
          <cell r="Q547">
            <v>1.3</v>
          </cell>
          <cell r="R547">
            <v>149.5</v>
          </cell>
          <cell r="S547" t="str">
            <v>Any frontal attack is repulsed. It is a docile Pokémon that feeds on grass and berries.</v>
          </cell>
          <cell r="T547" t="str">
            <v>https://raw.githubusercontent.com/PokeAPI/sprites/master/sprites/pokemon/other/official-artwork/411.png</v>
          </cell>
          <cell r="U547" t="str">
            <v>https://raw.githubusercontent.com/PokeAPI/sprites/master/sprites/pokemon/other/official-artwork/shiny/411.png</v>
          </cell>
        </row>
        <row r="548">
          <cell r="A548">
            <v>412</v>
          </cell>
          <cell r="C548" t="str">
            <v>Burmy</v>
          </cell>
          <cell r="D548" t="str">
            <v>Standard</v>
          </cell>
          <cell r="E548" t="str">
            <v>bug</v>
          </cell>
          <cell r="G548">
            <v>40</v>
          </cell>
          <cell r="H548">
            <v>29</v>
          </cell>
          <cell r="I548">
            <v>45</v>
          </cell>
          <cell r="J548">
            <v>29</v>
          </cell>
          <cell r="K548">
            <v>45</v>
          </cell>
          <cell r="L548">
            <v>36</v>
          </cell>
          <cell r="M548">
            <v>224</v>
          </cell>
          <cell r="N548" t="str">
            <v>shed-skin</v>
          </cell>
          <cell r="P548" t="str">
            <v>overcoat</v>
          </cell>
          <cell r="Q548">
            <v>0.2</v>
          </cell>
          <cell r="R548">
            <v>3.4</v>
          </cell>
          <cell r="S548" t="str">
            <v>To shelter itself from cold, wintry winds, it covers itself with a cloak made of twigs and leaves.</v>
          </cell>
          <cell r="T548" t="str">
            <v>https://raw.githubusercontent.com/PokeAPI/sprites/master/sprites/pokemon/other/official-artwork/412.png</v>
          </cell>
          <cell r="U548" t="str">
            <v>https://raw.githubusercontent.com/PokeAPI/sprites/master/sprites/pokemon/other/official-artwork/shiny/412.png</v>
          </cell>
        </row>
        <row r="549">
          <cell r="A549">
            <v>413</v>
          </cell>
          <cell r="C549" t="str">
            <v>Wormadam Plant</v>
          </cell>
          <cell r="D549" t="str">
            <v>Other</v>
          </cell>
          <cell r="E549" t="str">
            <v>bug</v>
          </cell>
          <cell r="F549" t="str">
            <v>grass</v>
          </cell>
          <cell r="G549">
            <v>60</v>
          </cell>
          <cell r="H549">
            <v>59</v>
          </cell>
          <cell r="I549">
            <v>85</v>
          </cell>
          <cell r="J549">
            <v>79</v>
          </cell>
          <cell r="K549">
            <v>105</v>
          </cell>
          <cell r="L549">
            <v>36</v>
          </cell>
          <cell r="M549">
            <v>424</v>
          </cell>
          <cell r="N549" t="str">
            <v>anticipation</v>
          </cell>
          <cell r="P549" t="str">
            <v>overcoat</v>
          </cell>
          <cell r="Q549">
            <v>0.5</v>
          </cell>
          <cell r="R549">
            <v>6.5</v>
          </cell>
          <cell r="S549" t="str">
            <v>When BURMY evolved, its cloak became a part of this Pokémon’s body. The cloak is never shed.</v>
          </cell>
          <cell r="T549" t="str">
            <v>https://raw.githubusercontent.com/PokeAPI/sprites/master/sprites/pokemon/other/official-artwork/413.png</v>
          </cell>
          <cell r="U549" t="str">
            <v>https://raw.githubusercontent.com/PokeAPI/sprites/master/sprites/pokemon/other/official-artwork/shiny/413.png</v>
          </cell>
        </row>
        <row r="550">
          <cell r="A550">
            <v>413</v>
          </cell>
          <cell r="C550" t="str">
            <v>Wormadam Sandy</v>
          </cell>
          <cell r="D550" t="str">
            <v>Other</v>
          </cell>
          <cell r="E550" t="str">
            <v>bug</v>
          </cell>
          <cell r="F550" t="str">
            <v>ground</v>
          </cell>
          <cell r="G550">
            <v>60</v>
          </cell>
          <cell r="H550">
            <v>79</v>
          </cell>
          <cell r="I550">
            <v>105</v>
          </cell>
          <cell r="J550">
            <v>59</v>
          </cell>
          <cell r="K550">
            <v>85</v>
          </cell>
          <cell r="L550">
            <v>36</v>
          </cell>
          <cell r="M550">
            <v>424</v>
          </cell>
          <cell r="N550" t="str">
            <v>anticipation</v>
          </cell>
          <cell r="P550" t="str">
            <v>overcoat</v>
          </cell>
          <cell r="Q550">
            <v>0.5</v>
          </cell>
          <cell r="R550">
            <v>6.5</v>
          </cell>
          <cell r="S550" t="str">
            <v>When BURMY evolved, its cloak became a part of this Pokémon’s body. The cloak is never shed.</v>
          </cell>
          <cell r="T550" t="str">
            <v>https://raw.githubusercontent.com/PokeAPI/sprites/master/sprites/pokemon/other/official-artwork/10004.png</v>
          </cell>
          <cell r="U550" t="str">
            <v>https://raw.githubusercontent.com/PokeAPI/sprites/master/sprites/pokemon/other/official-artwork/shiny/10004.png</v>
          </cell>
        </row>
        <row r="551">
          <cell r="A551">
            <v>413</v>
          </cell>
          <cell r="C551" t="str">
            <v>Wormadam Trash</v>
          </cell>
          <cell r="D551" t="str">
            <v>Other</v>
          </cell>
          <cell r="E551" t="str">
            <v>bug</v>
          </cell>
          <cell r="F551" t="str">
            <v>steel</v>
          </cell>
          <cell r="G551">
            <v>60</v>
          </cell>
          <cell r="H551">
            <v>69</v>
          </cell>
          <cell r="I551">
            <v>95</v>
          </cell>
          <cell r="J551">
            <v>69</v>
          </cell>
          <cell r="K551">
            <v>95</v>
          </cell>
          <cell r="L551">
            <v>36</v>
          </cell>
          <cell r="M551">
            <v>424</v>
          </cell>
          <cell r="N551" t="str">
            <v>anticipation</v>
          </cell>
          <cell r="P551" t="str">
            <v>overcoat</v>
          </cell>
          <cell r="Q551">
            <v>0.5</v>
          </cell>
          <cell r="R551">
            <v>6.5</v>
          </cell>
          <cell r="S551" t="str">
            <v>When BURMY evolved, its cloak became a part of this Pokémon’s body. The cloak is never shed.</v>
          </cell>
          <cell r="T551" t="str">
            <v>https://raw.githubusercontent.com/PokeAPI/sprites/master/sprites/pokemon/other/official-artwork/10005.png</v>
          </cell>
          <cell r="U551" t="str">
            <v>https://raw.githubusercontent.com/PokeAPI/sprites/master/sprites/pokemon/other/official-artwork/shiny/10005.png</v>
          </cell>
        </row>
        <row r="552">
          <cell r="A552">
            <v>414</v>
          </cell>
          <cell r="C552" t="str">
            <v>Mothim</v>
          </cell>
          <cell r="D552" t="str">
            <v>Standard</v>
          </cell>
          <cell r="E552" t="str">
            <v>bug</v>
          </cell>
          <cell r="F552" t="str">
            <v>flying</v>
          </cell>
          <cell r="G552">
            <v>70</v>
          </cell>
          <cell r="H552">
            <v>94</v>
          </cell>
          <cell r="I552">
            <v>50</v>
          </cell>
          <cell r="J552">
            <v>94</v>
          </cell>
          <cell r="K552">
            <v>50</v>
          </cell>
          <cell r="L552">
            <v>66</v>
          </cell>
          <cell r="M552">
            <v>424</v>
          </cell>
          <cell r="N552" t="str">
            <v>swarm</v>
          </cell>
          <cell r="P552" t="str">
            <v>tinted-lens</v>
          </cell>
          <cell r="Q552">
            <v>0.9</v>
          </cell>
          <cell r="R552">
            <v>23.3</v>
          </cell>
          <cell r="S552" t="str">
            <v>It loves the honey of flowers and steals honey collected by COMBEE.</v>
          </cell>
          <cell r="T552" t="str">
            <v>https://raw.githubusercontent.com/PokeAPI/sprites/master/sprites/pokemon/other/official-artwork/414.png</v>
          </cell>
          <cell r="U552" t="str">
            <v>https://raw.githubusercontent.com/PokeAPI/sprites/master/sprites/pokemon/other/official-artwork/shiny/414.png</v>
          </cell>
        </row>
        <row r="553">
          <cell r="A553">
            <v>415</v>
          </cell>
          <cell r="C553" t="str">
            <v>Combee</v>
          </cell>
          <cell r="D553" t="str">
            <v>Standard</v>
          </cell>
          <cell r="E553" t="str">
            <v>bug</v>
          </cell>
          <cell r="F553" t="str">
            <v>flying</v>
          </cell>
          <cell r="G553">
            <v>30</v>
          </cell>
          <cell r="H553">
            <v>30</v>
          </cell>
          <cell r="I553">
            <v>42</v>
          </cell>
          <cell r="J553">
            <v>30</v>
          </cell>
          <cell r="K553">
            <v>42</v>
          </cell>
          <cell r="L553">
            <v>70</v>
          </cell>
          <cell r="M553">
            <v>244</v>
          </cell>
          <cell r="N553" t="str">
            <v>honey-gather</v>
          </cell>
          <cell r="P553" t="str">
            <v>hustle</v>
          </cell>
          <cell r="Q553">
            <v>0.3</v>
          </cell>
          <cell r="R553">
            <v>5.5</v>
          </cell>
          <cell r="S553" t="str">
            <v>A Pokémon formed by three others. It busily carries sweet floral honey to VESPIQUEN.</v>
          </cell>
          <cell r="T553" t="str">
            <v>https://raw.githubusercontent.com/PokeAPI/sprites/master/sprites/pokemon/other/official-artwork/415.png</v>
          </cell>
          <cell r="U553" t="str">
            <v>https://raw.githubusercontent.com/PokeAPI/sprites/master/sprites/pokemon/other/official-artwork/shiny/415.png</v>
          </cell>
        </row>
        <row r="554">
          <cell r="A554">
            <v>416</v>
          </cell>
          <cell r="C554" t="str">
            <v>Vespiquen</v>
          </cell>
          <cell r="D554" t="str">
            <v>Standard</v>
          </cell>
          <cell r="E554" t="str">
            <v>bug</v>
          </cell>
          <cell r="F554" t="str">
            <v>flying</v>
          </cell>
          <cell r="G554">
            <v>70</v>
          </cell>
          <cell r="H554">
            <v>80</v>
          </cell>
          <cell r="I554">
            <v>102</v>
          </cell>
          <cell r="J554">
            <v>80</v>
          </cell>
          <cell r="K554">
            <v>102</v>
          </cell>
          <cell r="L554">
            <v>40</v>
          </cell>
          <cell r="M554">
            <v>474</v>
          </cell>
          <cell r="N554" t="str">
            <v>pressure</v>
          </cell>
          <cell r="P554" t="str">
            <v>unnerve</v>
          </cell>
          <cell r="Q554">
            <v>1.2</v>
          </cell>
          <cell r="R554">
            <v>38.5</v>
          </cell>
          <cell r="S554" t="str">
            <v>Its abdomen is a honeycomb for grubs. It raises its grubs on honey collected by COMBEE.</v>
          </cell>
          <cell r="T554" t="str">
            <v>https://raw.githubusercontent.com/PokeAPI/sprites/master/sprites/pokemon/other/official-artwork/416.png</v>
          </cell>
          <cell r="U554" t="str">
            <v>https://raw.githubusercontent.com/PokeAPI/sprites/master/sprites/pokemon/other/official-artwork/shiny/416.png</v>
          </cell>
        </row>
        <row r="555">
          <cell r="A555">
            <v>417</v>
          </cell>
          <cell r="C555" t="str">
            <v>Pachirisu</v>
          </cell>
          <cell r="D555" t="str">
            <v>Standard</v>
          </cell>
          <cell r="E555" t="str">
            <v>electric</v>
          </cell>
          <cell r="G555">
            <v>60</v>
          </cell>
          <cell r="H555">
            <v>45</v>
          </cell>
          <cell r="I555">
            <v>70</v>
          </cell>
          <cell r="J555">
            <v>45</v>
          </cell>
          <cell r="K555">
            <v>90</v>
          </cell>
          <cell r="L555">
            <v>95</v>
          </cell>
          <cell r="M555">
            <v>405</v>
          </cell>
          <cell r="N555" t="str">
            <v>run-away</v>
          </cell>
          <cell r="O555" t="str">
            <v>pickup</v>
          </cell>
          <cell r="P555" t="str">
            <v>volt-absorb</v>
          </cell>
          <cell r="Q555">
            <v>0.4</v>
          </cell>
          <cell r="R555">
            <v>3.9</v>
          </cell>
          <cell r="S555" t="str">
            <v>It makes fur balls that crackle with static electricity. It stores them with berries in tree holes.</v>
          </cell>
          <cell r="T555" t="str">
            <v>https://raw.githubusercontent.com/PokeAPI/sprites/master/sprites/pokemon/other/official-artwork/417.png</v>
          </cell>
          <cell r="U555" t="str">
            <v>https://raw.githubusercontent.com/PokeAPI/sprites/master/sprites/pokemon/other/official-artwork/shiny/417.png</v>
          </cell>
        </row>
        <row r="556">
          <cell r="A556">
            <v>418</v>
          </cell>
          <cell r="C556" t="str">
            <v>Buizel</v>
          </cell>
          <cell r="D556" t="str">
            <v>Standard</v>
          </cell>
          <cell r="E556" t="str">
            <v>water</v>
          </cell>
          <cell r="G556">
            <v>55</v>
          </cell>
          <cell r="H556">
            <v>65</v>
          </cell>
          <cell r="I556">
            <v>35</v>
          </cell>
          <cell r="J556">
            <v>60</v>
          </cell>
          <cell r="K556">
            <v>30</v>
          </cell>
          <cell r="L556">
            <v>85</v>
          </cell>
          <cell r="M556">
            <v>330</v>
          </cell>
          <cell r="N556" t="str">
            <v>swift-swim</v>
          </cell>
          <cell r="P556" t="str">
            <v>water-veil</v>
          </cell>
          <cell r="Q556">
            <v>0.7</v>
          </cell>
          <cell r="R556">
            <v>29.5</v>
          </cell>
          <cell r="S556" t="str">
            <v>It has a flotation sac that is like an inflatable collar. It floats on water with its head out.</v>
          </cell>
          <cell r="T556" t="str">
            <v>https://raw.githubusercontent.com/PokeAPI/sprites/master/sprites/pokemon/other/official-artwork/418.png</v>
          </cell>
          <cell r="U556" t="str">
            <v>https://raw.githubusercontent.com/PokeAPI/sprites/master/sprites/pokemon/other/official-artwork/shiny/418.png</v>
          </cell>
        </row>
        <row r="557">
          <cell r="A557">
            <v>419</v>
          </cell>
          <cell r="C557" t="str">
            <v>Floatzel</v>
          </cell>
          <cell r="D557" t="str">
            <v>Standard</v>
          </cell>
          <cell r="E557" t="str">
            <v>water</v>
          </cell>
          <cell r="G557">
            <v>85</v>
          </cell>
          <cell r="H557">
            <v>105</v>
          </cell>
          <cell r="I557">
            <v>55</v>
          </cell>
          <cell r="J557">
            <v>85</v>
          </cell>
          <cell r="K557">
            <v>50</v>
          </cell>
          <cell r="L557">
            <v>115</v>
          </cell>
          <cell r="M557">
            <v>495</v>
          </cell>
          <cell r="N557" t="str">
            <v>swift-swim</v>
          </cell>
          <cell r="P557" t="str">
            <v>water-veil</v>
          </cell>
          <cell r="Q557">
            <v>1.1000000000000001</v>
          </cell>
          <cell r="R557">
            <v>33.5</v>
          </cell>
          <cell r="S557" t="str">
            <v>It floats using its well-developed flotation sac. It assists in the rescues of drowning people.</v>
          </cell>
          <cell r="T557" t="str">
            <v>https://raw.githubusercontent.com/PokeAPI/sprites/master/sprites/pokemon/other/official-artwork/419.png</v>
          </cell>
          <cell r="U557" t="str">
            <v>https://raw.githubusercontent.com/PokeAPI/sprites/master/sprites/pokemon/other/official-artwork/shiny/419.png</v>
          </cell>
        </row>
        <row r="558">
          <cell r="A558">
            <v>420</v>
          </cell>
          <cell r="C558" t="str">
            <v>Cherubi</v>
          </cell>
          <cell r="D558" t="str">
            <v>Standard</v>
          </cell>
          <cell r="E558" t="str">
            <v>grass</v>
          </cell>
          <cell r="G558">
            <v>45</v>
          </cell>
          <cell r="H558">
            <v>35</v>
          </cell>
          <cell r="I558">
            <v>45</v>
          </cell>
          <cell r="J558">
            <v>62</v>
          </cell>
          <cell r="K558">
            <v>53</v>
          </cell>
          <cell r="L558">
            <v>35</v>
          </cell>
          <cell r="M558">
            <v>275</v>
          </cell>
          <cell r="N558" t="str">
            <v>chlorophyll</v>
          </cell>
          <cell r="Q558">
            <v>0.4</v>
          </cell>
          <cell r="R558">
            <v>3.3</v>
          </cell>
          <cell r="S558" t="str">
            <v>The small ball holds the nutrients needed for evolution. Apparently, it is very sweet and tasty.</v>
          </cell>
          <cell r="T558" t="str">
            <v>https://raw.githubusercontent.com/PokeAPI/sprites/master/sprites/pokemon/other/official-artwork/420.png</v>
          </cell>
          <cell r="U558" t="str">
            <v>https://raw.githubusercontent.com/PokeAPI/sprites/master/sprites/pokemon/other/official-artwork/shiny/420.png</v>
          </cell>
        </row>
        <row r="559">
          <cell r="A559">
            <v>421</v>
          </cell>
          <cell r="C559" t="str">
            <v>Cherrim</v>
          </cell>
          <cell r="D559" t="str">
            <v>Standard</v>
          </cell>
          <cell r="E559" t="str">
            <v>grass</v>
          </cell>
          <cell r="G559">
            <v>70</v>
          </cell>
          <cell r="H559">
            <v>60</v>
          </cell>
          <cell r="I559">
            <v>70</v>
          </cell>
          <cell r="J559">
            <v>87</v>
          </cell>
          <cell r="K559">
            <v>78</v>
          </cell>
          <cell r="L559">
            <v>85</v>
          </cell>
          <cell r="M559">
            <v>450</v>
          </cell>
          <cell r="N559" t="str">
            <v>flower-gift</v>
          </cell>
          <cell r="Q559">
            <v>0.5</v>
          </cell>
          <cell r="R559">
            <v>9.3000000000000007</v>
          </cell>
          <cell r="S559" t="str">
            <v>It blooms during times of strong sunlight. It tries to make up for everything it endured as a bud.</v>
          </cell>
          <cell r="T559" t="str">
            <v>https://raw.githubusercontent.com/PokeAPI/sprites/master/sprites/pokemon/other/official-artwork/421.png</v>
          </cell>
          <cell r="U559" t="str">
            <v>https://raw.githubusercontent.com/PokeAPI/sprites/master/sprites/pokemon/other/official-artwork/shiny/421.png</v>
          </cell>
        </row>
        <row r="560">
          <cell r="A560">
            <v>422</v>
          </cell>
          <cell r="C560" t="str">
            <v>Shellos</v>
          </cell>
          <cell r="D560" t="str">
            <v>Standard</v>
          </cell>
          <cell r="E560" t="str">
            <v>water</v>
          </cell>
          <cell r="G560">
            <v>76</v>
          </cell>
          <cell r="H560">
            <v>48</v>
          </cell>
          <cell r="I560">
            <v>48</v>
          </cell>
          <cell r="J560">
            <v>57</v>
          </cell>
          <cell r="K560">
            <v>62</v>
          </cell>
          <cell r="L560">
            <v>34</v>
          </cell>
          <cell r="M560">
            <v>325</v>
          </cell>
          <cell r="N560" t="str">
            <v>sticky-hold</v>
          </cell>
          <cell r="O560" t="str">
            <v>storm-drain</v>
          </cell>
          <cell r="P560" t="str">
            <v>sand-force</v>
          </cell>
          <cell r="Q560">
            <v>0.3</v>
          </cell>
          <cell r="R560">
            <v>6.3</v>
          </cell>
          <cell r="S560" t="str">
            <v>Its colors and shapes differ from region to region. In the Sinnoh region, two types are confirmed.</v>
          </cell>
          <cell r="T560" t="str">
            <v>https://raw.githubusercontent.com/PokeAPI/sprites/master/sprites/pokemon/other/official-artwork/422.png</v>
          </cell>
          <cell r="U560" t="str">
            <v>https://raw.githubusercontent.com/PokeAPI/sprites/master/sprites/pokemon/other/official-artwork/shiny/422.png</v>
          </cell>
        </row>
        <row r="561">
          <cell r="A561">
            <v>423</v>
          </cell>
          <cell r="C561" t="str">
            <v>Gastrodon</v>
          </cell>
          <cell r="D561" t="str">
            <v>Standard</v>
          </cell>
          <cell r="E561" t="str">
            <v>water</v>
          </cell>
          <cell r="F561" t="str">
            <v>ground</v>
          </cell>
          <cell r="G561">
            <v>111</v>
          </cell>
          <cell r="H561">
            <v>83</v>
          </cell>
          <cell r="I561">
            <v>68</v>
          </cell>
          <cell r="J561">
            <v>92</v>
          </cell>
          <cell r="K561">
            <v>82</v>
          </cell>
          <cell r="L561">
            <v>39</v>
          </cell>
          <cell r="M561">
            <v>475</v>
          </cell>
          <cell r="N561" t="str">
            <v>sticky-hold</v>
          </cell>
          <cell r="O561" t="str">
            <v>storm-drain</v>
          </cell>
          <cell r="P561" t="str">
            <v>sand-force</v>
          </cell>
          <cell r="Q561">
            <v>0.9</v>
          </cell>
          <cell r="R561">
            <v>29.9</v>
          </cell>
          <cell r="S561" t="str">
            <v>It has a pliable body without any bones. If any part of its body is torn off, it grows right back.</v>
          </cell>
          <cell r="T561" t="str">
            <v>https://raw.githubusercontent.com/PokeAPI/sprites/master/sprites/pokemon/other/official-artwork/423.png</v>
          </cell>
          <cell r="U561" t="str">
            <v>https://raw.githubusercontent.com/PokeAPI/sprites/master/sprites/pokemon/other/official-artwork/shiny/423.png</v>
          </cell>
        </row>
        <row r="562">
          <cell r="A562">
            <v>424</v>
          </cell>
          <cell r="C562" t="str">
            <v>Ambipom</v>
          </cell>
          <cell r="D562" t="str">
            <v>Standard</v>
          </cell>
          <cell r="E562" t="str">
            <v>normal</v>
          </cell>
          <cell r="G562">
            <v>75</v>
          </cell>
          <cell r="H562">
            <v>100</v>
          </cell>
          <cell r="I562">
            <v>66</v>
          </cell>
          <cell r="J562">
            <v>60</v>
          </cell>
          <cell r="K562">
            <v>66</v>
          </cell>
          <cell r="L562">
            <v>115</v>
          </cell>
          <cell r="M562">
            <v>482</v>
          </cell>
          <cell r="N562" t="str">
            <v>technician</v>
          </cell>
          <cell r="O562" t="str">
            <v>pickup</v>
          </cell>
          <cell r="P562" t="str">
            <v>skill-link</v>
          </cell>
          <cell r="Q562">
            <v>1.2</v>
          </cell>
          <cell r="R562">
            <v>20.3</v>
          </cell>
          <cell r="S562" t="str">
            <v>To eat, it deftly shucks nuts with its two tails. It rarely uses its arms now.</v>
          </cell>
          <cell r="T562" t="str">
            <v>https://raw.githubusercontent.com/PokeAPI/sprites/master/sprites/pokemon/other/official-artwork/424.png</v>
          </cell>
          <cell r="U562" t="str">
            <v>https://raw.githubusercontent.com/PokeAPI/sprites/master/sprites/pokemon/other/official-artwork/shiny/424.png</v>
          </cell>
        </row>
        <row r="563">
          <cell r="A563">
            <v>425</v>
          </cell>
          <cell r="C563" t="str">
            <v>Drifloon</v>
          </cell>
          <cell r="D563" t="str">
            <v>Standard</v>
          </cell>
          <cell r="E563" t="str">
            <v>ghost</v>
          </cell>
          <cell r="F563" t="str">
            <v>flying</v>
          </cell>
          <cell r="G563">
            <v>90</v>
          </cell>
          <cell r="H563">
            <v>50</v>
          </cell>
          <cell r="I563">
            <v>34</v>
          </cell>
          <cell r="J563">
            <v>60</v>
          </cell>
          <cell r="K563">
            <v>44</v>
          </cell>
          <cell r="L563">
            <v>70</v>
          </cell>
          <cell r="M563">
            <v>348</v>
          </cell>
          <cell r="N563" t="str">
            <v>aftermath</v>
          </cell>
          <cell r="O563" t="str">
            <v>unburden</v>
          </cell>
          <cell r="P563" t="str">
            <v>flare-boost</v>
          </cell>
          <cell r="Q563">
            <v>0.4</v>
          </cell>
          <cell r="R563">
            <v>1.2</v>
          </cell>
          <cell r="S563" t="str">
            <v>A Pokémon formed by the spirits of people and Pokémon. It loves damp, humid seasons.</v>
          </cell>
          <cell r="T563" t="str">
            <v>https://raw.githubusercontent.com/PokeAPI/sprites/master/sprites/pokemon/other/official-artwork/425.png</v>
          </cell>
          <cell r="U563" t="str">
            <v>https://raw.githubusercontent.com/PokeAPI/sprites/master/sprites/pokemon/other/official-artwork/shiny/425.png</v>
          </cell>
        </row>
        <row r="564">
          <cell r="A564">
            <v>426</v>
          </cell>
          <cell r="C564" t="str">
            <v>Drifblim</v>
          </cell>
          <cell r="D564" t="str">
            <v>Standard</v>
          </cell>
          <cell r="E564" t="str">
            <v>ghost</v>
          </cell>
          <cell r="F564" t="str">
            <v>flying</v>
          </cell>
          <cell r="G564">
            <v>150</v>
          </cell>
          <cell r="H564">
            <v>80</v>
          </cell>
          <cell r="I564">
            <v>44</v>
          </cell>
          <cell r="J564">
            <v>90</v>
          </cell>
          <cell r="K564">
            <v>54</v>
          </cell>
          <cell r="L564">
            <v>80</v>
          </cell>
          <cell r="M564">
            <v>498</v>
          </cell>
          <cell r="N564" t="str">
            <v>aftermath</v>
          </cell>
          <cell r="O564" t="str">
            <v>unburden</v>
          </cell>
          <cell r="P564" t="str">
            <v>flare-boost</v>
          </cell>
          <cell r="Q564">
            <v>1.2</v>
          </cell>
          <cell r="R564">
            <v>15</v>
          </cell>
          <cell r="S564" t="str">
            <v>At dusk, swarms of them are carried aloft on winds. When noticed, they suddenly vanish.</v>
          </cell>
          <cell r="T564" t="str">
            <v>https://raw.githubusercontent.com/PokeAPI/sprites/master/sprites/pokemon/other/official-artwork/426.png</v>
          </cell>
          <cell r="U564" t="str">
            <v>https://raw.githubusercontent.com/PokeAPI/sprites/master/sprites/pokemon/other/official-artwork/shiny/426.png</v>
          </cell>
        </row>
        <row r="565">
          <cell r="A565">
            <v>427</v>
          </cell>
          <cell r="C565" t="str">
            <v>Buneary</v>
          </cell>
          <cell r="D565" t="str">
            <v>Standard</v>
          </cell>
          <cell r="E565" t="str">
            <v>normal</v>
          </cell>
          <cell r="G565">
            <v>55</v>
          </cell>
          <cell r="H565">
            <v>66</v>
          </cell>
          <cell r="I565">
            <v>44</v>
          </cell>
          <cell r="J565">
            <v>44</v>
          </cell>
          <cell r="K565">
            <v>56</v>
          </cell>
          <cell r="L565">
            <v>85</v>
          </cell>
          <cell r="M565">
            <v>350</v>
          </cell>
          <cell r="N565" t="str">
            <v>run-away</v>
          </cell>
          <cell r="O565" t="str">
            <v>klutz</v>
          </cell>
          <cell r="P565" t="str">
            <v>limber</v>
          </cell>
          <cell r="Q565">
            <v>0.4</v>
          </cell>
          <cell r="R565">
            <v>5.5</v>
          </cell>
          <cell r="S565" t="str">
            <v>It slams foes by sharply uncoiling its rolled ears. It stings enough to make a grown-up cry in pain.</v>
          </cell>
          <cell r="T565" t="str">
            <v>https://raw.githubusercontent.com/PokeAPI/sprites/master/sprites/pokemon/other/official-artwork/427.png</v>
          </cell>
          <cell r="U565" t="str">
            <v>https://raw.githubusercontent.com/PokeAPI/sprites/master/sprites/pokemon/other/official-artwork/shiny/427.png</v>
          </cell>
        </row>
        <row r="566">
          <cell r="A566">
            <v>428</v>
          </cell>
          <cell r="C566" t="str">
            <v>Lopunny</v>
          </cell>
          <cell r="D566" t="str">
            <v>Standard</v>
          </cell>
          <cell r="E566" t="str">
            <v>normal</v>
          </cell>
          <cell r="G566">
            <v>65</v>
          </cell>
          <cell r="H566">
            <v>76</v>
          </cell>
          <cell r="I566">
            <v>84</v>
          </cell>
          <cell r="J566">
            <v>54</v>
          </cell>
          <cell r="K566">
            <v>96</v>
          </cell>
          <cell r="L566">
            <v>105</v>
          </cell>
          <cell r="M566">
            <v>480</v>
          </cell>
          <cell r="N566" t="str">
            <v>cute-charm</v>
          </cell>
          <cell r="O566" t="str">
            <v>klutz</v>
          </cell>
          <cell r="P566" t="str">
            <v>limber</v>
          </cell>
          <cell r="Q566">
            <v>1.2</v>
          </cell>
          <cell r="R566">
            <v>33.299999999999997</v>
          </cell>
          <cell r="S566" t="str">
            <v>An extremely cautious Pokémon. It cloaks its body with its fluffy ear fur when it senses danger.</v>
          </cell>
          <cell r="T566" t="str">
            <v>https://raw.githubusercontent.com/PokeAPI/sprites/master/sprites/pokemon/other/official-artwork/428.png</v>
          </cell>
          <cell r="U566" t="str">
            <v>https://raw.githubusercontent.com/PokeAPI/sprites/master/sprites/pokemon/other/official-artwork/shiny/428.png</v>
          </cell>
        </row>
        <row r="567">
          <cell r="A567">
            <v>428</v>
          </cell>
          <cell r="C567" t="str">
            <v>Lopunny Mega</v>
          </cell>
          <cell r="D567" t="str">
            <v>Mega</v>
          </cell>
          <cell r="E567" t="str">
            <v>normal</v>
          </cell>
          <cell r="F567" t="str">
            <v>fighting</v>
          </cell>
          <cell r="G567">
            <v>65</v>
          </cell>
          <cell r="H567">
            <v>136</v>
          </cell>
          <cell r="I567">
            <v>94</v>
          </cell>
          <cell r="J567">
            <v>54</v>
          </cell>
          <cell r="K567">
            <v>96</v>
          </cell>
          <cell r="L567">
            <v>135</v>
          </cell>
          <cell r="M567">
            <v>580</v>
          </cell>
          <cell r="N567" t="str">
            <v>scrappy</v>
          </cell>
          <cell r="Q567">
            <v>1.3</v>
          </cell>
          <cell r="R567">
            <v>28.3</v>
          </cell>
          <cell r="S567" t="str">
            <v>An extremely cautious Pokémon. It cloaks its body with its fluffy ear fur when it senses danger.</v>
          </cell>
          <cell r="T567" t="str">
            <v>https://raw.githubusercontent.com/PokeAPI/sprites/master/sprites/pokemon/other/official-artwork/10088.png</v>
          </cell>
          <cell r="U567" t="str">
            <v>https://raw.githubusercontent.com/PokeAPI/sprites/master/sprites/pokemon/other/official-artwork/shiny/10088.png</v>
          </cell>
        </row>
        <row r="568">
          <cell r="A568">
            <v>429</v>
          </cell>
          <cell r="C568" t="str">
            <v>Mismagius</v>
          </cell>
          <cell r="D568" t="str">
            <v>Standard</v>
          </cell>
          <cell r="E568" t="str">
            <v>ghost</v>
          </cell>
          <cell r="G568">
            <v>60</v>
          </cell>
          <cell r="H568">
            <v>60</v>
          </cell>
          <cell r="I568">
            <v>60</v>
          </cell>
          <cell r="J568">
            <v>105</v>
          </cell>
          <cell r="K568">
            <v>105</v>
          </cell>
          <cell r="L568">
            <v>105</v>
          </cell>
          <cell r="M568">
            <v>495</v>
          </cell>
          <cell r="N568" t="str">
            <v>levitate</v>
          </cell>
          <cell r="Q568">
            <v>0.9</v>
          </cell>
          <cell r="R568">
            <v>4.4000000000000004</v>
          </cell>
          <cell r="S568" t="str">
            <v>Its cries sound like incantations. Those hearing it are tormented by headaches and hallucinations.</v>
          </cell>
          <cell r="T568" t="str">
            <v>https://raw.githubusercontent.com/PokeAPI/sprites/master/sprites/pokemon/other/official-artwork/429.png</v>
          </cell>
          <cell r="U568" t="str">
            <v>https://raw.githubusercontent.com/PokeAPI/sprites/master/sprites/pokemon/other/official-artwork/shiny/429.png</v>
          </cell>
        </row>
        <row r="569">
          <cell r="A569">
            <v>430</v>
          </cell>
          <cell r="C569" t="str">
            <v>Honchkrow</v>
          </cell>
          <cell r="D569" t="str">
            <v>Standard</v>
          </cell>
          <cell r="E569" t="str">
            <v>dark</v>
          </cell>
          <cell r="F569" t="str">
            <v>flying</v>
          </cell>
          <cell r="G569">
            <v>100</v>
          </cell>
          <cell r="H569">
            <v>125</v>
          </cell>
          <cell r="I569">
            <v>52</v>
          </cell>
          <cell r="J569">
            <v>105</v>
          </cell>
          <cell r="K569">
            <v>52</v>
          </cell>
          <cell r="L569">
            <v>71</v>
          </cell>
          <cell r="M569">
            <v>505</v>
          </cell>
          <cell r="N569" t="str">
            <v>insomnia</v>
          </cell>
          <cell r="O569" t="str">
            <v>super-luck</v>
          </cell>
          <cell r="P569" t="str">
            <v>moxie</v>
          </cell>
          <cell r="Q569">
            <v>0.9</v>
          </cell>
          <cell r="R569">
            <v>27.3</v>
          </cell>
          <cell r="S569" t="str">
            <v>Becoming active at night, it is known to swarm with numerous MURKROW in tow.</v>
          </cell>
          <cell r="T569" t="str">
            <v>https://raw.githubusercontent.com/PokeAPI/sprites/master/sprites/pokemon/other/official-artwork/430.png</v>
          </cell>
          <cell r="U569" t="str">
            <v>https://raw.githubusercontent.com/PokeAPI/sprites/master/sprites/pokemon/other/official-artwork/shiny/430.png</v>
          </cell>
        </row>
        <row r="570">
          <cell r="A570">
            <v>431</v>
          </cell>
          <cell r="C570" t="str">
            <v>Glameow</v>
          </cell>
          <cell r="D570" t="str">
            <v>Standard</v>
          </cell>
          <cell r="E570" t="str">
            <v>normal</v>
          </cell>
          <cell r="G570">
            <v>49</v>
          </cell>
          <cell r="H570">
            <v>55</v>
          </cell>
          <cell r="I570">
            <v>42</v>
          </cell>
          <cell r="J570">
            <v>42</v>
          </cell>
          <cell r="K570">
            <v>37</v>
          </cell>
          <cell r="L570">
            <v>85</v>
          </cell>
          <cell r="M570">
            <v>310</v>
          </cell>
          <cell r="N570" t="str">
            <v>limber</v>
          </cell>
          <cell r="O570" t="str">
            <v>own-tempo</v>
          </cell>
          <cell r="P570" t="str">
            <v>keen-eye</v>
          </cell>
          <cell r="Q570">
            <v>0.5</v>
          </cell>
          <cell r="R570">
            <v>3.9</v>
          </cell>
          <cell r="S570" t="str">
            <v>It claws if displeased and purrs when affectionate. Its fickleness is very popular among some.</v>
          </cell>
          <cell r="T570" t="str">
            <v>https://raw.githubusercontent.com/PokeAPI/sprites/master/sprites/pokemon/other/official-artwork/431.png</v>
          </cell>
          <cell r="U570" t="str">
            <v>https://raw.githubusercontent.com/PokeAPI/sprites/master/sprites/pokemon/other/official-artwork/shiny/431.png</v>
          </cell>
        </row>
        <row r="571">
          <cell r="A571">
            <v>432</v>
          </cell>
          <cell r="C571" t="str">
            <v>Purugly</v>
          </cell>
          <cell r="D571" t="str">
            <v>Standard</v>
          </cell>
          <cell r="E571" t="str">
            <v>normal</v>
          </cell>
          <cell r="G571">
            <v>71</v>
          </cell>
          <cell r="H571">
            <v>82</v>
          </cell>
          <cell r="I571">
            <v>64</v>
          </cell>
          <cell r="J571">
            <v>64</v>
          </cell>
          <cell r="K571">
            <v>59</v>
          </cell>
          <cell r="L571">
            <v>112</v>
          </cell>
          <cell r="M571">
            <v>452</v>
          </cell>
          <cell r="N571" t="str">
            <v>thick-fat</v>
          </cell>
          <cell r="O571" t="str">
            <v>own-tempo</v>
          </cell>
          <cell r="P571" t="str">
            <v>defiant</v>
          </cell>
          <cell r="Q571">
            <v>1</v>
          </cell>
          <cell r="R571">
            <v>43.8</v>
          </cell>
          <cell r="S571" t="str">
            <v>It is a brazen brute that barges its way into another Pokémon’s nest and claims it as its own.</v>
          </cell>
          <cell r="T571" t="str">
            <v>https://raw.githubusercontent.com/PokeAPI/sprites/master/sprites/pokemon/other/official-artwork/432.png</v>
          </cell>
          <cell r="U571" t="str">
            <v>https://raw.githubusercontent.com/PokeAPI/sprites/master/sprites/pokemon/other/official-artwork/shiny/432.png</v>
          </cell>
        </row>
        <row r="572">
          <cell r="A572">
            <v>433</v>
          </cell>
          <cell r="C572" t="str">
            <v>Chingling</v>
          </cell>
          <cell r="D572" t="str">
            <v>Standard</v>
          </cell>
          <cell r="E572" t="str">
            <v>psychic</v>
          </cell>
          <cell r="G572">
            <v>45</v>
          </cell>
          <cell r="H572">
            <v>30</v>
          </cell>
          <cell r="I572">
            <v>50</v>
          </cell>
          <cell r="J572">
            <v>65</v>
          </cell>
          <cell r="K572">
            <v>50</v>
          </cell>
          <cell r="L572">
            <v>45</v>
          </cell>
          <cell r="M572">
            <v>285</v>
          </cell>
          <cell r="N572" t="str">
            <v>levitate</v>
          </cell>
          <cell r="Q572">
            <v>0.2</v>
          </cell>
          <cell r="R572">
            <v>0.6</v>
          </cell>
          <cell r="S572" t="str">
            <v>It emits cries by agitating an orb at the back of its throat. It moves with flouncing hops.</v>
          </cell>
          <cell r="T572" t="str">
            <v>https://raw.githubusercontent.com/PokeAPI/sprites/master/sprites/pokemon/other/official-artwork/433.png</v>
          </cell>
          <cell r="U572" t="str">
            <v>https://raw.githubusercontent.com/PokeAPI/sprites/master/sprites/pokemon/other/official-artwork/shiny/433.png</v>
          </cell>
        </row>
        <row r="573">
          <cell r="A573">
            <v>434</v>
          </cell>
          <cell r="C573" t="str">
            <v>Stunky</v>
          </cell>
          <cell r="D573" t="str">
            <v>Standard</v>
          </cell>
          <cell r="E573" t="str">
            <v>poison</v>
          </cell>
          <cell r="F573" t="str">
            <v>dark</v>
          </cell>
          <cell r="G573">
            <v>63</v>
          </cell>
          <cell r="H573">
            <v>63</v>
          </cell>
          <cell r="I573">
            <v>47</v>
          </cell>
          <cell r="J573">
            <v>41</v>
          </cell>
          <cell r="K573">
            <v>41</v>
          </cell>
          <cell r="L573">
            <v>74</v>
          </cell>
          <cell r="M573">
            <v>329</v>
          </cell>
          <cell r="N573" t="str">
            <v>stench</v>
          </cell>
          <cell r="O573" t="str">
            <v>aftermath</v>
          </cell>
          <cell r="P573" t="str">
            <v>keen-eye</v>
          </cell>
          <cell r="Q573">
            <v>0.4</v>
          </cell>
          <cell r="R573">
            <v>19.2</v>
          </cell>
          <cell r="S573" t="str">
            <v>It protects itself by spraying a noxious fluid from its rear. The stench lingers for 24 hours.</v>
          </cell>
          <cell r="T573" t="str">
            <v>https://raw.githubusercontent.com/PokeAPI/sprites/master/sprites/pokemon/other/official-artwork/434.png</v>
          </cell>
          <cell r="U573" t="str">
            <v>https://raw.githubusercontent.com/PokeAPI/sprites/master/sprites/pokemon/other/official-artwork/shiny/434.png</v>
          </cell>
        </row>
        <row r="574">
          <cell r="A574">
            <v>435</v>
          </cell>
          <cell r="C574" t="str">
            <v>Skuntank</v>
          </cell>
          <cell r="D574" t="str">
            <v>Standard</v>
          </cell>
          <cell r="E574" t="str">
            <v>poison</v>
          </cell>
          <cell r="F574" t="str">
            <v>dark</v>
          </cell>
          <cell r="G574">
            <v>103</v>
          </cell>
          <cell r="H574">
            <v>93</v>
          </cell>
          <cell r="I574">
            <v>67</v>
          </cell>
          <cell r="J574">
            <v>71</v>
          </cell>
          <cell r="K574">
            <v>61</v>
          </cell>
          <cell r="L574">
            <v>84</v>
          </cell>
          <cell r="M574">
            <v>479</v>
          </cell>
          <cell r="N574" t="str">
            <v>stench</v>
          </cell>
          <cell r="O574" t="str">
            <v>aftermath</v>
          </cell>
          <cell r="P574" t="str">
            <v>keen-eye</v>
          </cell>
          <cell r="Q574">
            <v>1</v>
          </cell>
          <cell r="R574">
            <v>38</v>
          </cell>
          <cell r="S574" t="str">
            <v>It sprays a vile-smelling fluid from the tip of its tail to attack. Its range is over 160 feet.</v>
          </cell>
          <cell r="T574" t="str">
            <v>https://raw.githubusercontent.com/PokeAPI/sprites/master/sprites/pokemon/other/official-artwork/435.png</v>
          </cell>
          <cell r="U574" t="str">
            <v>https://raw.githubusercontent.com/PokeAPI/sprites/master/sprites/pokemon/other/official-artwork/shiny/435.png</v>
          </cell>
        </row>
        <row r="575">
          <cell r="A575">
            <v>436</v>
          </cell>
          <cell r="C575" t="str">
            <v>Bronzor</v>
          </cell>
          <cell r="D575" t="str">
            <v>Standard</v>
          </cell>
          <cell r="E575" t="str">
            <v>steel</v>
          </cell>
          <cell r="F575" t="str">
            <v>psychic</v>
          </cell>
          <cell r="G575">
            <v>57</v>
          </cell>
          <cell r="H575">
            <v>24</v>
          </cell>
          <cell r="I575">
            <v>86</v>
          </cell>
          <cell r="J575">
            <v>24</v>
          </cell>
          <cell r="K575">
            <v>86</v>
          </cell>
          <cell r="L575">
            <v>23</v>
          </cell>
          <cell r="M575">
            <v>300</v>
          </cell>
          <cell r="N575" t="str">
            <v>levitate</v>
          </cell>
          <cell r="O575" t="str">
            <v>heatproof</v>
          </cell>
          <cell r="P575" t="str">
            <v>heavy-metal</v>
          </cell>
          <cell r="Q575">
            <v>0.5</v>
          </cell>
          <cell r="R575">
            <v>60.5</v>
          </cell>
          <cell r="S575" t="str">
            <v>Implements shaped like it were discovered in ancient tombs. It is unknown if they are related.</v>
          </cell>
          <cell r="T575" t="str">
            <v>https://raw.githubusercontent.com/PokeAPI/sprites/master/sprites/pokemon/other/official-artwork/436.png</v>
          </cell>
          <cell r="U575" t="str">
            <v>https://raw.githubusercontent.com/PokeAPI/sprites/master/sprites/pokemon/other/official-artwork/shiny/436.png</v>
          </cell>
        </row>
        <row r="576">
          <cell r="A576">
            <v>437</v>
          </cell>
          <cell r="C576" t="str">
            <v>Bronzong</v>
          </cell>
          <cell r="D576" t="str">
            <v>Standard</v>
          </cell>
          <cell r="E576" t="str">
            <v>steel</v>
          </cell>
          <cell r="F576" t="str">
            <v>psychic</v>
          </cell>
          <cell r="G576">
            <v>67</v>
          </cell>
          <cell r="H576">
            <v>89</v>
          </cell>
          <cell r="I576">
            <v>116</v>
          </cell>
          <cell r="J576">
            <v>79</v>
          </cell>
          <cell r="K576">
            <v>116</v>
          </cell>
          <cell r="L576">
            <v>33</v>
          </cell>
          <cell r="M576">
            <v>500</v>
          </cell>
          <cell r="N576" t="str">
            <v>levitate</v>
          </cell>
          <cell r="O576" t="str">
            <v>heatproof</v>
          </cell>
          <cell r="P576" t="str">
            <v>heavy-metal</v>
          </cell>
          <cell r="Q576">
            <v>1.3</v>
          </cell>
          <cell r="R576">
            <v>187</v>
          </cell>
          <cell r="S576" t="str">
            <v>One caused a news sensation when it was dug up at a construction site after a 2,000-year sleep.</v>
          </cell>
          <cell r="T576" t="str">
            <v>https://raw.githubusercontent.com/PokeAPI/sprites/master/sprites/pokemon/other/official-artwork/437.png</v>
          </cell>
          <cell r="U576" t="str">
            <v>https://raw.githubusercontent.com/PokeAPI/sprites/master/sprites/pokemon/other/official-artwork/shiny/437.png</v>
          </cell>
        </row>
        <row r="577">
          <cell r="A577">
            <v>438</v>
          </cell>
          <cell r="C577" t="str">
            <v>Bonsly</v>
          </cell>
          <cell r="D577" t="str">
            <v>Standard</v>
          </cell>
          <cell r="E577" t="str">
            <v>rock</v>
          </cell>
          <cell r="G577">
            <v>50</v>
          </cell>
          <cell r="H577">
            <v>80</v>
          </cell>
          <cell r="I577">
            <v>95</v>
          </cell>
          <cell r="J577">
            <v>10</v>
          </cell>
          <cell r="K577">
            <v>45</v>
          </cell>
          <cell r="L577">
            <v>10</v>
          </cell>
          <cell r="M577">
            <v>290</v>
          </cell>
          <cell r="N577" t="str">
            <v>sturdy</v>
          </cell>
          <cell r="O577" t="str">
            <v>rock-head</v>
          </cell>
          <cell r="P577" t="str">
            <v>rattled</v>
          </cell>
          <cell r="Q577">
            <v>0.5</v>
          </cell>
          <cell r="R577">
            <v>15</v>
          </cell>
          <cell r="S577" t="str">
            <v>It looks as if it is always crying. It is actually adjusting its body’s fluid levels by eliminating excess.</v>
          </cell>
          <cell r="T577" t="str">
            <v>https://raw.githubusercontent.com/PokeAPI/sprites/master/sprites/pokemon/other/official-artwork/438.png</v>
          </cell>
          <cell r="U577" t="str">
            <v>https://raw.githubusercontent.com/PokeAPI/sprites/master/sprites/pokemon/other/official-artwork/shiny/438.png</v>
          </cell>
        </row>
        <row r="578">
          <cell r="A578">
            <v>439</v>
          </cell>
          <cell r="C578" t="str">
            <v>Mime Jr</v>
          </cell>
          <cell r="D578" t="str">
            <v>Other</v>
          </cell>
          <cell r="E578" t="str">
            <v>psychic</v>
          </cell>
          <cell r="F578" t="str">
            <v>fairy</v>
          </cell>
          <cell r="G578">
            <v>20</v>
          </cell>
          <cell r="H578">
            <v>25</v>
          </cell>
          <cell r="I578">
            <v>45</v>
          </cell>
          <cell r="J578">
            <v>70</v>
          </cell>
          <cell r="K578">
            <v>90</v>
          </cell>
          <cell r="L578">
            <v>60</v>
          </cell>
          <cell r="M578">
            <v>310</v>
          </cell>
          <cell r="N578" t="str">
            <v>soundproof</v>
          </cell>
          <cell r="O578" t="str">
            <v>filter</v>
          </cell>
          <cell r="P578" t="str">
            <v>technician</v>
          </cell>
          <cell r="Q578">
            <v>0.6</v>
          </cell>
          <cell r="R578">
            <v>13</v>
          </cell>
          <cell r="S578" t="str">
            <v>It habitually mimics foes. Once mimicked, the foe cannot take its eyes off this Pokémon.</v>
          </cell>
          <cell r="T578" t="str">
            <v>https://raw.githubusercontent.com/PokeAPI/sprites/master/sprites/pokemon/other/official-artwork/439.png</v>
          </cell>
          <cell r="U578" t="str">
            <v>https://raw.githubusercontent.com/PokeAPI/sprites/master/sprites/pokemon/other/official-artwork/shiny/439.png</v>
          </cell>
        </row>
        <row r="579">
          <cell r="A579">
            <v>440</v>
          </cell>
          <cell r="C579" t="str">
            <v>Happiny</v>
          </cell>
          <cell r="D579" t="str">
            <v>Standard</v>
          </cell>
          <cell r="E579" t="str">
            <v>normal</v>
          </cell>
          <cell r="G579">
            <v>100</v>
          </cell>
          <cell r="H579">
            <v>5</v>
          </cell>
          <cell r="I579">
            <v>5</v>
          </cell>
          <cell r="J579">
            <v>15</v>
          </cell>
          <cell r="K579">
            <v>65</v>
          </cell>
          <cell r="L579">
            <v>30</v>
          </cell>
          <cell r="M579">
            <v>220</v>
          </cell>
          <cell r="N579" t="str">
            <v>natural-cure</v>
          </cell>
          <cell r="O579" t="str">
            <v>serene-grace</v>
          </cell>
          <cell r="P579" t="str">
            <v>friend-guard</v>
          </cell>
          <cell r="Q579">
            <v>0.6</v>
          </cell>
          <cell r="R579">
            <v>24.4</v>
          </cell>
          <cell r="S579" t="str">
            <v>It loves round white things. It carries an egg-shaped rock in imitation of CHANSEY.</v>
          </cell>
          <cell r="T579" t="str">
            <v>https://raw.githubusercontent.com/PokeAPI/sprites/master/sprites/pokemon/other/official-artwork/440.png</v>
          </cell>
          <cell r="U579" t="str">
            <v>https://raw.githubusercontent.com/PokeAPI/sprites/master/sprites/pokemon/other/official-artwork/shiny/440.png</v>
          </cell>
        </row>
        <row r="580">
          <cell r="A580">
            <v>441</v>
          </cell>
          <cell r="C580" t="str">
            <v>Chatot</v>
          </cell>
          <cell r="D580" t="str">
            <v>Standard</v>
          </cell>
          <cell r="E580" t="str">
            <v>normal</v>
          </cell>
          <cell r="F580" t="str">
            <v>flying</v>
          </cell>
          <cell r="G580">
            <v>76</v>
          </cell>
          <cell r="H580">
            <v>65</v>
          </cell>
          <cell r="I580">
            <v>45</v>
          </cell>
          <cell r="J580">
            <v>92</v>
          </cell>
          <cell r="K580">
            <v>42</v>
          </cell>
          <cell r="L580">
            <v>91</v>
          </cell>
          <cell r="M580">
            <v>411</v>
          </cell>
          <cell r="N580" t="str">
            <v>keen-eye</v>
          </cell>
          <cell r="O580" t="str">
            <v>tangled-feet</v>
          </cell>
          <cell r="P580" t="str">
            <v>big-pecks</v>
          </cell>
          <cell r="Q580">
            <v>0.5</v>
          </cell>
          <cell r="R580">
            <v>1.9</v>
          </cell>
          <cell r="S580" t="str">
            <v>It can learn and speak human words. If they gather, they all learn the same saying.</v>
          </cell>
          <cell r="T580" t="str">
            <v>https://raw.githubusercontent.com/PokeAPI/sprites/master/sprites/pokemon/other/official-artwork/441.png</v>
          </cell>
          <cell r="U580" t="str">
            <v>https://raw.githubusercontent.com/PokeAPI/sprites/master/sprites/pokemon/other/official-artwork/shiny/441.png</v>
          </cell>
        </row>
        <row r="581">
          <cell r="A581">
            <v>442</v>
          </cell>
          <cell r="C581" t="str">
            <v>Spiritomb</v>
          </cell>
          <cell r="D581" t="str">
            <v>Standard</v>
          </cell>
          <cell r="E581" t="str">
            <v>ghost</v>
          </cell>
          <cell r="F581" t="str">
            <v>dark</v>
          </cell>
          <cell r="G581">
            <v>50</v>
          </cell>
          <cell r="H581">
            <v>92</v>
          </cell>
          <cell r="I581">
            <v>108</v>
          </cell>
          <cell r="J581">
            <v>92</v>
          </cell>
          <cell r="K581">
            <v>108</v>
          </cell>
          <cell r="L581">
            <v>35</v>
          </cell>
          <cell r="M581">
            <v>485</v>
          </cell>
          <cell r="N581" t="str">
            <v>pressure</v>
          </cell>
          <cell r="P581" t="str">
            <v>infiltrator</v>
          </cell>
          <cell r="Q581">
            <v>1</v>
          </cell>
          <cell r="R581">
            <v>108</v>
          </cell>
          <cell r="S581" t="str">
            <v>A Pokémon that was formed by 108 spirits. It is bound to a fissure in an odd keystone.</v>
          </cell>
          <cell r="T581" t="str">
            <v>https://raw.githubusercontent.com/PokeAPI/sprites/master/sprites/pokemon/other/official-artwork/442.png</v>
          </cell>
          <cell r="U581" t="str">
            <v>https://raw.githubusercontent.com/PokeAPI/sprites/master/sprites/pokemon/other/official-artwork/shiny/442.png</v>
          </cell>
        </row>
        <row r="582">
          <cell r="A582">
            <v>443</v>
          </cell>
          <cell r="C582" t="str">
            <v>Gible</v>
          </cell>
          <cell r="D582" t="str">
            <v>Standard</v>
          </cell>
          <cell r="E582" t="str">
            <v>dragon</v>
          </cell>
          <cell r="F582" t="str">
            <v>ground</v>
          </cell>
          <cell r="G582">
            <v>58</v>
          </cell>
          <cell r="H582">
            <v>70</v>
          </cell>
          <cell r="I582">
            <v>45</v>
          </cell>
          <cell r="J582">
            <v>40</v>
          </cell>
          <cell r="K582">
            <v>45</v>
          </cell>
          <cell r="L582">
            <v>42</v>
          </cell>
          <cell r="M582">
            <v>300</v>
          </cell>
          <cell r="N582" t="str">
            <v>sand-veil</v>
          </cell>
          <cell r="P582" t="str">
            <v>rough-skin</v>
          </cell>
          <cell r="Q582">
            <v>0.7</v>
          </cell>
          <cell r="R582">
            <v>20.5</v>
          </cell>
          <cell r="S582" t="str">
            <v>It nests in small, horizontal holes in cave walls. It pounces to catch prey that stray too close.</v>
          </cell>
          <cell r="T582" t="str">
            <v>https://raw.githubusercontent.com/PokeAPI/sprites/master/sprites/pokemon/other/official-artwork/443.png</v>
          </cell>
          <cell r="U582" t="str">
            <v>https://raw.githubusercontent.com/PokeAPI/sprites/master/sprites/pokemon/other/official-artwork/shiny/443.png</v>
          </cell>
        </row>
        <row r="583">
          <cell r="A583">
            <v>444</v>
          </cell>
          <cell r="C583" t="str">
            <v>Gabite</v>
          </cell>
          <cell r="D583" t="str">
            <v>Standard</v>
          </cell>
          <cell r="E583" t="str">
            <v>dragon</v>
          </cell>
          <cell r="F583" t="str">
            <v>ground</v>
          </cell>
          <cell r="G583">
            <v>68</v>
          </cell>
          <cell r="H583">
            <v>90</v>
          </cell>
          <cell r="I583">
            <v>65</v>
          </cell>
          <cell r="J583">
            <v>50</v>
          </cell>
          <cell r="K583">
            <v>55</v>
          </cell>
          <cell r="L583">
            <v>82</v>
          </cell>
          <cell r="M583">
            <v>410</v>
          </cell>
          <cell r="N583" t="str">
            <v>sand-veil</v>
          </cell>
          <cell r="P583" t="str">
            <v>rough-skin</v>
          </cell>
          <cell r="Q583">
            <v>1.4</v>
          </cell>
          <cell r="R583">
            <v>56</v>
          </cell>
          <cell r="S583" t="str">
            <v>There is a long-held belief that medicine made from its scales will heal even incurable illnesses.</v>
          </cell>
          <cell r="T583" t="str">
            <v>https://raw.githubusercontent.com/PokeAPI/sprites/master/sprites/pokemon/other/official-artwork/444.png</v>
          </cell>
          <cell r="U583" t="str">
            <v>https://raw.githubusercontent.com/PokeAPI/sprites/master/sprites/pokemon/other/official-artwork/shiny/444.png</v>
          </cell>
        </row>
        <row r="584">
          <cell r="A584">
            <v>445</v>
          </cell>
          <cell r="C584" t="str">
            <v>Garchomp</v>
          </cell>
          <cell r="D584" t="str">
            <v>Standard</v>
          </cell>
          <cell r="E584" t="str">
            <v>dragon</v>
          </cell>
          <cell r="F584" t="str">
            <v>ground</v>
          </cell>
          <cell r="G584">
            <v>108</v>
          </cell>
          <cell r="H584">
            <v>130</v>
          </cell>
          <cell r="I584">
            <v>95</v>
          </cell>
          <cell r="J584">
            <v>80</v>
          </cell>
          <cell r="K584">
            <v>85</v>
          </cell>
          <cell r="L584">
            <v>102</v>
          </cell>
          <cell r="M584">
            <v>600</v>
          </cell>
          <cell r="N584" t="str">
            <v>sand-veil</v>
          </cell>
          <cell r="P584" t="str">
            <v>rough-skin</v>
          </cell>
          <cell r="Q584">
            <v>1.9</v>
          </cell>
          <cell r="R584">
            <v>95</v>
          </cell>
          <cell r="S584" t="str">
            <v>When it folds up its body and extends its wings, it looks like a jet plane. It flies at sonic speed.</v>
          </cell>
          <cell r="T584" t="str">
            <v>https://raw.githubusercontent.com/PokeAPI/sprites/master/sprites/pokemon/other/official-artwork/445.png</v>
          </cell>
          <cell r="U584" t="str">
            <v>https://raw.githubusercontent.com/PokeAPI/sprites/master/sprites/pokemon/other/official-artwork/shiny/445.png</v>
          </cell>
        </row>
        <row r="585">
          <cell r="A585">
            <v>445</v>
          </cell>
          <cell r="C585" t="str">
            <v>Garchomp Mega</v>
          </cell>
          <cell r="D585" t="str">
            <v>Mega</v>
          </cell>
          <cell r="E585" t="str">
            <v>dragon</v>
          </cell>
          <cell r="F585" t="str">
            <v>ground</v>
          </cell>
          <cell r="G585">
            <v>108</v>
          </cell>
          <cell r="H585">
            <v>170</v>
          </cell>
          <cell r="I585">
            <v>115</v>
          </cell>
          <cell r="J585">
            <v>120</v>
          </cell>
          <cell r="K585">
            <v>95</v>
          </cell>
          <cell r="L585">
            <v>92</v>
          </cell>
          <cell r="M585">
            <v>700</v>
          </cell>
          <cell r="N585" t="str">
            <v>sand-force</v>
          </cell>
          <cell r="Q585">
            <v>1.9</v>
          </cell>
          <cell r="R585">
            <v>95</v>
          </cell>
          <cell r="S585" t="str">
            <v>When it folds up its body and extends its wings, it looks like a jet plane. It flies at sonic speed.</v>
          </cell>
          <cell r="T585" t="str">
            <v>https://raw.githubusercontent.com/PokeAPI/sprites/master/sprites/pokemon/other/official-artwork/10058.png</v>
          </cell>
          <cell r="U585" t="str">
            <v>https://raw.githubusercontent.com/PokeAPI/sprites/master/sprites/pokemon/other/official-artwork/shiny/10058.png</v>
          </cell>
        </row>
        <row r="586">
          <cell r="A586">
            <v>445</v>
          </cell>
          <cell r="C586" t="str">
            <v>Garchomp Mega Z</v>
          </cell>
          <cell r="D586" t="str">
            <v>Mega</v>
          </cell>
          <cell r="E586" t="str">
            <v>dragon</v>
          </cell>
          <cell r="G586">
            <v>108</v>
          </cell>
          <cell r="H586">
            <v>130</v>
          </cell>
          <cell r="I586">
            <v>85</v>
          </cell>
          <cell r="J586">
            <v>141</v>
          </cell>
          <cell r="K586">
            <v>85</v>
          </cell>
          <cell r="L586">
            <v>151</v>
          </cell>
          <cell r="M586">
            <v>700</v>
          </cell>
          <cell r="Q586">
            <v>1.9</v>
          </cell>
          <cell r="R586">
            <v>99</v>
          </cell>
          <cell r="S586" t="str">
            <v>When it folds up its body and extends its wings, it looks like a jet plane. It flies at sonic speed.</v>
          </cell>
        </row>
        <row r="587">
          <cell r="A587">
            <v>446</v>
          </cell>
          <cell r="C587" t="str">
            <v>Munchlax</v>
          </cell>
          <cell r="D587" t="str">
            <v>Standard</v>
          </cell>
          <cell r="E587" t="str">
            <v>normal</v>
          </cell>
          <cell r="G587">
            <v>135</v>
          </cell>
          <cell r="H587">
            <v>85</v>
          </cell>
          <cell r="I587">
            <v>40</v>
          </cell>
          <cell r="J587">
            <v>40</v>
          </cell>
          <cell r="K587">
            <v>85</v>
          </cell>
          <cell r="L587">
            <v>5</v>
          </cell>
          <cell r="M587">
            <v>390</v>
          </cell>
          <cell r="N587" t="str">
            <v>pickup</v>
          </cell>
          <cell r="O587" t="str">
            <v>thick-fat</v>
          </cell>
          <cell r="P587" t="str">
            <v>gluttony</v>
          </cell>
          <cell r="Q587">
            <v>0.6</v>
          </cell>
          <cell r="R587">
            <v>105</v>
          </cell>
          <cell r="S587" t="str">
            <v>It wolfs down its weight in food once a day, swallowing food whole with almost no chewing.</v>
          </cell>
          <cell r="T587" t="str">
            <v>https://raw.githubusercontent.com/PokeAPI/sprites/master/sprites/pokemon/other/official-artwork/446.png</v>
          </cell>
          <cell r="U587" t="str">
            <v>https://raw.githubusercontent.com/PokeAPI/sprites/master/sprites/pokemon/other/official-artwork/shiny/446.png</v>
          </cell>
        </row>
        <row r="588">
          <cell r="A588">
            <v>447</v>
          </cell>
          <cell r="C588" t="str">
            <v>Riolu</v>
          </cell>
          <cell r="D588" t="str">
            <v>Standard</v>
          </cell>
          <cell r="E588" t="str">
            <v>fighting</v>
          </cell>
          <cell r="G588">
            <v>40</v>
          </cell>
          <cell r="H588">
            <v>70</v>
          </cell>
          <cell r="I588">
            <v>40</v>
          </cell>
          <cell r="J588">
            <v>35</v>
          </cell>
          <cell r="K588">
            <v>40</v>
          </cell>
          <cell r="L588">
            <v>60</v>
          </cell>
          <cell r="M588">
            <v>285</v>
          </cell>
          <cell r="N588" t="str">
            <v>steadfast</v>
          </cell>
          <cell r="O588" t="str">
            <v>inner-focus</v>
          </cell>
          <cell r="P588" t="str">
            <v>prankster</v>
          </cell>
          <cell r="Q588">
            <v>0.7</v>
          </cell>
          <cell r="R588">
            <v>20.2</v>
          </cell>
          <cell r="S588" t="str">
            <v>The aura that emanates from its body intensifies to alert others if it is afraid or sad.</v>
          </cell>
          <cell r="T588" t="str">
            <v>https://raw.githubusercontent.com/PokeAPI/sprites/master/sprites/pokemon/other/official-artwork/447.png</v>
          </cell>
          <cell r="U588" t="str">
            <v>https://raw.githubusercontent.com/PokeAPI/sprites/master/sprites/pokemon/other/official-artwork/shiny/447.png</v>
          </cell>
        </row>
        <row r="589">
          <cell r="A589">
            <v>448</v>
          </cell>
          <cell r="C589" t="str">
            <v>Lucario</v>
          </cell>
          <cell r="D589" t="str">
            <v>Standard</v>
          </cell>
          <cell r="E589" t="str">
            <v>fighting</v>
          </cell>
          <cell r="F589" t="str">
            <v>steel</v>
          </cell>
          <cell r="G589">
            <v>70</v>
          </cell>
          <cell r="H589">
            <v>110</v>
          </cell>
          <cell r="I589">
            <v>70</v>
          </cell>
          <cell r="J589">
            <v>115</v>
          </cell>
          <cell r="K589">
            <v>70</v>
          </cell>
          <cell r="L589">
            <v>90</v>
          </cell>
          <cell r="M589">
            <v>525</v>
          </cell>
          <cell r="N589" t="str">
            <v>steadfast</v>
          </cell>
          <cell r="O589" t="str">
            <v>inner-focus</v>
          </cell>
          <cell r="P589" t="str">
            <v>justified</v>
          </cell>
          <cell r="Q589">
            <v>1.2</v>
          </cell>
          <cell r="R589">
            <v>54</v>
          </cell>
          <cell r="S589" t="str">
            <v>It has the ability to sense the auras of all things. It understands human speech.</v>
          </cell>
          <cell r="T589" t="str">
            <v>https://raw.githubusercontent.com/PokeAPI/sprites/master/sprites/pokemon/other/official-artwork/448.png</v>
          </cell>
          <cell r="U589" t="str">
            <v>https://raw.githubusercontent.com/PokeAPI/sprites/master/sprites/pokemon/other/official-artwork/shiny/448.png</v>
          </cell>
        </row>
        <row r="590">
          <cell r="A590">
            <v>448</v>
          </cell>
          <cell r="C590" t="str">
            <v>Lucario Mega</v>
          </cell>
          <cell r="D590" t="str">
            <v>Mega</v>
          </cell>
          <cell r="E590" t="str">
            <v>fighting</v>
          </cell>
          <cell r="F590" t="str">
            <v>steel</v>
          </cell>
          <cell r="G590">
            <v>70</v>
          </cell>
          <cell r="H590">
            <v>145</v>
          </cell>
          <cell r="I590">
            <v>88</v>
          </cell>
          <cell r="J590">
            <v>140</v>
          </cell>
          <cell r="K590">
            <v>70</v>
          </cell>
          <cell r="L590">
            <v>112</v>
          </cell>
          <cell r="M590">
            <v>625</v>
          </cell>
          <cell r="N590" t="str">
            <v>adaptability</v>
          </cell>
          <cell r="Q590">
            <v>1.3</v>
          </cell>
          <cell r="R590">
            <v>57.5</v>
          </cell>
          <cell r="S590" t="str">
            <v>It has the ability to sense the auras of all things. It understands human speech.</v>
          </cell>
          <cell r="T590" t="str">
            <v>https://raw.githubusercontent.com/PokeAPI/sprites/master/sprites/pokemon/other/official-artwork/10059.png</v>
          </cell>
          <cell r="U590" t="str">
            <v>https://raw.githubusercontent.com/PokeAPI/sprites/master/sprites/pokemon/other/official-artwork/shiny/10059.png</v>
          </cell>
        </row>
        <row r="591">
          <cell r="A591">
            <v>448</v>
          </cell>
          <cell r="C591" t="str">
            <v>Lucario Mega Z</v>
          </cell>
          <cell r="D591" t="str">
            <v>Mega</v>
          </cell>
          <cell r="E591" t="str">
            <v>fighting</v>
          </cell>
          <cell r="F591" t="str">
            <v>steel</v>
          </cell>
          <cell r="G591">
            <v>70</v>
          </cell>
          <cell r="H591">
            <v>100</v>
          </cell>
          <cell r="I591">
            <v>70</v>
          </cell>
          <cell r="J591">
            <v>164</v>
          </cell>
          <cell r="K591">
            <v>70</v>
          </cell>
          <cell r="L591">
            <v>151</v>
          </cell>
          <cell r="M591">
            <v>625</v>
          </cell>
          <cell r="Q591">
            <v>1.3</v>
          </cell>
          <cell r="R591">
            <v>49.4</v>
          </cell>
          <cell r="S591" t="str">
            <v>It has the ability to sense the auras of all things. It understands human speech.</v>
          </cell>
        </row>
        <row r="592">
          <cell r="A592">
            <v>449</v>
          </cell>
          <cell r="C592" t="str">
            <v>Hippopotas</v>
          </cell>
          <cell r="D592" t="str">
            <v>Standard</v>
          </cell>
          <cell r="E592" t="str">
            <v>ground</v>
          </cell>
          <cell r="G592">
            <v>68</v>
          </cell>
          <cell r="H592">
            <v>72</v>
          </cell>
          <cell r="I592">
            <v>78</v>
          </cell>
          <cell r="J592">
            <v>38</v>
          </cell>
          <cell r="K592">
            <v>42</v>
          </cell>
          <cell r="L592">
            <v>32</v>
          </cell>
          <cell r="M592">
            <v>330</v>
          </cell>
          <cell r="N592" t="str">
            <v>sand-stream</v>
          </cell>
          <cell r="P592" t="str">
            <v>sand-force</v>
          </cell>
          <cell r="Q592">
            <v>0.8</v>
          </cell>
          <cell r="R592">
            <v>49.5</v>
          </cell>
          <cell r="S592" t="str">
            <v>It lives in arid places. Instead of perspiration, it expels grainy sand from its body.</v>
          </cell>
          <cell r="T592" t="str">
            <v>https://raw.githubusercontent.com/PokeAPI/sprites/master/sprites/pokemon/other/official-artwork/449.png</v>
          </cell>
          <cell r="U592" t="str">
            <v>https://raw.githubusercontent.com/PokeAPI/sprites/master/sprites/pokemon/other/official-artwork/shiny/449.png</v>
          </cell>
        </row>
        <row r="593">
          <cell r="A593">
            <v>450</v>
          </cell>
          <cell r="C593" t="str">
            <v>Hippowdon</v>
          </cell>
          <cell r="D593" t="str">
            <v>Standard</v>
          </cell>
          <cell r="E593" t="str">
            <v>ground</v>
          </cell>
          <cell r="G593">
            <v>108</v>
          </cell>
          <cell r="H593">
            <v>112</v>
          </cell>
          <cell r="I593">
            <v>118</v>
          </cell>
          <cell r="J593">
            <v>68</v>
          </cell>
          <cell r="K593">
            <v>72</v>
          </cell>
          <cell r="L593">
            <v>47</v>
          </cell>
          <cell r="M593">
            <v>525</v>
          </cell>
          <cell r="N593" t="str">
            <v>sand-stream</v>
          </cell>
          <cell r="P593" t="str">
            <v>sand-force</v>
          </cell>
          <cell r="Q593">
            <v>2</v>
          </cell>
          <cell r="R593">
            <v>300</v>
          </cell>
          <cell r="S593" t="str">
            <v>It blasts internally stored sand from ports on its body to create a towering twister for attack.</v>
          </cell>
          <cell r="T593" t="str">
            <v>https://raw.githubusercontent.com/PokeAPI/sprites/master/sprites/pokemon/other/official-artwork/450.png</v>
          </cell>
          <cell r="U593" t="str">
            <v>https://raw.githubusercontent.com/PokeAPI/sprites/master/sprites/pokemon/other/official-artwork/shiny/450.png</v>
          </cell>
        </row>
        <row r="594">
          <cell r="A594">
            <v>451</v>
          </cell>
          <cell r="C594" t="str">
            <v>Skorupi</v>
          </cell>
          <cell r="D594" t="str">
            <v>Standard</v>
          </cell>
          <cell r="E594" t="str">
            <v>poison</v>
          </cell>
          <cell r="F594" t="str">
            <v>bug</v>
          </cell>
          <cell r="G594">
            <v>40</v>
          </cell>
          <cell r="H594">
            <v>50</v>
          </cell>
          <cell r="I594">
            <v>90</v>
          </cell>
          <cell r="J594">
            <v>30</v>
          </cell>
          <cell r="K594">
            <v>55</v>
          </cell>
          <cell r="L594">
            <v>65</v>
          </cell>
          <cell r="M594">
            <v>330</v>
          </cell>
          <cell r="N594" t="str">
            <v>battle-armor</v>
          </cell>
          <cell r="O594" t="str">
            <v>sniper</v>
          </cell>
          <cell r="P594" t="str">
            <v>keen-eye</v>
          </cell>
          <cell r="Q594">
            <v>0.8</v>
          </cell>
          <cell r="R594">
            <v>12</v>
          </cell>
          <cell r="S594" t="str">
            <v>It grips prey with its tail claws and injects poison. It tenaciously hangs on until the poison takes.</v>
          </cell>
          <cell r="T594" t="str">
            <v>https://raw.githubusercontent.com/PokeAPI/sprites/master/sprites/pokemon/other/official-artwork/451.png</v>
          </cell>
          <cell r="U594" t="str">
            <v>https://raw.githubusercontent.com/PokeAPI/sprites/master/sprites/pokemon/other/official-artwork/shiny/451.png</v>
          </cell>
        </row>
        <row r="595">
          <cell r="A595">
            <v>452</v>
          </cell>
          <cell r="C595" t="str">
            <v>Drapion</v>
          </cell>
          <cell r="D595" t="str">
            <v>Standard</v>
          </cell>
          <cell r="E595" t="str">
            <v>poison</v>
          </cell>
          <cell r="F595" t="str">
            <v>dark</v>
          </cell>
          <cell r="G595">
            <v>70</v>
          </cell>
          <cell r="H595">
            <v>90</v>
          </cell>
          <cell r="I595">
            <v>110</v>
          </cell>
          <cell r="J595">
            <v>60</v>
          </cell>
          <cell r="K595">
            <v>75</v>
          </cell>
          <cell r="L595">
            <v>95</v>
          </cell>
          <cell r="M595">
            <v>500</v>
          </cell>
          <cell r="N595" t="str">
            <v>battle-armor</v>
          </cell>
          <cell r="O595" t="str">
            <v>sniper</v>
          </cell>
          <cell r="P595" t="str">
            <v>keen-eye</v>
          </cell>
          <cell r="Q595">
            <v>1.3</v>
          </cell>
          <cell r="R595">
            <v>61.5</v>
          </cell>
          <cell r="S595" t="str">
            <v>It has the power in its clawed arms to make scrap of a car. The tips of its claws release poison.</v>
          </cell>
          <cell r="T595" t="str">
            <v>https://raw.githubusercontent.com/PokeAPI/sprites/master/sprites/pokemon/other/official-artwork/452.png</v>
          </cell>
          <cell r="U595" t="str">
            <v>https://raw.githubusercontent.com/PokeAPI/sprites/master/sprites/pokemon/other/official-artwork/shiny/452.png</v>
          </cell>
        </row>
        <row r="596">
          <cell r="A596">
            <v>453</v>
          </cell>
          <cell r="C596" t="str">
            <v>Croagunk</v>
          </cell>
          <cell r="D596" t="str">
            <v>Standard</v>
          </cell>
          <cell r="E596" t="str">
            <v>poison</v>
          </cell>
          <cell r="F596" t="str">
            <v>fighting</v>
          </cell>
          <cell r="G596">
            <v>48</v>
          </cell>
          <cell r="H596">
            <v>61</v>
          </cell>
          <cell r="I596">
            <v>40</v>
          </cell>
          <cell r="J596">
            <v>61</v>
          </cell>
          <cell r="K596">
            <v>40</v>
          </cell>
          <cell r="L596">
            <v>50</v>
          </cell>
          <cell r="M596">
            <v>300</v>
          </cell>
          <cell r="N596" t="str">
            <v>anticipation</v>
          </cell>
          <cell r="O596" t="str">
            <v>dry-skin</v>
          </cell>
          <cell r="P596" t="str">
            <v>poison-touch</v>
          </cell>
          <cell r="Q596">
            <v>0.7</v>
          </cell>
          <cell r="R596">
            <v>23</v>
          </cell>
          <cell r="S596" t="str">
            <v>Its cheeks hold poison sacs. It tries to catch foes off guard to jab them with toxic fingers.</v>
          </cell>
          <cell r="T596" t="str">
            <v>https://raw.githubusercontent.com/PokeAPI/sprites/master/sprites/pokemon/other/official-artwork/453.png</v>
          </cell>
          <cell r="U596" t="str">
            <v>https://raw.githubusercontent.com/PokeAPI/sprites/master/sprites/pokemon/other/official-artwork/shiny/453.png</v>
          </cell>
        </row>
        <row r="597">
          <cell r="A597">
            <v>454</v>
          </cell>
          <cell r="C597" t="str">
            <v>Toxicroak</v>
          </cell>
          <cell r="D597" t="str">
            <v>Standard</v>
          </cell>
          <cell r="E597" t="str">
            <v>poison</v>
          </cell>
          <cell r="F597" t="str">
            <v>fighting</v>
          </cell>
          <cell r="G597">
            <v>83</v>
          </cell>
          <cell r="H597">
            <v>106</v>
          </cell>
          <cell r="I597">
            <v>65</v>
          </cell>
          <cell r="J597">
            <v>86</v>
          </cell>
          <cell r="K597">
            <v>65</v>
          </cell>
          <cell r="L597">
            <v>85</v>
          </cell>
          <cell r="M597">
            <v>490</v>
          </cell>
          <cell r="N597" t="str">
            <v>anticipation</v>
          </cell>
          <cell r="O597" t="str">
            <v>dry-skin</v>
          </cell>
          <cell r="P597" t="str">
            <v>poison-touch</v>
          </cell>
          <cell r="Q597">
            <v>1.3</v>
          </cell>
          <cell r="R597">
            <v>44.4</v>
          </cell>
          <cell r="S597" t="str">
            <v>Its knuckle claws secrete a toxin so vile that even a scratch could prove fatal.</v>
          </cell>
          <cell r="T597" t="str">
            <v>https://raw.githubusercontent.com/PokeAPI/sprites/master/sprites/pokemon/other/official-artwork/454.png</v>
          </cell>
          <cell r="U597" t="str">
            <v>https://raw.githubusercontent.com/PokeAPI/sprites/master/sprites/pokemon/other/official-artwork/shiny/454.png</v>
          </cell>
        </row>
        <row r="598">
          <cell r="A598">
            <v>455</v>
          </cell>
          <cell r="C598" t="str">
            <v>Carnivine</v>
          </cell>
          <cell r="D598" t="str">
            <v>Standard</v>
          </cell>
          <cell r="E598" t="str">
            <v>grass</v>
          </cell>
          <cell r="G598">
            <v>74</v>
          </cell>
          <cell r="H598">
            <v>100</v>
          </cell>
          <cell r="I598">
            <v>72</v>
          </cell>
          <cell r="J598">
            <v>90</v>
          </cell>
          <cell r="K598">
            <v>72</v>
          </cell>
          <cell r="L598">
            <v>46</v>
          </cell>
          <cell r="M598">
            <v>454</v>
          </cell>
          <cell r="N598" t="str">
            <v>levitate</v>
          </cell>
          <cell r="Q598">
            <v>1.4</v>
          </cell>
          <cell r="R598">
            <v>27</v>
          </cell>
          <cell r="S598" t="str">
            <v>It attracts prey with its sweet- smelling saliva, then chomps down. It takes a whole day to eat prey.</v>
          </cell>
          <cell r="T598" t="str">
            <v>https://raw.githubusercontent.com/PokeAPI/sprites/master/sprites/pokemon/other/official-artwork/455.png</v>
          </cell>
          <cell r="U598" t="str">
            <v>https://raw.githubusercontent.com/PokeAPI/sprites/master/sprites/pokemon/other/official-artwork/shiny/455.png</v>
          </cell>
        </row>
        <row r="599">
          <cell r="A599">
            <v>456</v>
          </cell>
          <cell r="C599" t="str">
            <v>Finneon</v>
          </cell>
          <cell r="D599" t="str">
            <v>Standard</v>
          </cell>
          <cell r="E599" t="str">
            <v>water</v>
          </cell>
          <cell r="G599">
            <v>49</v>
          </cell>
          <cell r="H599">
            <v>49</v>
          </cell>
          <cell r="I599">
            <v>56</v>
          </cell>
          <cell r="J599">
            <v>49</v>
          </cell>
          <cell r="K599">
            <v>61</v>
          </cell>
          <cell r="L599">
            <v>66</v>
          </cell>
          <cell r="M599">
            <v>330</v>
          </cell>
          <cell r="N599" t="str">
            <v>swift-swim</v>
          </cell>
          <cell r="O599" t="str">
            <v>storm-drain</v>
          </cell>
          <cell r="P599" t="str">
            <v>water-veil</v>
          </cell>
          <cell r="Q599">
            <v>0.4</v>
          </cell>
          <cell r="R599">
            <v>7</v>
          </cell>
          <cell r="S599" t="str">
            <v>After long exposure to sunlight, the patterns on its tail fins shine vividly when darkness arrives.</v>
          </cell>
          <cell r="T599" t="str">
            <v>https://raw.githubusercontent.com/PokeAPI/sprites/master/sprites/pokemon/other/official-artwork/456.png</v>
          </cell>
          <cell r="U599" t="str">
            <v>https://raw.githubusercontent.com/PokeAPI/sprites/master/sprites/pokemon/other/official-artwork/shiny/456.png</v>
          </cell>
        </row>
        <row r="600">
          <cell r="A600">
            <v>457</v>
          </cell>
          <cell r="C600" t="str">
            <v>Lumineon</v>
          </cell>
          <cell r="D600" t="str">
            <v>Standard</v>
          </cell>
          <cell r="E600" t="str">
            <v>water</v>
          </cell>
          <cell r="G600">
            <v>69</v>
          </cell>
          <cell r="H600">
            <v>69</v>
          </cell>
          <cell r="I600">
            <v>76</v>
          </cell>
          <cell r="J600">
            <v>69</v>
          </cell>
          <cell r="K600">
            <v>86</v>
          </cell>
          <cell r="L600">
            <v>91</v>
          </cell>
          <cell r="M600">
            <v>460</v>
          </cell>
          <cell r="N600" t="str">
            <v>swift-swim</v>
          </cell>
          <cell r="O600" t="str">
            <v>storm-drain</v>
          </cell>
          <cell r="P600" t="str">
            <v>water-veil</v>
          </cell>
          <cell r="Q600">
            <v>1.2</v>
          </cell>
          <cell r="R600">
            <v>24</v>
          </cell>
          <cell r="S600" t="str">
            <v>It lives on the deep-sea floor. It attracts prey by flashing the patterns on its four tail fins.</v>
          </cell>
          <cell r="T600" t="str">
            <v>https://raw.githubusercontent.com/PokeAPI/sprites/master/sprites/pokemon/other/official-artwork/457.png</v>
          </cell>
          <cell r="U600" t="str">
            <v>https://raw.githubusercontent.com/PokeAPI/sprites/master/sprites/pokemon/other/official-artwork/shiny/457.png</v>
          </cell>
        </row>
        <row r="601">
          <cell r="A601">
            <v>458</v>
          </cell>
          <cell r="C601" t="str">
            <v>Mantyke</v>
          </cell>
          <cell r="D601" t="str">
            <v>Standard</v>
          </cell>
          <cell r="E601" t="str">
            <v>water</v>
          </cell>
          <cell r="F601" t="str">
            <v>flying</v>
          </cell>
          <cell r="G601">
            <v>45</v>
          </cell>
          <cell r="H601">
            <v>20</v>
          </cell>
          <cell r="I601">
            <v>50</v>
          </cell>
          <cell r="J601">
            <v>60</v>
          </cell>
          <cell r="K601">
            <v>120</v>
          </cell>
          <cell r="L601">
            <v>50</v>
          </cell>
          <cell r="M601">
            <v>345</v>
          </cell>
          <cell r="N601" t="str">
            <v>swift-swim</v>
          </cell>
          <cell r="O601" t="str">
            <v>water-absorb</v>
          </cell>
          <cell r="P601" t="str">
            <v>water-veil</v>
          </cell>
          <cell r="Q601">
            <v>1</v>
          </cell>
          <cell r="R601">
            <v>65</v>
          </cell>
          <cell r="S601" t="str">
            <v>A friendly Pokémon that captures the subtle flows of seawater using its two antennae.</v>
          </cell>
          <cell r="T601" t="str">
            <v>https://raw.githubusercontent.com/PokeAPI/sprites/master/sprites/pokemon/other/official-artwork/458.png</v>
          </cell>
          <cell r="U601" t="str">
            <v>https://raw.githubusercontent.com/PokeAPI/sprites/master/sprites/pokemon/other/official-artwork/shiny/458.png</v>
          </cell>
        </row>
        <row r="602">
          <cell r="A602">
            <v>459</v>
          </cell>
          <cell r="C602" t="str">
            <v>Snover</v>
          </cell>
          <cell r="D602" t="str">
            <v>Standard</v>
          </cell>
          <cell r="E602" t="str">
            <v>grass</v>
          </cell>
          <cell r="F602" t="str">
            <v>ice</v>
          </cell>
          <cell r="G602">
            <v>60</v>
          </cell>
          <cell r="H602">
            <v>62</v>
          </cell>
          <cell r="I602">
            <v>50</v>
          </cell>
          <cell r="J602">
            <v>62</v>
          </cell>
          <cell r="K602">
            <v>60</v>
          </cell>
          <cell r="L602">
            <v>40</v>
          </cell>
          <cell r="M602">
            <v>334</v>
          </cell>
          <cell r="N602" t="str">
            <v>snow-warning</v>
          </cell>
          <cell r="P602" t="str">
            <v>soundproof</v>
          </cell>
          <cell r="Q602">
            <v>1</v>
          </cell>
          <cell r="R602">
            <v>50.5</v>
          </cell>
          <cell r="S602" t="str">
            <v>It lives on snowy mountains. Having had little contact with humans, it is boldly inquisitive.</v>
          </cell>
          <cell r="T602" t="str">
            <v>https://raw.githubusercontent.com/PokeAPI/sprites/master/sprites/pokemon/other/official-artwork/459.png</v>
          </cell>
          <cell r="U602" t="str">
            <v>https://raw.githubusercontent.com/PokeAPI/sprites/master/sprites/pokemon/other/official-artwork/shiny/459.png</v>
          </cell>
        </row>
        <row r="603">
          <cell r="A603">
            <v>460</v>
          </cell>
          <cell r="C603" t="str">
            <v>Abomasnow</v>
          </cell>
          <cell r="D603" t="str">
            <v>Standard</v>
          </cell>
          <cell r="E603" t="str">
            <v>grass</v>
          </cell>
          <cell r="F603" t="str">
            <v>ice</v>
          </cell>
          <cell r="G603">
            <v>90</v>
          </cell>
          <cell r="H603">
            <v>92</v>
          </cell>
          <cell r="I603">
            <v>75</v>
          </cell>
          <cell r="J603">
            <v>92</v>
          </cell>
          <cell r="K603">
            <v>85</v>
          </cell>
          <cell r="L603">
            <v>60</v>
          </cell>
          <cell r="M603">
            <v>494</v>
          </cell>
          <cell r="N603" t="str">
            <v>snow-warning</v>
          </cell>
          <cell r="P603" t="str">
            <v>soundproof</v>
          </cell>
          <cell r="Q603">
            <v>2.2000000000000002</v>
          </cell>
          <cell r="R603">
            <v>135.5</v>
          </cell>
          <cell r="S603" t="str">
            <v>It whips up blizzards in mountains that are always buried in snow. It is the abominable snowman.</v>
          </cell>
          <cell r="T603" t="str">
            <v>https://raw.githubusercontent.com/PokeAPI/sprites/master/sprites/pokemon/other/official-artwork/460.png</v>
          </cell>
          <cell r="U603" t="str">
            <v>https://raw.githubusercontent.com/PokeAPI/sprites/master/sprites/pokemon/other/official-artwork/shiny/460.png</v>
          </cell>
        </row>
        <row r="604">
          <cell r="A604">
            <v>460</v>
          </cell>
          <cell r="C604" t="str">
            <v>Abomasnow Mega</v>
          </cell>
          <cell r="D604" t="str">
            <v>Mega</v>
          </cell>
          <cell r="E604" t="str">
            <v>grass</v>
          </cell>
          <cell r="F604" t="str">
            <v>ice</v>
          </cell>
          <cell r="G604">
            <v>90</v>
          </cell>
          <cell r="H604">
            <v>132</v>
          </cell>
          <cell r="I604">
            <v>105</v>
          </cell>
          <cell r="J604">
            <v>132</v>
          </cell>
          <cell r="K604">
            <v>105</v>
          </cell>
          <cell r="L604">
            <v>30</v>
          </cell>
          <cell r="M604">
            <v>594</v>
          </cell>
          <cell r="N604" t="str">
            <v>snow-warning</v>
          </cell>
          <cell r="Q604">
            <v>2.7</v>
          </cell>
          <cell r="R604">
            <v>185</v>
          </cell>
          <cell r="S604" t="str">
            <v>It whips up blizzards in mountains that are always buried in snow. It is the abominable snowman.</v>
          </cell>
          <cell r="T604" t="str">
            <v>https://raw.githubusercontent.com/PokeAPI/sprites/master/sprites/pokemon/other/official-artwork/10060.png</v>
          </cell>
          <cell r="U604" t="str">
            <v>https://raw.githubusercontent.com/PokeAPI/sprites/master/sprites/pokemon/other/official-artwork/shiny/10060.png</v>
          </cell>
        </row>
        <row r="605">
          <cell r="A605">
            <v>461</v>
          </cell>
          <cell r="C605" t="str">
            <v>Weavile</v>
          </cell>
          <cell r="D605" t="str">
            <v>Standard</v>
          </cell>
          <cell r="E605" t="str">
            <v>dark</v>
          </cell>
          <cell r="F605" t="str">
            <v>ice</v>
          </cell>
          <cell r="G605">
            <v>70</v>
          </cell>
          <cell r="H605">
            <v>120</v>
          </cell>
          <cell r="I605">
            <v>65</v>
          </cell>
          <cell r="J605">
            <v>45</v>
          </cell>
          <cell r="K605">
            <v>85</v>
          </cell>
          <cell r="L605">
            <v>125</v>
          </cell>
          <cell r="M605">
            <v>510</v>
          </cell>
          <cell r="N605" t="str">
            <v>pressure</v>
          </cell>
          <cell r="P605" t="str">
            <v>pickpocket</v>
          </cell>
          <cell r="Q605">
            <v>1.1000000000000001</v>
          </cell>
          <cell r="R605">
            <v>34</v>
          </cell>
          <cell r="S605" t="str">
            <v>They live in cold regions, forming groups of four or five that hunt prey with impressive coordination.</v>
          </cell>
          <cell r="T605" t="str">
            <v>https://raw.githubusercontent.com/PokeAPI/sprites/master/sprites/pokemon/other/official-artwork/461.png</v>
          </cell>
          <cell r="U605" t="str">
            <v>https://raw.githubusercontent.com/PokeAPI/sprites/master/sprites/pokemon/other/official-artwork/shiny/461.png</v>
          </cell>
        </row>
        <row r="606">
          <cell r="A606">
            <v>462</v>
          </cell>
          <cell r="C606" t="str">
            <v>Magnezone</v>
          </cell>
          <cell r="D606" t="str">
            <v>Standard</v>
          </cell>
          <cell r="E606" t="str">
            <v>electric</v>
          </cell>
          <cell r="F606" t="str">
            <v>steel</v>
          </cell>
          <cell r="G606">
            <v>70</v>
          </cell>
          <cell r="H606">
            <v>70</v>
          </cell>
          <cell r="I606">
            <v>115</v>
          </cell>
          <cell r="J606">
            <v>130</v>
          </cell>
          <cell r="K606">
            <v>90</v>
          </cell>
          <cell r="L606">
            <v>60</v>
          </cell>
          <cell r="M606">
            <v>535</v>
          </cell>
          <cell r="N606" t="str">
            <v>magnet-pull</v>
          </cell>
          <cell r="O606" t="str">
            <v>sturdy</v>
          </cell>
          <cell r="P606" t="str">
            <v>analytic</v>
          </cell>
          <cell r="Q606">
            <v>1.2</v>
          </cell>
          <cell r="R606">
            <v>180</v>
          </cell>
          <cell r="S606" t="str">
            <v>It evolved from exposure to a special magnetic field. Three units generate magnetism.</v>
          </cell>
          <cell r="T606" t="str">
            <v>https://raw.githubusercontent.com/PokeAPI/sprites/master/sprites/pokemon/other/official-artwork/462.png</v>
          </cell>
          <cell r="U606" t="str">
            <v>https://raw.githubusercontent.com/PokeAPI/sprites/master/sprites/pokemon/other/official-artwork/shiny/462.png</v>
          </cell>
        </row>
        <row r="607">
          <cell r="A607">
            <v>463</v>
          </cell>
          <cell r="C607" t="str">
            <v>Lickilicky</v>
          </cell>
          <cell r="D607" t="str">
            <v>Standard</v>
          </cell>
          <cell r="E607" t="str">
            <v>normal</v>
          </cell>
          <cell r="G607">
            <v>110</v>
          </cell>
          <cell r="H607">
            <v>85</v>
          </cell>
          <cell r="I607">
            <v>95</v>
          </cell>
          <cell r="J607">
            <v>80</v>
          </cell>
          <cell r="K607">
            <v>95</v>
          </cell>
          <cell r="L607">
            <v>50</v>
          </cell>
          <cell r="M607">
            <v>515</v>
          </cell>
          <cell r="N607" t="str">
            <v>own-tempo</v>
          </cell>
          <cell r="O607" t="str">
            <v>oblivious</v>
          </cell>
          <cell r="P607" t="str">
            <v>cloud-nine</v>
          </cell>
          <cell r="Q607">
            <v>1.7</v>
          </cell>
          <cell r="R607">
            <v>140</v>
          </cell>
          <cell r="S607" t="str">
            <v>It wraps things with its extensible tongue. Getting too close to it will leave you soaked with drool.</v>
          </cell>
          <cell r="T607" t="str">
            <v>https://raw.githubusercontent.com/PokeAPI/sprites/master/sprites/pokemon/other/official-artwork/463.png</v>
          </cell>
          <cell r="U607" t="str">
            <v>https://raw.githubusercontent.com/PokeAPI/sprites/master/sprites/pokemon/other/official-artwork/shiny/463.png</v>
          </cell>
        </row>
        <row r="608">
          <cell r="A608">
            <v>464</v>
          </cell>
          <cell r="C608" t="str">
            <v>Rhyperior</v>
          </cell>
          <cell r="D608" t="str">
            <v>Standard</v>
          </cell>
          <cell r="E608" t="str">
            <v>ground</v>
          </cell>
          <cell r="F608" t="str">
            <v>rock</v>
          </cell>
          <cell r="G608">
            <v>115</v>
          </cell>
          <cell r="H608">
            <v>140</v>
          </cell>
          <cell r="I608">
            <v>130</v>
          </cell>
          <cell r="J608">
            <v>55</v>
          </cell>
          <cell r="K608">
            <v>55</v>
          </cell>
          <cell r="L608">
            <v>40</v>
          </cell>
          <cell r="M608">
            <v>535</v>
          </cell>
          <cell r="N608" t="str">
            <v>lightning-rod</v>
          </cell>
          <cell r="O608" t="str">
            <v>solid-rock</v>
          </cell>
          <cell r="P608" t="str">
            <v>reckless</v>
          </cell>
          <cell r="Q608">
            <v>2.4</v>
          </cell>
          <cell r="R608">
            <v>282.8</v>
          </cell>
          <cell r="S608" t="str">
            <v>It puts rocks in holes in its palms and uses its muscles to shoot them. GEODUDE are shot at rare times.</v>
          </cell>
          <cell r="T608" t="str">
            <v>https://raw.githubusercontent.com/PokeAPI/sprites/master/sprites/pokemon/other/official-artwork/464.png</v>
          </cell>
          <cell r="U608" t="str">
            <v>https://raw.githubusercontent.com/PokeAPI/sprites/master/sprites/pokemon/other/official-artwork/shiny/464.png</v>
          </cell>
        </row>
        <row r="609">
          <cell r="A609">
            <v>465</v>
          </cell>
          <cell r="C609" t="str">
            <v>Tangrowth</v>
          </cell>
          <cell r="D609" t="str">
            <v>Standard</v>
          </cell>
          <cell r="E609" t="str">
            <v>grass</v>
          </cell>
          <cell r="G609">
            <v>100</v>
          </cell>
          <cell r="H609">
            <v>100</v>
          </cell>
          <cell r="I609">
            <v>125</v>
          </cell>
          <cell r="J609">
            <v>110</v>
          </cell>
          <cell r="K609">
            <v>50</v>
          </cell>
          <cell r="L609">
            <v>50</v>
          </cell>
          <cell r="M609">
            <v>535</v>
          </cell>
          <cell r="N609" t="str">
            <v>chlorophyll</v>
          </cell>
          <cell r="O609" t="str">
            <v>leaf-guard</v>
          </cell>
          <cell r="P609" t="str">
            <v>regenerator</v>
          </cell>
          <cell r="Q609">
            <v>2</v>
          </cell>
          <cell r="R609">
            <v>128.6</v>
          </cell>
          <cell r="S609" t="str">
            <v>It ensnares prey by extending arms made of vines. Losing arms to predators does not trouble it.</v>
          </cell>
          <cell r="T609" t="str">
            <v>https://raw.githubusercontent.com/PokeAPI/sprites/master/sprites/pokemon/other/official-artwork/465.png</v>
          </cell>
          <cell r="U609" t="str">
            <v>https://raw.githubusercontent.com/PokeAPI/sprites/master/sprites/pokemon/other/official-artwork/shiny/465.png</v>
          </cell>
        </row>
        <row r="610">
          <cell r="A610">
            <v>466</v>
          </cell>
          <cell r="C610" t="str">
            <v>Electivire</v>
          </cell>
          <cell r="D610" t="str">
            <v>Standard</v>
          </cell>
          <cell r="E610" t="str">
            <v>electric</v>
          </cell>
          <cell r="G610">
            <v>75</v>
          </cell>
          <cell r="H610">
            <v>123</v>
          </cell>
          <cell r="I610">
            <v>67</v>
          </cell>
          <cell r="J610">
            <v>95</v>
          </cell>
          <cell r="K610">
            <v>85</v>
          </cell>
          <cell r="L610">
            <v>95</v>
          </cell>
          <cell r="M610">
            <v>540</v>
          </cell>
          <cell r="N610" t="str">
            <v>motor-drive</v>
          </cell>
          <cell r="P610" t="str">
            <v>vital-spirit</v>
          </cell>
          <cell r="Q610">
            <v>1.8</v>
          </cell>
          <cell r="R610">
            <v>138.6</v>
          </cell>
          <cell r="S610" t="str">
            <v>As its electric charge amplifies, blue sparks begin to crackle between its horns.</v>
          </cell>
          <cell r="T610" t="str">
            <v>https://raw.githubusercontent.com/PokeAPI/sprites/master/sprites/pokemon/other/official-artwork/466.png</v>
          </cell>
          <cell r="U610" t="str">
            <v>https://raw.githubusercontent.com/PokeAPI/sprites/master/sprites/pokemon/other/official-artwork/shiny/466.png</v>
          </cell>
        </row>
        <row r="611">
          <cell r="A611">
            <v>467</v>
          </cell>
          <cell r="C611" t="str">
            <v>Magmortar</v>
          </cell>
          <cell r="D611" t="str">
            <v>Standard</v>
          </cell>
          <cell r="E611" t="str">
            <v>fire</v>
          </cell>
          <cell r="G611">
            <v>75</v>
          </cell>
          <cell r="H611">
            <v>95</v>
          </cell>
          <cell r="I611">
            <v>67</v>
          </cell>
          <cell r="J611">
            <v>125</v>
          </cell>
          <cell r="K611">
            <v>95</v>
          </cell>
          <cell r="L611">
            <v>83</v>
          </cell>
          <cell r="M611">
            <v>540</v>
          </cell>
          <cell r="N611" t="str">
            <v>flame-body</v>
          </cell>
          <cell r="P611" t="str">
            <v>vital-spirit</v>
          </cell>
          <cell r="Q611">
            <v>1.6</v>
          </cell>
          <cell r="R611">
            <v>68</v>
          </cell>
          <cell r="S611" t="str">
            <v>It blasts fireballs of over 3,600 degrees F from the ends of its arms. It lives in volcanic craters.</v>
          </cell>
          <cell r="T611" t="str">
            <v>https://raw.githubusercontent.com/PokeAPI/sprites/master/sprites/pokemon/other/official-artwork/467.png</v>
          </cell>
          <cell r="U611" t="str">
            <v>https://raw.githubusercontent.com/PokeAPI/sprites/master/sprites/pokemon/other/official-artwork/shiny/467.png</v>
          </cell>
        </row>
        <row r="612">
          <cell r="A612">
            <v>468</v>
          </cell>
          <cell r="C612" t="str">
            <v>Togekiss</v>
          </cell>
          <cell r="D612" t="str">
            <v>Standard</v>
          </cell>
          <cell r="E612" t="str">
            <v>fairy</v>
          </cell>
          <cell r="F612" t="str">
            <v>flying</v>
          </cell>
          <cell r="G612">
            <v>85</v>
          </cell>
          <cell r="H612">
            <v>50</v>
          </cell>
          <cell r="I612">
            <v>95</v>
          </cell>
          <cell r="J612">
            <v>120</v>
          </cell>
          <cell r="K612">
            <v>115</v>
          </cell>
          <cell r="L612">
            <v>80</v>
          </cell>
          <cell r="M612">
            <v>545</v>
          </cell>
          <cell r="N612" t="str">
            <v>hustle</v>
          </cell>
          <cell r="O612" t="str">
            <v>serene-grace</v>
          </cell>
          <cell r="P612" t="str">
            <v>super-luck</v>
          </cell>
          <cell r="Q612">
            <v>1.5</v>
          </cell>
          <cell r="R612">
            <v>38</v>
          </cell>
          <cell r="S612" t="str">
            <v>It will never appear where there is strife. Its sightings have become rare recently.</v>
          </cell>
          <cell r="T612" t="str">
            <v>https://raw.githubusercontent.com/PokeAPI/sprites/master/sprites/pokemon/other/official-artwork/468.png</v>
          </cell>
          <cell r="U612" t="str">
            <v>https://raw.githubusercontent.com/PokeAPI/sprites/master/sprites/pokemon/other/official-artwork/shiny/468.png</v>
          </cell>
        </row>
        <row r="613">
          <cell r="A613">
            <v>469</v>
          </cell>
          <cell r="C613" t="str">
            <v>Yanmega</v>
          </cell>
          <cell r="D613" t="str">
            <v>Standard</v>
          </cell>
          <cell r="E613" t="str">
            <v>bug</v>
          </cell>
          <cell r="F613" t="str">
            <v>flying</v>
          </cell>
          <cell r="G613">
            <v>86</v>
          </cell>
          <cell r="H613">
            <v>76</v>
          </cell>
          <cell r="I613">
            <v>86</v>
          </cell>
          <cell r="J613">
            <v>116</v>
          </cell>
          <cell r="K613">
            <v>56</v>
          </cell>
          <cell r="L613">
            <v>95</v>
          </cell>
          <cell r="M613">
            <v>515</v>
          </cell>
          <cell r="N613" t="str">
            <v>speed-boost</v>
          </cell>
          <cell r="O613" t="str">
            <v>tinted-lens</v>
          </cell>
          <cell r="P613" t="str">
            <v>frisk</v>
          </cell>
          <cell r="Q613">
            <v>1.9</v>
          </cell>
          <cell r="R613">
            <v>51.5</v>
          </cell>
          <cell r="S613" t="str">
            <v>By churning its wings, it creates shock waves that inflict critical internal injuries to foes.</v>
          </cell>
          <cell r="T613" t="str">
            <v>https://raw.githubusercontent.com/PokeAPI/sprites/master/sprites/pokemon/other/official-artwork/469.png</v>
          </cell>
          <cell r="U613" t="str">
            <v>https://raw.githubusercontent.com/PokeAPI/sprites/master/sprites/pokemon/other/official-artwork/shiny/469.png</v>
          </cell>
        </row>
        <row r="614">
          <cell r="A614">
            <v>470</v>
          </cell>
          <cell r="C614" t="str">
            <v>Leafeon</v>
          </cell>
          <cell r="D614" t="str">
            <v>Standard</v>
          </cell>
          <cell r="E614" t="str">
            <v>grass</v>
          </cell>
          <cell r="G614">
            <v>65</v>
          </cell>
          <cell r="H614">
            <v>110</v>
          </cell>
          <cell r="I614">
            <v>130</v>
          </cell>
          <cell r="J614">
            <v>60</v>
          </cell>
          <cell r="K614">
            <v>65</v>
          </cell>
          <cell r="L614">
            <v>95</v>
          </cell>
          <cell r="M614">
            <v>525</v>
          </cell>
          <cell r="N614" t="str">
            <v>leaf-guard</v>
          </cell>
          <cell r="P614" t="str">
            <v>chlorophyll</v>
          </cell>
          <cell r="Q614">
            <v>1</v>
          </cell>
          <cell r="R614">
            <v>25.5</v>
          </cell>
          <cell r="S614" t="str">
            <v>Just like a plant, it uses photosynthesis. As a result, it is always enveloped in clear air.</v>
          </cell>
          <cell r="T614" t="str">
            <v>https://raw.githubusercontent.com/PokeAPI/sprites/master/sprites/pokemon/other/official-artwork/470.png</v>
          </cell>
          <cell r="U614" t="str">
            <v>https://raw.githubusercontent.com/PokeAPI/sprites/master/sprites/pokemon/other/official-artwork/shiny/470.png</v>
          </cell>
        </row>
        <row r="615">
          <cell r="A615">
            <v>471</v>
          </cell>
          <cell r="C615" t="str">
            <v>Glaceon</v>
          </cell>
          <cell r="D615" t="str">
            <v>Standard</v>
          </cell>
          <cell r="E615" t="str">
            <v>ice</v>
          </cell>
          <cell r="G615">
            <v>65</v>
          </cell>
          <cell r="H615">
            <v>60</v>
          </cell>
          <cell r="I615">
            <v>110</v>
          </cell>
          <cell r="J615">
            <v>130</v>
          </cell>
          <cell r="K615">
            <v>95</v>
          </cell>
          <cell r="L615">
            <v>65</v>
          </cell>
          <cell r="M615">
            <v>525</v>
          </cell>
          <cell r="N615" t="str">
            <v>snow-cloak</v>
          </cell>
          <cell r="P615" t="str">
            <v>ice-body</v>
          </cell>
          <cell r="Q615">
            <v>0.8</v>
          </cell>
          <cell r="R615">
            <v>25.9</v>
          </cell>
          <cell r="S615" t="str">
            <v>As a protective technique, it can completely freeze its fur to make its hairs stand like needles.</v>
          </cell>
          <cell r="T615" t="str">
            <v>https://raw.githubusercontent.com/PokeAPI/sprites/master/sprites/pokemon/other/official-artwork/471.png</v>
          </cell>
          <cell r="U615" t="str">
            <v>https://raw.githubusercontent.com/PokeAPI/sprites/master/sprites/pokemon/other/official-artwork/shiny/471.png</v>
          </cell>
        </row>
        <row r="616">
          <cell r="A616">
            <v>472</v>
          </cell>
          <cell r="C616" t="str">
            <v>Gliscor</v>
          </cell>
          <cell r="D616" t="str">
            <v>Standard</v>
          </cell>
          <cell r="E616" t="str">
            <v>ground</v>
          </cell>
          <cell r="F616" t="str">
            <v>flying</v>
          </cell>
          <cell r="G616">
            <v>75</v>
          </cell>
          <cell r="H616">
            <v>95</v>
          </cell>
          <cell r="I616">
            <v>125</v>
          </cell>
          <cell r="J616">
            <v>45</v>
          </cell>
          <cell r="K616">
            <v>75</v>
          </cell>
          <cell r="L616">
            <v>95</v>
          </cell>
          <cell r="M616">
            <v>510</v>
          </cell>
          <cell r="N616" t="str">
            <v>hyper-cutter</v>
          </cell>
          <cell r="O616" t="str">
            <v>sand-veil</v>
          </cell>
          <cell r="P616" t="str">
            <v>poison-heal</v>
          </cell>
          <cell r="Q616">
            <v>2</v>
          </cell>
          <cell r="R616">
            <v>42.5</v>
          </cell>
          <cell r="S616" t="str">
            <v>It observes prey while hanging inverted from branches. When the chance presents itself, it swoops!</v>
          </cell>
          <cell r="T616" t="str">
            <v>https://raw.githubusercontent.com/PokeAPI/sprites/master/sprites/pokemon/other/official-artwork/472.png</v>
          </cell>
          <cell r="U616" t="str">
            <v>https://raw.githubusercontent.com/PokeAPI/sprites/master/sprites/pokemon/other/official-artwork/shiny/472.png</v>
          </cell>
        </row>
        <row r="617">
          <cell r="A617">
            <v>473</v>
          </cell>
          <cell r="C617" t="str">
            <v>Mamoswine</v>
          </cell>
          <cell r="D617" t="str">
            <v>Standard</v>
          </cell>
          <cell r="E617" t="str">
            <v>ice</v>
          </cell>
          <cell r="F617" t="str">
            <v>ground</v>
          </cell>
          <cell r="G617">
            <v>110</v>
          </cell>
          <cell r="H617">
            <v>130</v>
          </cell>
          <cell r="I617">
            <v>80</v>
          </cell>
          <cell r="J617">
            <v>70</v>
          </cell>
          <cell r="K617">
            <v>60</v>
          </cell>
          <cell r="L617">
            <v>80</v>
          </cell>
          <cell r="M617">
            <v>530</v>
          </cell>
          <cell r="N617" t="str">
            <v>oblivious</v>
          </cell>
          <cell r="O617" t="str">
            <v>snow-cloak</v>
          </cell>
          <cell r="P617" t="str">
            <v>thick-fat</v>
          </cell>
          <cell r="Q617">
            <v>2.5</v>
          </cell>
          <cell r="R617">
            <v>291</v>
          </cell>
          <cell r="S617" t="str">
            <v>Its impressive tusks are made of ice. The population thinned when it turned warm after the ice age.</v>
          </cell>
          <cell r="T617" t="str">
            <v>https://raw.githubusercontent.com/PokeAPI/sprites/master/sprites/pokemon/other/official-artwork/473.png</v>
          </cell>
          <cell r="U617" t="str">
            <v>https://raw.githubusercontent.com/PokeAPI/sprites/master/sprites/pokemon/other/official-artwork/shiny/473.png</v>
          </cell>
        </row>
        <row r="618">
          <cell r="A618">
            <v>474</v>
          </cell>
          <cell r="C618" t="str">
            <v>Porygon Z</v>
          </cell>
          <cell r="D618" t="str">
            <v>Other</v>
          </cell>
          <cell r="E618" t="str">
            <v>normal</v>
          </cell>
          <cell r="G618">
            <v>85</v>
          </cell>
          <cell r="H618">
            <v>80</v>
          </cell>
          <cell r="I618">
            <v>70</v>
          </cell>
          <cell r="J618">
            <v>135</v>
          </cell>
          <cell r="K618">
            <v>75</v>
          </cell>
          <cell r="L618">
            <v>90</v>
          </cell>
          <cell r="M618">
            <v>535</v>
          </cell>
          <cell r="N618" t="str">
            <v>adaptability</v>
          </cell>
          <cell r="O618" t="str">
            <v>download</v>
          </cell>
          <cell r="P618" t="str">
            <v>analytic</v>
          </cell>
          <cell r="Q618">
            <v>0.9</v>
          </cell>
          <cell r="R618">
            <v>34</v>
          </cell>
          <cell r="S618" t="str">
            <v>Additional software was installed to make it a better Pokémon. It began acting oddly, however.</v>
          </cell>
          <cell r="T618" t="str">
            <v>https://raw.githubusercontent.com/PokeAPI/sprites/master/sprites/pokemon/other/official-artwork/474.png</v>
          </cell>
          <cell r="U618" t="str">
            <v>https://raw.githubusercontent.com/PokeAPI/sprites/master/sprites/pokemon/other/official-artwork/shiny/474.png</v>
          </cell>
        </row>
        <row r="619">
          <cell r="A619">
            <v>475</v>
          </cell>
          <cell r="C619" t="str">
            <v>Gallade</v>
          </cell>
          <cell r="D619" t="str">
            <v>Standard</v>
          </cell>
          <cell r="E619" t="str">
            <v>psychic</v>
          </cell>
          <cell r="F619" t="str">
            <v>fighting</v>
          </cell>
          <cell r="G619">
            <v>68</v>
          </cell>
          <cell r="H619">
            <v>125</v>
          </cell>
          <cell r="I619">
            <v>65</v>
          </cell>
          <cell r="J619">
            <v>65</v>
          </cell>
          <cell r="K619">
            <v>115</v>
          </cell>
          <cell r="L619">
            <v>80</v>
          </cell>
          <cell r="M619">
            <v>518</v>
          </cell>
          <cell r="N619" t="str">
            <v>steadfast</v>
          </cell>
          <cell r="O619" t="str">
            <v>sharpness</v>
          </cell>
          <cell r="P619" t="str">
            <v>justified</v>
          </cell>
          <cell r="Q619">
            <v>1.6</v>
          </cell>
          <cell r="R619">
            <v>52</v>
          </cell>
          <cell r="S619" t="str">
            <v>A master of courtesy and swordsmanship, it fights using extending swords on its elbows.</v>
          </cell>
          <cell r="T619" t="str">
            <v>https://raw.githubusercontent.com/PokeAPI/sprites/master/sprites/pokemon/other/official-artwork/475.png</v>
          </cell>
          <cell r="U619" t="str">
            <v>https://raw.githubusercontent.com/PokeAPI/sprites/master/sprites/pokemon/other/official-artwork/shiny/475.png</v>
          </cell>
        </row>
        <row r="620">
          <cell r="A620">
            <v>475</v>
          </cell>
          <cell r="C620" t="str">
            <v>Gallade Mega</v>
          </cell>
          <cell r="D620" t="str">
            <v>Mega</v>
          </cell>
          <cell r="E620" t="str">
            <v>psychic</v>
          </cell>
          <cell r="F620" t="str">
            <v>fighting</v>
          </cell>
          <cell r="G620">
            <v>68</v>
          </cell>
          <cell r="H620">
            <v>165</v>
          </cell>
          <cell r="I620">
            <v>95</v>
          </cell>
          <cell r="J620">
            <v>65</v>
          </cell>
          <cell r="K620">
            <v>115</v>
          </cell>
          <cell r="L620">
            <v>110</v>
          </cell>
          <cell r="M620">
            <v>618</v>
          </cell>
          <cell r="N620" t="str">
            <v>inner-focus</v>
          </cell>
          <cell r="Q620">
            <v>1.6</v>
          </cell>
          <cell r="R620">
            <v>56.4</v>
          </cell>
          <cell r="S620" t="str">
            <v>A master of courtesy and swordsmanship, it fights using extending swords on its elbows.</v>
          </cell>
          <cell r="T620" t="str">
            <v>https://raw.githubusercontent.com/PokeAPI/sprites/master/sprites/pokemon/other/official-artwork/10068.png</v>
          </cell>
          <cell r="U620" t="str">
            <v>https://raw.githubusercontent.com/PokeAPI/sprites/master/sprites/pokemon/other/official-artwork/shiny/10068.png</v>
          </cell>
        </row>
        <row r="621">
          <cell r="A621">
            <v>476</v>
          </cell>
          <cell r="C621" t="str">
            <v>Probopass</v>
          </cell>
          <cell r="D621" t="str">
            <v>Standard</v>
          </cell>
          <cell r="E621" t="str">
            <v>rock</v>
          </cell>
          <cell r="F621" t="str">
            <v>steel</v>
          </cell>
          <cell r="G621">
            <v>60</v>
          </cell>
          <cell r="H621">
            <v>55</v>
          </cell>
          <cell r="I621">
            <v>145</v>
          </cell>
          <cell r="J621">
            <v>75</v>
          </cell>
          <cell r="K621">
            <v>150</v>
          </cell>
          <cell r="L621">
            <v>40</v>
          </cell>
          <cell r="M621">
            <v>525</v>
          </cell>
          <cell r="N621" t="str">
            <v>sturdy</v>
          </cell>
          <cell r="O621" t="str">
            <v>magnet-pull</v>
          </cell>
          <cell r="P621" t="str">
            <v>sand-force</v>
          </cell>
          <cell r="Q621">
            <v>1.4</v>
          </cell>
          <cell r="R621">
            <v>340</v>
          </cell>
          <cell r="S621" t="str">
            <v>It freely controls three small units called Mini-Noses using magnetic force.</v>
          </cell>
          <cell r="T621" t="str">
            <v>https://raw.githubusercontent.com/PokeAPI/sprites/master/sprites/pokemon/other/official-artwork/476.png</v>
          </cell>
          <cell r="U621" t="str">
            <v>https://raw.githubusercontent.com/PokeAPI/sprites/master/sprites/pokemon/other/official-artwork/shiny/476.png</v>
          </cell>
        </row>
        <row r="622">
          <cell r="A622">
            <v>477</v>
          </cell>
          <cell r="C622" t="str">
            <v>Dusknoir</v>
          </cell>
          <cell r="D622" t="str">
            <v>Standard</v>
          </cell>
          <cell r="E622" t="str">
            <v>ghost</v>
          </cell>
          <cell r="G622">
            <v>45</v>
          </cell>
          <cell r="H622">
            <v>100</v>
          </cell>
          <cell r="I622">
            <v>135</v>
          </cell>
          <cell r="J622">
            <v>65</v>
          </cell>
          <cell r="K622">
            <v>135</v>
          </cell>
          <cell r="L622">
            <v>45</v>
          </cell>
          <cell r="M622">
            <v>525</v>
          </cell>
          <cell r="N622" t="str">
            <v>pressure</v>
          </cell>
          <cell r="P622" t="str">
            <v>frisk</v>
          </cell>
          <cell r="Q622">
            <v>2.2000000000000002</v>
          </cell>
          <cell r="R622">
            <v>106.6</v>
          </cell>
          <cell r="S622" t="str">
            <v>The antenna on its head captures radio waves from the world of spirits that command it to take people there.</v>
          </cell>
          <cell r="T622" t="str">
            <v>https://raw.githubusercontent.com/PokeAPI/sprites/master/sprites/pokemon/other/official-artwork/477.png</v>
          </cell>
          <cell r="U622" t="str">
            <v>https://raw.githubusercontent.com/PokeAPI/sprites/master/sprites/pokemon/other/official-artwork/shiny/477.png</v>
          </cell>
        </row>
        <row r="623">
          <cell r="A623">
            <v>478</v>
          </cell>
          <cell r="C623" t="str">
            <v>Froslass</v>
          </cell>
          <cell r="D623" t="str">
            <v>Standard</v>
          </cell>
          <cell r="E623" t="str">
            <v>ice</v>
          </cell>
          <cell r="F623" t="str">
            <v>ghost</v>
          </cell>
          <cell r="G623">
            <v>70</v>
          </cell>
          <cell r="H623">
            <v>80</v>
          </cell>
          <cell r="I623">
            <v>70</v>
          </cell>
          <cell r="J623">
            <v>80</v>
          </cell>
          <cell r="K623">
            <v>70</v>
          </cell>
          <cell r="L623">
            <v>110</v>
          </cell>
          <cell r="M623">
            <v>480</v>
          </cell>
          <cell r="N623" t="str">
            <v>snow-cloak</v>
          </cell>
          <cell r="P623" t="str">
            <v>cursed-body</v>
          </cell>
          <cell r="Q623">
            <v>1.3</v>
          </cell>
          <cell r="R623">
            <v>26.6</v>
          </cell>
          <cell r="S623" t="str">
            <v>It freezes foes with an icy breath nearly -60 degrees F. What seems to be its body is actually hollow.</v>
          </cell>
          <cell r="T623" t="str">
            <v>https://raw.githubusercontent.com/PokeAPI/sprites/master/sprites/pokemon/other/official-artwork/478.png</v>
          </cell>
          <cell r="U623" t="str">
            <v>https://raw.githubusercontent.com/PokeAPI/sprites/master/sprites/pokemon/other/official-artwork/shiny/478.png</v>
          </cell>
        </row>
        <row r="624">
          <cell r="A624">
            <v>478</v>
          </cell>
          <cell r="C624" t="str">
            <v>Froslass Mega</v>
          </cell>
          <cell r="D624" t="str">
            <v>Mega</v>
          </cell>
          <cell r="E624" t="str">
            <v>ice</v>
          </cell>
          <cell r="F624" t="str">
            <v>ghost</v>
          </cell>
          <cell r="G624">
            <v>70</v>
          </cell>
          <cell r="H624">
            <v>80</v>
          </cell>
          <cell r="I624">
            <v>70</v>
          </cell>
          <cell r="J624">
            <v>140</v>
          </cell>
          <cell r="K624">
            <v>100</v>
          </cell>
          <cell r="L624">
            <v>120</v>
          </cell>
          <cell r="M624">
            <v>580</v>
          </cell>
          <cell r="Q624">
            <v>2.6</v>
          </cell>
          <cell r="R624">
            <v>29.6</v>
          </cell>
          <cell r="S624" t="str">
            <v>It freezes foes with an icy breath nearly -60 degrees F. What seems to be its body is actually hollow.</v>
          </cell>
          <cell r="T624" t="str">
            <v>https://raw.githubusercontent.com/PokeAPI/sprites/master/sprites/pokemon/other/showdown/10285.gif</v>
          </cell>
          <cell r="U624" t="str">
            <v>https://raw.githubusercontent.com/PokeAPI/sprites/master/sprites/pokemon/other/showdown/shiny/10285.gif</v>
          </cell>
        </row>
        <row r="625">
          <cell r="A625">
            <v>479</v>
          </cell>
          <cell r="C625" t="str">
            <v>Rotom</v>
          </cell>
          <cell r="D625" t="str">
            <v>Standard</v>
          </cell>
          <cell r="E625" t="str">
            <v>electric</v>
          </cell>
          <cell r="F625" t="str">
            <v>ghost</v>
          </cell>
          <cell r="G625">
            <v>50</v>
          </cell>
          <cell r="H625">
            <v>50</v>
          </cell>
          <cell r="I625">
            <v>77</v>
          </cell>
          <cell r="J625">
            <v>95</v>
          </cell>
          <cell r="K625">
            <v>77</v>
          </cell>
          <cell r="L625">
            <v>91</v>
          </cell>
          <cell r="M625">
            <v>440</v>
          </cell>
          <cell r="N625" t="str">
            <v>levitate</v>
          </cell>
          <cell r="Q625">
            <v>0.3</v>
          </cell>
          <cell r="R625">
            <v>0.3</v>
          </cell>
          <cell r="S625" t="str">
            <v>Its body is composed of plasma. It is known to infiltrate electronic devices and wreak havoc.</v>
          </cell>
          <cell r="T625" t="str">
            <v>https://raw.githubusercontent.com/PokeAPI/sprites/master/sprites/pokemon/other/official-artwork/479.png</v>
          </cell>
          <cell r="U625" t="str">
            <v>https://raw.githubusercontent.com/PokeAPI/sprites/master/sprites/pokemon/other/official-artwork/shiny/479.png</v>
          </cell>
        </row>
        <row r="626">
          <cell r="A626">
            <v>479</v>
          </cell>
          <cell r="C626" t="str">
            <v>Rotom Fan</v>
          </cell>
          <cell r="D626" t="str">
            <v>Other</v>
          </cell>
          <cell r="E626" t="str">
            <v>electric</v>
          </cell>
          <cell r="F626" t="str">
            <v>flying</v>
          </cell>
          <cell r="G626">
            <v>50</v>
          </cell>
          <cell r="H626">
            <v>65</v>
          </cell>
          <cell r="I626">
            <v>107</v>
          </cell>
          <cell r="J626">
            <v>105</v>
          </cell>
          <cell r="K626">
            <v>107</v>
          </cell>
          <cell r="L626">
            <v>86</v>
          </cell>
          <cell r="M626">
            <v>520</v>
          </cell>
          <cell r="N626" t="str">
            <v>levitate</v>
          </cell>
          <cell r="Q626">
            <v>0.3</v>
          </cell>
          <cell r="R626">
            <v>0.3</v>
          </cell>
          <cell r="S626" t="str">
            <v>Its body is composed of plasma. It is known to infiltrate electronic devices and wreak havoc.</v>
          </cell>
          <cell r="T626" t="str">
            <v>https://raw.githubusercontent.com/PokeAPI/sprites/master/sprites/pokemon/other/official-artwork/10011.png</v>
          </cell>
          <cell r="U626" t="str">
            <v>https://raw.githubusercontent.com/PokeAPI/sprites/master/sprites/pokemon/other/official-artwork/shiny/10011.png</v>
          </cell>
        </row>
        <row r="627">
          <cell r="A627">
            <v>479</v>
          </cell>
          <cell r="C627" t="str">
            <v>Rotom Frost</v>
          </cell>
          <cell r="D627" t="str">
            <v>Other</v>
          </cell>
          <cell r="E627" t="str">
            <v>electric</v>
          </cell>
          <cell r="F627" t="str">
            <v>ice</v>
          </cell>
          <cell r="G627">
            <v>50</v>
          </cell>
          <cell r="H627">
            <v>65</v>
          </cell>
          <cell r="I627">
            <v>107</v>
          </cell>
          <cell r="J627">
            <v>105</v>
          </cell>
          <cell r="K627">
            <v>107</v>
          </cell>
          <cell r="L627">
            <v>86</v>
          </cell>
          <cell r="M627">
            <v>520</v>
          </cell>
          <cell r="N627" t="str">
            <v>levitate</v>
          </cell>
          <cell r="Q627">
            <v>0.3</v>
          </cell>
          <cell r="R627">
            <v>0.3</v>
          </cell>
          <cell r="S627" t="str">
            <v>Its body is composed of plasma. It is known to infiltrate electronic devices and wreak havoc.</v>
          </cell>
          <cell r="T627" t="str">
            <v>https://raw.githubusercontent.com/PokeAPI/sprites/master/sprites/pokemon/other/official-artwork/10010.png</v>
          </cell>
          <cell r="U627" t="str">
            <v>https://raw.githubusercontent.com/PokeAPI/sprites/master/sprites/pokemon/other/official-artwork/shiny/10010.png</v>
          </cell>
        </row>
        <row r="628">
          <cell r="A628">
            <v>479</v>
          </cell>
          <cell r="C628" t="str">
            <v>Rotom Heat</v>
          </cell>
          <cell r="D628" t="str">
            <v>Other</v>
          </cell>
          <cell r="E628" t="str">
            <v>electric</v>
          </cell>
          <cell r="F628" t="str">
            <v>fire</v>
          </cell>
          <cell r="G628">
            <v>50</v>
          </cell>
          <cell r="H628">
            <v>65</v>
          </cell>
          <cell r="I628">
            <v>107</v>
          </cell>
          <cell r="J628">
            <v>105</v>
          </cell>
          <cell r="K628">
            <v>107</v>
          </cell>
          <cell r="L628">
            <v>86</v>
          </cell>
          <cell r="M628">
            <v>520</v>
          </cell>
          <cell r="N628" t="str">
            <v>levitate</v>
          </cell>
          <cell r="Q628">
            <v>0.3</v>
          </cell>
          <cell r="R628">
            <v>0.3</v>
          </cell>
          <cell r="S628" t="str">
            <v>Its body is composed of plasma. It is known to infiltrate electronic devices and wreak havoc.</v>
          </cell>
          <cell r="T628" t="str">
            <v>https://raw.githubusercontent.com/PokeAPI/sprites/master/sprites/pokemon/other/official-artwork/10008.png</v>
          </cell>
          <cell r="U628" t="str">
            <v>https://raw.githubusercontent.com/PokeAPI/sprites/master/sprites/pokemon/other/official-artwork/shiny/10008.png</v>
          </cell>
        </row>
        <row r="629">
          <cell r="A629">
            <v>479</v>
          </cell>
          <cell r="C629" t="str">
            <v>Rotom Mow</v>
          </cell>
          <cell r="D629" t="str">
            <v>Other</v>
          </cell>
          <cell r="E629" t="str">
            <v>electric</v>
          </cell>
          <cell r="F629" t="str">
            <v>grass</v>
          </cell>
          <cell r="G629">
            <v>50</v>
          </cell>
          <cell r="H629">
            <v>65</v>
          </cell>
          <cell r="I629">
            <v>107</v>
          </cell>
          <cell r="J629">
            <v>105</v>
          </cell>
          <cell r="K629">
            <v>107</v>
          </cell>
          <cell r="L629">
            <v>86</v>
          </cell>
          <cell r="M629">
            <v>520</v>
          </cell>
          <cell r="N629" t="str">
            <v>levitate</v>
          </cell>
          <cell r="Q629">
            <v>0.3</v>
          </cell>
          <cell r="R629">
            <v>0.3</v>
          </cell>
          <cell r="S629" t="str">
            <v>Its body is composed of plasma. It is known to infiltrate electronic devices and wreak havoc.</v>
          </cell>
          <cell r="T629" t="str">
            <v>https://raw.githubusercontent.com/PokeAPI/sprites/master/sprites/pokemon/other/official-artwork/10012.png</v>
          </cell>
          <cell r="U629" t="str">
            <v>https://raw.githubusercontent.com/PokeAPI/sprites/master/sprites/pokemon/other/official-artwork/shiny/10012.png</v>
          </cell>
        </row>
        <row r="630">
          <cell r="A630">
            <v>479</v>
          </cell>
          <cell r="C630" t="str">
            <v>Rotom Wash</v>
          </cell>
          <cell r="D630" t="str">
            <v>Other</v>
          </cell>
          <cell r="E630" t="str">
            <v>electric</v>
          </cell>
          <cell r="F630" t="str">
            <v>water</v>
          </cell>
          <cell r="G630">
            <v>50</v>
          </cell>
          <cell r="H630">
            <v>65</v>
          </cell>
          <cell r="I630">
            <v>107</v>
          </cell>
          <cell r="J630">
            <v>105</v>
          </cell>
          <cell r="K630">
            <v>107</v>
          </cell>
          <cell r="L630">
            <v>86</v>
          </cell>
          <cell r="M630">
            <v>520</v>
          </cell>
          <cell r="N630" t="str">
            <v>levitate</v>
          </cell>
          <cell r="Q630">
            <v>0.3</v>
          </cell>
          <cell r="R630">
            <v>0.3</v>
          </cell>
          <cell r="S630" t="str">
            <v>Its body is composed of plasma. It is known to infiltrate electronic devices and wreak havoc.</v>
          </cell>
          <cell r="T630" t="str">
            <v>https://raw.githubusercontent.com/PokeAPI/sprites/master/sprites/pokemon/other/official-artwork/10009.png</v>
          </cell>
          <cell r="U630" t="str">
            <v>https://raw.githubusercontent.com/PokeAPI/sprites/master/sprites/pokemon/other/official-artwork/shiny/10009.png</v>
          </cell>
        </row>
        <row r="631">
          <cell r="A631">
            <v>480</v>
          </cell>
          <cell r="C631" t="str">
            <v>Uxie</v>
          </cell>
          <cell r="D631" t="str">
            <v>Standard</v>
          </cell>
          <cell r="E631" t="str">
            <v>psychic</v>
          </cell>
          <cell r="G631">
            <v>75</v>
          </cell>
          <cell r="H631">
            <v>75</v>
          </cell>
          <cell r="I631">
            <v>130</v>
          </cell>
          <cell r="J631">
            <v>75</v>
          </cell>
          <cell r="K631">
            <v>130</v>
          </cell>
          <cell r="L631">
            <v>95</v>
          </cell>
          <cell r="M631">
            <v>580</v>
          </cell>
          <cell r="N631" t="str">
            <v>levitate</v>
          </cell>
          <cell r="Q631">
            <v>0.3</v>
          </cell>
          <cell r="R631">
            <v>0.3</v>
          </cell>
          <cell r="S631" t="str">
            <v>Known as “The Being of Knowledge.” It is said that it can wipe out the memory of those who see its eyes.</v>
          </cell>
          <cell r="T631" t="str">
            <v>https://raw.githubusercontent.com/PokeAPI/sprites/master/sprites/pokemon/other/official-artwork/480.png</v>
          </cell>
          <cell r="U631" t="str">
            <v>https://raw.githubusercontent.com/PokeAPI/sprites/master/sprites/pokemon/other/official-artwork/shiny/480.png</v>
          </cell>
        </row>
        <row r="632">
          <cell r="A632">
            <v>481</v>
          </cell>
          <cell r="C632" t="str">
            <v>Mesprit</v>
          </cell>
          <cell r="D632" t="str">
            <v>Standard</v>
          </cell>
          <cell r="E632" t="str">
            <v>psychic</v>
          </cell>
          <cell r="G632">
            <v>80</v>
          </cell>
          <cell r="H632">
            <v>105</v>
          </cell>
          <cell r="I632">
            <v>105</v>
          </cell>
          <cell r="J632">
            <v>105</v>
          </cell>
          <cell r="K632">
            <v>105</v>
          </cell>
          <cell r="L632">
            <v>80</v>
          </cell>
          <cell r="M632">
            <v>580</v>
          </cell>
          <cell r="N632" t="str">
            <v>levitate</v>
          </cell>
          <cell r="Q632">
            <v>0.3</v>
          </cell>
          <cell r="R632">
            <v>0.3</v>
          </cell>
          <cell r="S632" t="str">
            <v>Known as “The Being of Emotion.” It taught humans the nobility of sorrow, pain, and joy.</v>
          </cell>
          <cell r="T632" t="str">
            <v>https://raw.githubusercontent.com/PokeAPI/sprites/master/sprites/pokemon/other/official-artwork/481.png</v>
          </cell>
          <cell r="U632" t="str">
            <v>https://raw.githubusercontent.com/PokeAPI/sprites/master/sprites/pokemon/other/official-artwork/shiny/481.png</v>
          </cell>
        </row>
        <row r="633">
          <cell r="A633">
            <v>482</v>
          </cell>
          <cell r="C633" t="str">
            <v>Azelf</v>
          </cell>
          <cell r="D633" t="str">
            <v>Standard</v>
          </cell>
          <cell r="E633" t="str">
            <v>psychic</v>
          </cell>
          <cell r="G633">
            <v>75</v>
          </cell>
          <cell r="H633">
            <v>125</v>
          </cell>
          <cell r="I633">
            <v>70</v>
          </cell>
          <cell r="J633">
            <v>125</v>
          </cell>
          <cell r="K633">
            <v>70</v>
          </cell>
          <cell r="L633">
            <v>115</v>
          </cell>
          <cell r="M633">
            <v>580</v>
          </cell>
          <cell r="N633" t="str">
            <v>levitate</v>
          </cell>
          <cell r="Q633">
            <v>0.3</v>
          </cell>
          <cell r="R633">
            <v>0.3</v>
          </cell>
          <cell r="S633" t="str">
            <v>Known as “The Being of Willpower.” It sleeps at the bottom of a lake to keep the world in balance.</v>
          </cell>
          <cell r="T633" t="str">
            <v>https://raw.githubusercontent.com/PokeAPI/sprites/master/sprites/pokemon/other/official-artwork/482.png</v>
          </cell>
          <cell r="U633" t="str">
            <v>https://raw.githubusercontent.com/PokeAPI/sprites/master/sprites/pokemon/other/official-artwork/shiny/482.png</v>
          </cell>
        </row>
        <row r="634">
          <cell r="A634">
            <v>483</v>
          </cell>
          <cell r="C634" t="str">
            <v>Dialga</v>
          </cell>
          <cell r="D634" t="str">
            <v>Standard</v>
          </cell>
          <cell r="E634" t="str">
            <v>steel</v>
          </cell>
          <cell r="F634" t="str">
            <v>dragon</v>
          </cell>
          <cell r="G634">
            <v>100</v>
          </cell>
          <cell r="H634">
            <v>120</v>
          </cell>
          <cell r="I634">
            <v>120</v>
          </cell>
          <cell r="J634">
            <v>150</v>
          </cell>
          <cell r="K634">
            <v>100</v>
          </cell>
          <cell r="L634">
            <v>90</v>
          </cell>
          <cell r="M634">
            <v>680</v>
          </cell>
          <cell r="N634" t="str">
            <v>pressure</v>
          </cell>
          <cell r="P634" t="str">
            <v>telepathy</v>
          </cell>
          <cell r="Q634">
            <v>5.4</v>
          </cell>
          <cell r="R634">
            <v>683</v>
          </cell>
          <cell r="S634" t="str">
            <v>It has the power to control time. It appears in Sinnoh-region myths as an ancient deity.</v>
          </cell>
          <cell r="T634" t="str">
            <v>https://raw.githubusercontent.com/PokeAPI/sprites/master/sprites/pokemon/other/official-artwork/483.png</v>
          </cell>
          <cell r="U634" t="str">
            <v>https://raw.githubusercontent.com/PokeAPI/sprites/master/sprites/pokemon/other/official-artwork/shiny/483.png</v>
          </cell>
        </row>
        <row r="635">
          <cell r="A635">
            <v>483</v>
          </cell>
          <cell r="C635" t="str">
            <v>Dialga Origin</v>
          </cell>
          <cell r="D635" t="str">
            <v>Other</v>
          </cell>
          <cell r="E635" t="str">
            <v>steel</v>
          </cell>
          <cell r="F635" t="str">
            <v>dragon</v>
          </cell>
          <cell r="G635">
            <v>100</v>
          </cell>
          <cell r="H635">
            <v>100</v>
          </cell>
          <cell r="I635">
            <v>120</v>
          </cell>
          <cell r="J635">
            <v>150</v>
          </cell>
          <cell r="K635">
            <v>120</v>
          </cell>
          <cell r="L635">
            <v>90</v>
          </cell>
          <cell r="M635">
            <v>680</v>
          </cell>
          <cell r="N635" t="str">
            <v>pressure</v>
          </cell>
          <cell r="P635" t="str">
            <v>telepathy</v>
          </cell>
          <cell r="Q635">
            <v>7</v>
          </cell>
          <cell r="R635">
            <v>848.7</v>
          </cell>
          <cell r="S635" t="str">
            <v>It has the power to control time. It appears in Sinnoh-region myths as an ancient deity.</v>
          </cell>
          <cell r="T635" t="str">
            <v>https://raw.githubusercontent.com/PokeAPI/sprites/master/sprites/pokemon/other/official-artwork/10245.png</v>
          </cell>
          <cell r="U635" t="str">
            <v>https://raw.githubusercontent.com/PokeAPI/sprites/master/sprites/pokemon/other/official-artwork/shiny/10245.png</v>
          </cell>
        </row>
        <row r="636">
          <cell r="A636">
            <v>484</v>
          </cell>
          <cell r="C636" t="str">
            <v>Palkia</v>
          </cell>
          <cell r="D636" t="str">
            <v>Standard</v>
          </cell>
          <cell r="E636" t="str">
            <v>water</v>
          </cell>
          <cell r="F636" t="str">
            <v>dragon</v>
          </cell>
          <cell r="G636">
            <v>90</v>
          </cell>
          <cell r="H636">
            <v>120</v>
          </cell>
          <cell r="I636">
            <v>100</v>
          </cell>
          <cell r="J636">
            <v>150</v>
          </cell>
          <cell r="K636">
            <v>120</v>
          </cell>
          <cell r="L636">
            <v>100</v>
          </cell>
          <cell r="M636">
            <v>680</v>
          </cell>
          <cell r="N636" t="str">
            <v>pressure</v>
          </cell>
          <cell r="P636" t="str">
            <v>telepathy</v>
          </cell>
          <cell r="Q636">
            <v>4.2</v>
          </cell>
          <cell r="R636">
            <v>336</v>
          </cell>
          <cell r="S636" t="str">
            <v>It has the ability to distort space. It is described as a deity in Sinnoh-region mythology.</v>
          </cell>
          <cell r="T636" t="str">
            <v>https://raw.githubusercontent.com/PokeAPI/sprites/master/sprites/pokemon/other/official-artwork/484.png</v>
          </cell>
          <cell r="U636" t="str">
            <v>https://raw.githubusercontent.com/PokeAPI/sprites/master/sprites/pokemon/other/official-artwork/shiny/484.png</v>
          </cell>
        </row>
        <row r="637">
          <cell r="A637">
            <v>484</v>
          </cell>
          <cell r="C637" t="str">
            <v>Palkia Origin</v>
          </cell>
          <cell r="D637" t="str">
            <v>Other</v>
          </cell>
          <cell r="E637" t="str">
            <v>water</v>
          </cell>
          <cell r="F637" t="str">
            <v>dragon</v>
          </cell>
          <cell r="G637">
            <v>90</v>
          </cell>
          <cell r="H637">
            <v>100</v>
          </cell>
          <cell r="I637">
            <v>100</v>
          </cell>
          <cell r="J637">
            <v>150</v>
          </cell>
          <cell r="K637">
            <v>120</v>
          </cell>
          <cell r="L637">
            <v>120</v>
          </cell>
          <cell r="M637">
            <v>680</v>
          </cell>
          <cell r="N637" t="str">
            <v>pressure</v>
          </cell>
          <cell r="P637" t="str">
            <v>telepathy</v>
          </cell>
          <cell r="Q637">
            <v>6.3</v>
          </cell>
          <cell r="R637">
            <v>659</v>
          </cell>
          <cell r="S637" t="str">
            <v>It has the ability to distort space. It is described as a deity in Sinnoh-region mythology.</v>
          </cell>
          <cell r="T637" t="str">
            <v>https://raw.githubusercontent.com/PokeAPI/sprites/master/sprites/pokemon/other/official-artwork/10246.png</v>
          </cell>
          <cell r="U637" t="str">
            <v>https://raw.githubusercontent.com/PokeAPI/sprites/master/sprites/pokemon/other/official-artwork/shiny/10246.png</v>
          </cell>
        </row>
        <row r="638">
          <cell r="A638">
            <v>485</v>
          </cell>
          <cell r="C638" t="str">
            <v>Heatran</v>
          </cell>
          <cell r="D638" t="str">
            <v>Standard</v>
          </cell>
          <cell r="E638" t="str">
            <v>fire</v>
          </cell>
          <cell r="F638" t="str">
            <v>steel</v>
          </cell>
          <cell r="G638">
            <v>91</v>
          </cell>
          <cell r="H638">
            <v>90</v>
          </cell>
          <cell r="I638">
            <v>106</v>
          </cell>
          <cell r="J638">
            <v>130</v>
          </cell>
          <cell r="K638">
            <v>106</v>
          </cell>
          <cell r="L638">
            <v>77</v>
          </cell>
          <cell r="M638">
            <v>600</v>
          </cell>
          <cell r="N638" t="str">
            <v>flash-fire</v>
          </cell>
          <cell r="P638" t="str">
            <v>flame-body</v>
          </cell>
          <cell r="Q638">
            <v>1.7</v>
          </cell>
          <cell r="R638">
            <v>430</v>
          </cell>
          <cell r="S638" t="str">
            <v>It dwells in volcanic caves. It digs in with its cross-shaped feet to crawl on ceilings and walls.</v>
          </cell>
          <cell r="T638" t="str">
            <v>https://raw.githubusercontent.com/PokeAPI/sprites/master/sprites/pokemon/other/official-artwork/485.png</v>
          </cell>
          <cell r="U638" t="str">
            <v>https://raw.githubusercontent.com/PokeAPI/sprites/master/sprites/pokemon/other/official-artwork/shiny/485.png</v>
          </cell>
        </row>
        <row r="639">
          <cell r="A639">
            <v>485</v>
          </cell>
          <cell r="C639" t="str">
            <v>Heatran Mega</v>
          </cell>
          <cell r="D639" t="str">
            <v>Mega</v>
          </cell>
          <cell r="E639" t="str">
            <v>fire</v>
          </cell>
          <cell r="F639" t="str">
            <v>steel</v>
          </cell>
          <cell r="G639">
            <v>91</v>
          </cell>
          <cell r="H639">
            <v>120</v>
          </cell>
          <cell r="I639">
            <v>106</v>
          </cell>
          <cell r="J639">
            <v>175</v>
          </cell>
          <cell r="K639">
            <v>141</v>
          </cell>
          <cell r="L639">
            <v>67</v>
          </cell>
          <cell r="M639">
            <v>700</v>
          </cell>
          <cell r="Q639">
            <v>2.8</v>
          </cell>
          <cell r="R639">
            <v>570</v>
          </cell>
          <cell r="S639" t="str">
            <v>It dwells in volcanic caves. It digs in with its cross-shaped feet to crawl on ceilings and walls.</v>
          </cell>
        </row>
        <row r="640">
          <cell r="A640">
            <v>486</v>
          </cell>
          <cell r="C640" t="str">
            <v>Regigigas</v>
          </cell>
          <cell r="D640" t="str">
            <v>Standard</v>
          </cell>
          <cell r="E640" t="str">
            <v>normal</v>
          </cell>
          <cell r="G640">
            <v>110</v>
          </cell>
          <cell r="H640">
            <v>160</v>
          </cell>
          <cell r="I640">
            <v>110</v>
          </cell>
          <cell r="J640">
            <v>80</v>
          </cell>
          <cell r="K640">
            <v>110</v>
          </cell>
          <cell r="L640">
            <v>100</v>
          </cell>
          <cell r="M640">
            <v>670</v>
          </cell>
          <cell r="N640" t="str">
            <v>slow-start</v>
          </cell>
          <cell r="Q640">
            <v>3.7</v>
          </cell>
          <cell r="R640">
            <v>420</v>
          </cell>
          <cell r="S640" t="str">
            <v>There is an enduring legend that states this Pokémon towed continents with ropes.</v>
          </cell>
          <cell r="T640" t="str">
            <v>https://raw.githubusercontent.com/PokeAPI/sprites/master/sprites/pokemon/other/official-artwork/486.png</v>
          </cell>
          <cell r="U640" t="str">
            <v>https://raw.githubusercontent.com/PokeAPI/sprites/master/sprites/pokemon/other/official-artwork/shiny/486.png</v>
          </cell>
        </row>
        <row r="641">
          <cell r="A641">
            <v>487</v>
          </cell>
          <cell r="C641" t="str">
            <v>Giratina Altered</v>
          </cell>
          <cell r="D641" t="str">
            <v>Other</v>
          </cell>
          <cell r="E641" t="str">
            <v>ghost</v>
          </cell>
          <cell r="F641" t="str">
            <v>dragon</v>
          </cell>
          <cell r="G641">
            <v>150</v>
          </cell>
          <cell r="H641">
            <v>100</v>
          </cell>
          <cell r="I641">
            <v>120</v>
          </cell>
          <cell r="J641">
            <v>100</v>
          </cell>
          <cell r="K641">
            <v>120</v>
          </cell>
          <cell r="L641">
            <v>90</v>
          </cell>
          <cell r="M641">
            <v>680</v>
          </cell>
          <cell r="N641" t="str">
            <v>pressure</v>
          </cell>
          <cell r="P641" t="str">
            <v>telepathy</v>
          </cell>
          <cell r="Q641">
            <v>4.5</v>
          </cell>
          <cell r="R641">
            <v>750</v>
          </cell>
          <cell r="S641" t="str">
            <v>A Pokémon that is said to live in a world on the reverse side of ours. It appears in an ancient cemetery.</v>
          </cell>
          <cell r="T641" t="str">
            <v>https://raw.githubusercontent.com/PokeAPI/sprites/master/sprites/pokemon/other/official-artwork/487.png</v>
          </cell>
          <cell r="U641" t="str">
            <v>https://raw.githubusercontent.com/PokeAPI/sprites/master/sprites/pokemon/other/official-artwork/shiny/487.png</v>
          </cell>
        </row>
        <row r="642">
          <cell r="A642">
            <v>487</v>
          </cell>
          <cell r="C642" t="str">
            <v>Giratina Origin</v>
          </cell>
          <cell r="D642" t="str">
            <v>Other</v>
          </cell>
          <cell r="E642" t="str">
            <v>ghost</v>
          </cell>
          <cell r="F642" t="str">
            <v>dragon</v>
          </cell>
          <cell r="G642">
            <v>150</v>
          </cell>
          <cell r="H642">
            <v>120</v>
          </cell>
          <cell r="I642">
            <v>100</v>
          </cell>
          <cell r="J642">
            <v>120</v>
          </cell>
          <cell r="K642">
            <v>100</v>
          </cell>
          <cell r="L642">
            <v>90</v>
          </cell>
          <cell r="M642">
            <v>680</v>
          </cell>
          <cell r="N642" t="str">
            <v>levitate</v>
          </cell>
          <cell r="Q642">
            <v>6.9</v>
          </cell>
          <cell r="R642">
            <v>650</v>
          </cell>
          <cell r="S642" t="str">
            <v>A Pokémon that is said to live in a world on the reverse side of ours. It appears in an ancient cemetery.</v>
          </cell>
          <cell r="T642" t="str">
            <v>https://raw.githubusercontent.com/PokeAPI/sprites/master/sprites/pokemon/other/official-artwork/10007.png</v>
          </cell>
          <cell r="U642" t="str">
            <v>https://raw.githubusercontent.com/PokeAPI/sprites/master/sprites/pokemon/other/official-artwork/shiny/10007.png</v>
          </cell>
        </row>
        <row r="643">
          <cell r="A643">
            <v>488</v>
          </cell>
          <cell r="C643" t="str">
            <v>Cresselia</v>
          </cell>
          <cell r="D643" t="str">
            <v>Standard</v>
          </cell>
          <cell r="E643" t="str">
            <v>psychic</v>
          </cell>
          <cell r="G643">
            <v>120</v>
          </cell>
          <cell r="H643">
            <v>70</v>
          </cell>
          <cell r="I643">
            <v>110</v>
          </cell>
          <cell r="J643">
            <v>75</v>
          </cell>
          <cell r="K643">
            <v>120</v>
          </cell>
          <cell r="L643">
            <v>85</v>
          </cell>
          <cell r="M643">
            <v>580</v>
          </cell>
          <cell r="N643" t="str">
            <v>levitate</v>
          </cell>
          <cell r="Q643">
            <v>1.5</v>
          </cell>
          <cell r="R643">
            <v>85.6</v>
          </cell>
          <cell r="S643" t="str">
            <v>Shiny particles are released from its wings like a veil. It is said to represent the crescent moon.</v>
          </cell>
          <cell r="T643" t="str">
            <v>https://raw.githubusercontent.com/PokeAPI/sprites/master/sprites/pokemon/other/official-artwork/488.png</v>
          </cell>
          <cell r="U643" t="str">
            <v>https://raw.githubusercontent.com/PokeAPI/sprites/master/sprites/pokemon/other/official-artwork/shiny/488.png</v>
          </cell>
        </row>
        <row r="644">
          <cell r="A644">
            <v>489</v>
          </cell>
          <cell r="C644" t="str">
            <v>Phione</v>
          </cell>
          <cell r="D644" t="str">
            <v>Standard</v>
          </cell>
          <cell r="E644" t="str">
            <v>water</v>
          </cell>
          <cell r="G644">
            <v>80</v>
          </cell>
          <cell r="H644">
            <v>80</v>
          </cell>
          <cell r="I644">
            <v>80</v>
          </cell>
          <cell r="J644">
            <v>80</v>
          </cell>
          <cell r="K644">
            <v>80</v>
          </cell>
          <cell r="L644">
            <v>80</v>
          </cell>
          <cell r="M644">
            <v>480</v>
          </cell>
          <cell r="N644" t="str">
            <v>hydration</v>
          </cell>
          <cell r="Q644">
            <v>0.4</v>
          </cell>
          <cell r="R644">
            <v>3.1</v>
          </cell>
          <cell r="S644" t="str">
            <v>It drifts in warm seas. It always returns to where it was born, no matter how far it may have drifted.</v>
          </cell>
          <cell r="T644" t="str">
            <v>https://raw.githubusercontent.com/PokeAPI/sprites/master/sprites/pokemon/other/official-artwork/489.png</v>
          </cell>
          <cell r="U644" t="str">
            <v>https://raw.githubusercontent.com/PokeAPI/sprites/master/sprites/pokemon/other/official-artwork/shiny/489.png</v>
          </cell>
        </row>
        <row r="645">
          <cell r="A645">
            <v>490</v>
          </cell>
          <cell r="C645" t="str">
            <v>Manaphy</v>
          </cell>
          <cell r="D645" t="str">
            <v>Standard</v>
          </cell>
          <cell r="E645" t="str">
            <v>water</v>
          </cell>
          <cell r="G645">
            <v>100</v>
          </cell>
          <cell r="H645">
            <v>100</v>
          </cell>
          <cell r="I645">
            <v>100</v>
          </cell>
          <cell r="J645">
            <v>100</v>
          </cell>
          <cell r="K645">
            <v>100</v>
          </cell>
          <cell r="L645">
            <v>100</v>
          </cell>
          <cell r="M645">
            <v>600</v>
          </cell>
          <cell r="N645" t="str">
            <v>hydration</v>
          </cell>
          <cell r="Q645">
            <v>0.3</v>
          </cell>
          <cell r="R645">
            <v>1.4</v>
          </cell>
          <cell r="S645" t="str">
            <v>Born on a cold seafloor, it will swim great distances to return to its birthplace.</v>
          </cell>
          <cell r="T645" t="str">
            <v>https://raw.githubusercontent.com/PokeAPI/sprites/master/sprites/pokemon/other/official-artwork/490.png</v>
          </cell>
          <cell r="U645" t="str">
            <v>https://raw.githubusercontent.com/PokeAPI/sprites/master/sprites/pokemon/other/official-artwork/shiny/490.png</v>
          </cell>
        </row>
        <row r="646">
          <cell r="A646">
            <v>491</v>
          </cell>
          <cell r="C646" t="str">
            <v>Darkrai</v>
          </cell>
          <cell r="D646" t="str">
            <v>Standard</v>
          </cell>
          <cell r="E646" t="str">
            <v>dark</v>
          </cell>
          <cell r="G646">
            <v>70</v>
          </cell>
          <cell r="H646">
            <v>90</v>
          </cell>
          <cell r="I646">
            <v>90</v>
          </cell>
          <cell r="J646">
            <v>135</v>
          </cell>
          <cell r="K646">
            <v>90</v>
          </cell>
          <cell r="L646">
            <v>125</v>
          </cell>
          <cell r="M646">
            <v>600</v>
          </cell>
          <cell r="N646" t="str">
            <v>bad-dreams</v>
          </cell>
          <cell r="Q646">
            <v>1.5</v>
          </cell>
          <cell r="R646">
            <v>50.5</v>
          </cell>
          <cell r="S646" t="str">
            <v>It can lull people to sleep and make them dream. It is active during nights of the new moon.</v>
          </cell>
          <cell r="T646" t="str">
            <v>https://raw.githubusercontent.com/PokeAPI/sprites/master/sprites/pokemon/other/official-artwork/491.png</v>
          </cell>
          <cell r="U646" t="str">
            <v>https://raw.githubusercontent.com/PokeAPI/sprites/master/sprites/pokemon/other/official-artwork/shiny/491.png</v>
          </cell>
        </row>
        <row r="647">
          <cell r="A647">
            <v>491</v>
          </cell>
          <cell r="C647" t="str">
            <v>Darkrai Mega</v>
          </cell>
          <cell r="D647" t="str">
            <v>Mega</v>
          </cell>
          <cell r="E647" t="str">
            <v>dark</v>
          </cell>
          <cell r="G647">
            <v>70</v>
          </cell>
          <cell r="H647">
            <v>120</v>
          </cell>
          <cell r="I647">
            <v>130</v>
          </cell>
          <cell r="J647">
            <v>165</v>
          </cell>
          <cell r="K647">
            <v>130</v>
          </cell>
          <cell r="L647">
            <v>85</v>
          </cell>
          <cell r="M647">
            <v>700</v>
          </cell>
          <cell r="Q647">
            <v>3</v>
          </cell>
          <cell r="R647">
            <v>240</v>
          </cell>
          <cell r="S647" t="str">
            <v>It can lull people to sleep and make them dream. It is active during nights of the new moon.</v>
          </cell>
        </row>
        <row r="648">
          <cell r="A648">
            <v>492</v>
          </cell>
          <cell r="C648" t="str">
            <v>Shaymin Land</v>
          </cell>
          <cell r="D648" t="str">
            <v>Other</v>
          </cell>
          <cell r="E648" t="str">
            <v>grass</v>
          </cell>
          <cell r="G648">
            <v>100</v>
          </cell>
          <cell r="H648">
            <v>100</v>
          </cell>
          <cell r="I648">
            <v>100</v>
          </cell>
          <cell r="J648">
            <v>100</v>
          </cell>
          <cell r="K648">
            <v>100</v>
          </cell>
          <cell r="L648">
            <v>100</v>
          </cell>
          <cell r="M648">
            <v>600</v>
          </cell>
          <cell r="N648" t="str">
            <v>natural-cure</v>
          </cell>
          <cell r="Q648">
            <v>0.2</v>
          </cell>
          <cell r="R648">
            <v>2.1</v>
          </cell>
          <cell r="S648" t="str">
            <v>It lives in flower patches and avoids detection by curling up to look like a flowering plant.</v>
          </cell>
          <cell r="T648" t="str">
            <v>https://raw.githubusercontent.com/PokeAPI/sprites/master/sprites/pokemon/other/official-artwork/492.png</v>
          </cell>
          <cell r="U648" t="str">
            <v>https://raw.githubusercontent.com/PokeAPI/sprites/master/sprites/pokemon/other/official-artwork/shiny/492.png</v>
          </cell>
        </row>
        <row r="649">
          <cell r="A649">
            <v>492</v>
          </cell>
          <cell r="C649" t="str">
            <v>Shaymin Sky</v>
          </cell>
          <cell r="D649" t="str">
            <v>Other</v>
          </cell>
          <cell r="E649" t="str">
            <v>grass</v>
          </cell>
          <cell r="F649" t="str">
            <v>flying</v>
          </cell>
          <cell r="G649">
            <v>100</v>
          </cell>
          <cell r="H649">
            <v>103</v>
          </cell>
          <cell r="I649">
            <v>75</v>
          </cell>
          <cell r="J649">
            <v>120</v>
          </cell>
          <cell r="K649">
            <v>75</v>
          </cell>
          <cell r="L649">
            <v>127</v>
          </cell>
          <cell r="M649">
            <v>600</v>
          </cell>
          <cell r="N649" t="str">
            <v>serene-grace</v>
          </cell>
          <cell r="Q649">
            <v>0.4</v>
          </cell>
          <cell r="R649">
            <v>5.2</v>
          </cell>
          <cell r="S649" t="str">
            <v>It lives in flower patches and avoids detection by curling up to look like a flowering plant.</v>
          </cell>
          <cell r="T649" t="str">
            <v>https://raw.githubusercontent.com/PokeAPI/sprites/master/sprites/pokemon/other/official-artwork/10006.png</v>
          </cell>
          <cell r="U649" t="str">
            <v>https://raw.githubusercontent.com/PokeAPI/sprites/master/sprites/pokemon/other/official-artwork/shiny/10006.png</v>
          </cell>
        </row>
        <row r="650">
          <cell r="A650">
            <v>493</v>
          </cell>
          <cell r="C650" t="str">
            <v>Arceus</v>
          </cell>
          <cell r="D650" t="str">
            <v>Standard</v>
          </cell>
          <cell r="E650" t="str">
            <v>normal</v>
          </cell>
          <cell r="G650">
            <v>120</v>
          </cell>
          <cell r="H650">
            <v>120</v>
          </cell>
          <cell r="I650">
            <v>120</v>
          </cell>
          <cell r="J650">
            <v>120</v>
          </cell>
          <cell r="K650">
            <v>120</v>
          </cell>
          <cell r="L650">
            <v>120</v>
          </cell>
          <cell r="M650">
            <v>720</v>
          </cell>
          <cell r="N650" t="str">
            <v>multitype</v>
          </cell>
          <cell r="Q650">
            <v>3.2</v>
          </cell>
          <cell r="R650">
            <v>320</v>
          </cell>
          <cell r="S650" t="str">
            <v>It is described in mythology as the Pokémon that shaped the universe with its 1,000 arms.</v>
          </cell>
          <cell r="T650" t="str">
            <v>https://raw.githubusercontent.com/PokeAPI/sprites/master/sprites/pokemon/other/official-artwork/493.png</v>
          </cell>
          <cell r="U650" t="str">
            <v>https://raw.githubusercontent.com/PokeAPI/sprites/master/sprites/pokemon/other/official-artwork/shiny/493.png</v>
          </cell>
        </row>
        <row r="651">
          <cell r="A651">
            <v>494</v>
          </cell>
          <cell r="C651" t="str">
            <v>Victini</v>
          </cell>
          <cell r="D651" t="str">
            <v>Standard</v>
          </cell>
          <cell r="E651" t="str">
            <v>psychic</v>
          </cell>
          <cell r="F651" t="str">
            <v>fire</v>
          </cell>
          <cell r="G651">
            <v>100</v>
          </cell>
          <cell r="H651">
            <v>100</v>
          </cell>
          <cell r="I651">
            <v>100</v>
          </cell>
          <cell r="J651">
            <v>100</v>
          </cell>
          <cell r="K651">
            <v>100</v>
          </cell>
          <cell r="L651">
            <v>100</v>
          </cell>
          <cell r="M651">
            <v>600</v>
          </cell>
          <cell r="N651" t="str">
            <v>victory-star</v>
          </cell>
          <cell r="Q651">
            <v>0.4</v>
          </cell>
          <cell r="R651">
            <v>4</v>
          </cell>
          <cell r="S651" t="str">
            <v>This Pokémon brings victory. It is said that Trainers with Victini always win, regardless of the type of encounter.</v>
          </cell>
          <cell r="T651" t="str">
            <v>https://raw.githubusercontent.com/PokeAPI/sprites/master/sprites/pokemon/other/official-artwork/494.png</v>
          </cell>
          <cell r="U651" t="str">
            <v>https://raw.githubusercontent.com/PokeAPI/sprites/master/sprites/pokemon/other/official-artwork/shiny/494.png</v>
          </cell>
        </row>
        <row r="652">
          <cell r="A652">
            <v>495</v>
          </cell>
          <cell r="C652" t="str">
            <v>Snivy</v>
          </cell>
          <cell r="D652" t="str">
            <v>Standard</v>
          </cell>
          <cell r="E652" t="str">
            <v>grass</v>
          </cell>
          <cell r="G652">
            <v>45</v>
          </cell>
          <cell r="H652">
            <v>45</v>
          </cell>
          <cell r="I652">
            <v>55</v>
          </cell>
          <cell r="J652">
            <v>45</v>
          </cell>
          <cell r="K652">
            <v>55</v>
          </cell>
          <cell r="L652">
            <v>63</v>
          </cell>
          <cell r="M652">
            <v>308</v>
          </cell>
          <cell r="N652" t="str">
            <v>overgrow</v>
          </cell>
          <cell r="P652" t="str">
            <v>contrary</v>
          </cell>
          <cell r="Q652">
            <v>0.6</v>
          </cell>
          <cell r="R652">
            <v>8.1</v>
          </cell>
          <cell r="S652" t="str">
            <v>It is very intelligent and calm. Being exposed to lots of sunlight makes its movements swifter.</v>
          </cell>
          <cell r="T652" t="str">
            <v>https://raw.githubusercontent.com/PokeAPI/sprites/master/sprites/pokemon/other/official-artwork/495.png</v>
          </cell>
          <cell r="U652" t="str">
            <v>https://raw.githubusercontent.com/PokeAPI/sprites/master/sprites/pokemon/other/official-artwork/shiny/495.png</v>
          </cell>
        </row>
        <row r="653">
          <cell r="A653">
            <v>496</v>
          </cell>
          <cell r="C653" t="str">
            <v>Servine</v>
          </cell>
          <cell r="D653" t="str">
            <v>Standard</v>
          </cell>
          <cell r="E653" t="str">
            <v>grass</v>
          </cell>
          <cell r="G653">
            <v>60</v>
          </cell>
          <cell r="H653">
            <v>60</v>
          </cell>
          <cell r="I653">
            <v>75</v>
          </cell>
          <cell r="J653">
            <v>60</v>
          </cell>
          <cell r="K653">
            <v>75</v>
          </cell>
          <cell r="L653">
            <v>83</v>
          </cell>
          <cell r="M653">
            <v>413</v>
          </cell>
          <cell r="N653" t="str">
            <v>overgrow</v>
          </cell>
          <cell r="P653" t="str">
            <v>contrary</v>
          </cell>
          <cell r="Q653">
            <v>0.8</v>
          </cell>
          <cell r="R653">
            <v>16</v>
          </cell>
          <cell r="S653" t="str">
            <v>It moves along the ground as if sliding. Its swift movements befuddle its foes, and it then attacks with a vine whip.</v>
          </cell>
          <cell r="T653" t="str">
            <v>https://raw.githubusercontent.com/PokeAPI/sprites/master/sprites/pokemon/other/official-artwork/496.png</v>
          </cell>
          <cell r="U653" t="str">
            <v>https://raw.githubusercontent.com/PokeAPI/sprites/master/sprites/pokemon/other/official-artwork/shiny/496.png</v>
          </cell>
        </row>
        <row r="654">
          <cell r="A654">
            <v>497</v>
          </cell>
          <cell r="C654" t="str">
            <v>Serperior</v>
          </cell>
          <cell r="D654" t="str">
            <v>Standard</v>
          </cell>
          <cell r="E654" t="str">
            <v>grass</v>
          </cell>
          <cell r="G654">
            <v>75</v>
          </cell>
          <cell r="H654">
            <v>75</v>
          </cell>
          <cell r="I654">
            <v>95</v>
          </cell>
          <cell r="J654">
            <v>75</v>
          </cell>
          <cell r="K654">
            <v>95</v>
          </cell>
          <cell r="L654">
            <v>113</v>
          </cell>
          <cell r="M654">
            <v>528</v>
          </cell>
          <cell r="N654" t="str">
            <v>overgrow</v>
          </cell>
          <cell r="P654" t="str">
            <v>contrary</v>
          </cell>
          <cell r="Q654">
            <v>3.3</v>
          </cell>
          <cell r="R654">
            <v>63</v>
          </cell>
          <cell r="S654" t="str">
            <v>It can stop its opponents’ movements with just a glare. It takes in solar energy and boosts it internally.</v>
          </cell>
          <cell r="T654" t="str">
            <v>https://raw.githubusercontent.com/PokeAPI/sprites/master/sprites/pokemon/other/official-artwork/497.png</v>
          </cell>
          <cell r="U654" t="str">
            <v>https://raw.githubusercontent.com/PokeAPI/sprites/master/sprites/pokemon/other/official-artwork/shiny/497.png</v>
          </cell>
        </row>
        <row r="655">
          <cell r="A655">
            <v>498</v>
          </cell>
          <cell r="C655" t="str">
            <v>Tepig</v>
          </cell>
          <cell r="D655" t="str">
            <v>Standard</v>
          </cell>
          <cell r="E655" t="str">
            <v>fire</v>
          </cell>
          <cell r="G655">
            <v>65</v>
          </cell>
          <cell r="H655">
            <v>63</v>
          </cell>
          <cell r="I655">
            <v>45</v>
          </cell>
          <cell r="J655">
            <v>45</v>
          </cell>
          <cell r="K655">
            <v>45</v>
          </cell>
          <cell r="L655">
            <v>45</v>
          </cell>
          <cell r="M655">
            <v>308</v>
          </cell>
          <cell r="N655" t="str">
            <v>blaze</v>
          </cell>
          <cell r="P655" t="str">
            <v>thick-fat</v>
          </cell>
          <cell r="Q655">
            <v>0.5</v>
          </cell>
          <cell r="R655">
            <v>9.9</v>
          </cell>
          <cell r="S655" t="str">
            <v>It can deftly dodge its foe’s attacks while shooting fireballs from its nose. It roasts berries before it eats them.</v>
          </cell>
          <cell r="T655" t="str">
            <v>https://raw.githubusercontent.com/PokeAPI/sprites/master/sprites/pokemon/other/official-artwork/498.png</v>
          </cell>
          <cell r="U655" t="str">
            <v>https://raw.githubusercontent.com/PokeAPI/sprites/master/sprites/pokemon/other/official-artwork/shiny/498.png</v>
          </cell>
        </row>
        <row r="656">
          <cell r="A656">
            <v>499</v>
          </cell>
          <cell r="C656" t="str">
            <v>Pignite</v>
          </cell>
          <cell r="D656" t="str">
            <v>Standard</v>
          </cell>
          <cell r="E656" t="str">
            <v>fire</v>
          </cell>
          <cell r="F656" t="str">
            <v>fighting</v>
          </cell>
          <cell r="G656">
            <v>90</v>
          </cell>
          <cell r="H656">
            <v>93</v>
          </cell>
          <cell r="I656">
            <v>55</v>
          </cell>
          <cell r="J656">
            <v>70</v>
          </cell>
          <cell r="K656">
            <v>55</v>
          </cell>
          <cell r="L656">
            <v>55</v>
          </cell>
          <cell r="M656">
            <v>418</v>
          </cell>
          <cell r="N656" t="str">
            <v>blaze</v>
          </cell>
          <cell r="P656" t="str">
            <v>thick-fat</v>
          </cell>
          <cell r="Q656">
            <v>1</v>
          </cell>
          <cell r="R656">
            <v>55.5</v>
          </cell>
          <cell r="S656" t="str">
            <v>When its internal fire flares up, its movements grow sharper and faster. When in trouble, it emits smoke.</v>
          </cell>
          <cell r="T656" t="str">
            <v>https://raw.githubusercontent.com/PokeAPI/sprites/master/sprites/pokemon/other/official-artwork/499.png</v>
          </cell>
          <cell r="U656" t="str">
            <v>https://raw.githubusercontent.com/PokeAPI/sprites/master/sprites/pokemon/other/official-artwork/shiny/499.png</v>
          </cell>
        </row>
        <row r="657">
          <cell r="A657">
            <v>500</v>
          </cell>
          <cell r="C657" t="str">
            <v>Emboar</v>
          </cell>
          <cell r="D657" t="str">
            <v>Standard</v>
          </cell>
          <cell r="E657" t="str">
            <v>fire</v>
          </cell>
          <cell r="F657" t="str">
            <v>fighting</v>
          </cell>
          <cell r="G657">
            <v>110</v>
          </cell>
          <cell r="H657">
            <v>123</v>
          </cell>
          <cell r="I657">
            <v>65</v>
          </cell>
          <cell r="J657">
            <v>100</v>
          </cell>
          <cell r="K657">
            <v>65</v>
          </cell>
          <cell r="L657">
            <v>65</v>
          </cell>
          <cell r="M657">
            <v>528</v>
          </cell>
          <cell r="N657" t="str">
            <v>blaze</v>
          </cell>
          <cell r="P657" t="str">
            <v>reckless</v>
          </cell>
          <cell r="Q657">
            <v>1.6</v>
          </cell>
          <cell r="R657">
            <v>150</v>
          </cell>
          <cell r="S657" t="str">
            <v>It can throw a fire punch by setting its fists on fire with its fiery chin. It cares deeply about its friends.</v>
          </cell>
          <cell r="T657" t="str">
            <v>https://raw.githubusercontent.com/PokeAPI/sprites/master/sprites/pokemon/other/official-artwork/500.png</v>
          </cell>
          <cell r="U657" t="str">
            <v>https://raw.githubusercontent.com/PokeAPI/sprites/master/sprites/pokemon/other/official-artwork/shiny/500.png</v>
          </cell>
        </row>
        <row r="658">
          <cell r="A658">
            <v>500</v>
          </cell>
          <cell r="C658" t="str">
            <v>Emboar Mega</v>
          </cell>
          <cell r="D658" t="str">
            <v>Mega</v>
          </cell>
          <cell r="E658" t="str">
            <v>fire</v>
          </cell>
          <cell r="F658" t="str">
            <v>fighting</v>
          </cell>
          <cell r="G658">
            <v>110</v>
          </cell>
          <cell r="H658">
            <v>148</v>
          </cell>
          <cell r="I658">
            <v>75</v>
          </cell>
          <cell r="J658">
            <v>110</v>
          </cell>
          <cell r="K658">
            <v>110</v>
          </cell>
          <cell r="L658">
            <v>75</v>
          </cell>
          <cell r="M658">
            <v>628</v>
          </cell>
          <cell r="Q658">
            <v>1.8</v>
          </cell>
          <cell r="R658">
            <v>180.3</v>
          </cell>
          <cell r="S658" t="str">
            <v>It can throw a fire punch by setting its fists on fire with its fiery chin. It cares deeply about its friends.</v>
          </cell>
          <cell r="T658" t="str">
            <v>https://raw.githubusercontent.com/PokeAPI/sprites/master/sprites/pokemon/other/showdown/10286.gif</v>
          </cell>
          <cell r="U658" t="str">
            <v>https://raw.githubusercontent.com/PokeAPI/sprites/master/sprites/pokemon/other/showdown/shiny/10286.gif</v>
          </cell>
        </row>
        <row r="659">
          <cell r="A659">
            <v>501</v>
          </cell>
          <cell r="C659" t="str">
            <v>Oshawott</v>
          </cell>
          <cell r="D659" t="str">
            <v>Standard</v>
          </cell>
          <cell r="E659" t="str">
            <v>water</v>
          </cell>
          <cell r="G659">
            <v>55</v>
          </cell>
          <cell r="H659">
            <v>55</v>
          </cell>
          <cell r="I659">
            <v>45</v>
          </cell>
          <cell r="J659">
            <v>63</v>
          </cell>
          <cell r="K659">
            <v>45</v>
          </cell>
          <cell r="L659">
            <v>45</v>
          </cell>
          <cell r="M659">
            <v>308</v>
          </cell>
          <cell r="N659" t="str">
            <v>torrent</v>
          </cell>
          <cell r="P659" t="str">
            <v>shell-armor</v>
          </cell>
          <cell r="Q659">
            <v>0.5</v>
          </cell>
          <cell r="R659">
            <v>5.9</v>
          </cell>
          <cell r="S659" t="str">
            <v>It fights using the scalchop on its stomach. In response to an attack, it retaliates immediately by slashing.</v>
          </cell>
          <cell r="T659" t="str">
            <v>https://raw.githubusercontent.com/PokeAPI/sprites/master/sprites/pokemon/other/official-artwork/501.png</v>
          </cell>
          <cell r="U659" t="str">
            <v>https://raw.githubusercontent.com/PokeAPI/sprites/master/sprites/pokemon/other/official-artwork/shiny/501.png</v>
          </cell>
        </row>
        <row r="660">
          <cell r="A660">
            <v>502</v>
          </cell>
          <cell r="C660" t="str">
            <v>Dewott</v>
          </cell>
          <cell r="D660" t="str">
            <v>Standard</v>
          </cell>
          <cell r="E660" t="str">
            <v>water</v>
          </cell>
          <cell r="G660">
            <v>75</v>
          </cell>
          <cell r="H660">
            <v>75</v>
          </cell>
          <cell r="I660">
            <v>60</v>
          </cell>
          <cell r="J660">
            <v>83</v>
          </cell>
          <cell r="K660">
            <v>60</v>
          </cell>
          <cell r="L660">
            <v>60</v>
          </cell>
          <cell r="M660">
            <v>413</v>
          </cell>
          <cell r="N660" t="str">
            <v>torrent</v>
          </cell>
          <cell r="P660" t="str">
            <v>shell-armor</v>
          </cell>
          <cell r="Q660">
            <v>0.8</v>
          </cell>
          <cell r="R660">
            <v>24.5</v>
          </cell>
          <cell r="S660" t="str">
            <v>Strict training is how it learns its flowing double-scalchop technique.</v>
          </cell>
          <cell r="T660" t="str">
            <v>https://raw.githubusercontent.com/PokeAPI/sprites/master/sprites/pokemon/other/official-artwork/502.png</v>
          </cell>
          <cell r="U660" t="str">
            <v>https://raw.githubusercontent.com/PokeAPI/sprites/master/sprites/pokemon/other/official-artwork/shiny/502.png</v>
          </cell>
        </row>
        <row r="661">
          <cell r="A661">
            <v>503</v>
          </cell>
          <cell r="C661" t="str">
            <v>Samurott</v>
          </cell>
          <cell r="D661" t="str">
            <v>Standard</v>
          </cell>
          <cell r="E661" t="str">
            <v>water</v>
          </cell>
          <cell r="G661">
            <v>95</v>
          </cell>
          <cell r="H661">
            <v>100</v>
          </cell>
          <cell r="I661">
            <v>85</v>
          </cell>
          <cell r="J661">
            <v>108</v>
          </cell>
          <cell r="K661">
            <v>70</v>
          </cell>
          <cell r="L661">
            <v>70</v>
          </cell>
          <cell r="M661">
            <v>528</v>
          </cell>
          <cell r="N661" t="str">
            <v>torrent</v>
          </cell>
          <cell r="P661" t="str">
            <v>shell-armor</v>
          </cell>
          <cell r="Q661">
            <v>1.5</v>
          </cell>
          <cell r="R661">
            <v>94.6</v>
          </cell>
          <cell r="S661" t="str">
            <v>One swing of the sword incorporated in its armor can fell an opponent. A simple glare from one of them quiets everybody.</v>
          </cell>
          <cell r="T661" t="str">
            <v>https://raw.githubusercontent.com/PokeAPI/sprites/master/sprites/pokemon/other/official-artwork/503.png</v>
          </cell>
          <cell r="U661" t="str">
            <v>https://raw.githubusercontent.com/PokeAPI/sprites/master/sprites/pokemon/other/official-artwork/shiny/503.png</v>
          </cell>
        </row>
        <row r="662">
          <cell r="A662">
            <v>503</v>
          </cell>
          <cell r="C662" t="str">
            <v>Samurott Hisui</v>
          </cell>
          <cell r="D662" t="str">
            <v>Regional</v>
          </cell>
          <cell r="E662" t="str">
            <v>water</v>
          </cell>
          <cell r="F662" t="str">
            <v>dark</v>
          </cell>
          <cell r="G662">
            <v>90</v>
          </cell>
          <cell r="H662">
            <v>108</v>
          </cell>
          <cell r="I662">
            <v>80</v>
          </cell>
          <cell r="J662">
            <v>100</v>
          </cell>
          <cell r="K662">
            <v>65</v>
          </cell>
          <cell r="L662">
            <v>85</v>
          </cell>
          <cell r="M662">
            <v>528</v>
          </cell>
          <cell r="N662" t="str">
            <v>torrent</v>
          </cell>
          <cell r="P662" t="str">
            <v>sharpness</v>
          </cell>
          <cell r="Q662">
            <v>1.5</v>
          </cell>
          <cell r="R662">
            <v>58.2</v>
          </cell>
          <cell r="S662" t="str">
            <v>One swing of the sword incorporated in its armor can fell an opponent. A simple glare from one of them quiets everybody.</v>
          </cell>
          <cell r="T662" t="str">
            <v>https://raw.githubusercontent.com/PokeAPI/sprites/master/sprites/pokemon/other/official-artwork/10236.png</v>
          </cell>
          <cell r="U662" t="str">
            <v>https://raw.githubusercontent.com/PokeAPI/sprites/master/sprites/pokemon/other/official-artwork/shiny/10236.png</v>
          </cell>
        </row>
        <row r="663">
          <cell r="A663">
            <v>504</v>
          </cell>
          <cell r="C663" t="str">
            <v>Patrat</v>
          </cell>
          <cell r="D663" t="str">
            <v>Standard</v>
          </cell>
          <cell r="E663" t="str">
            <v>normal</v>
          </cell>
          <cell r="G663">
            <v>45</v>
          </cell>
          <cell r="H663">
            <v>55</v>
          </cell>
          <cell r="I663">
            <v>39</v>
          </cell>
          <cell r="J663">
            <v>35</v>
          </cell>
          <cell r="K663">
            <v>39</v>
          </cell>
          <cell r="L663">
            <v>42</v>
          </cell>
          <cell r="M663">
            <v>255</v>
          </cell>
          <cell r="N663" t="str">
            <v>run-away</v>
          </cell>
          <cell r="O663" t="str">
            <v>keen-eye</v>
          </cell>
          <cell r="P663" t="str">
            <v>analytic</v>
          </cell>
          <cell r="Q663">
            <v>0.5</v>
          </cell>
          <cell r="R663">
            <v>11.6</v>
          </cell>
          <cell r="S663" t="str">
            <v>Using food stored in cheek pouches, they can keep watch for days. They use their tails to communicate with others.</v>
          </cell>
          <cell r="T663" t="str">
            <v>https://raw.githubusercontent.com/PokeAPI/sprites/master/sprites/pokemon/other/official-artwork/504.png</v>
          </cell>
          <cell r="U663" t="str">
            <v>https://raw.githubusercontent.com/PokeAPI/sprites/master/sprites/pokemon/other/official-artwork/shiny/504.png</v>
          </cell>
        </row>
        <row r="664">
          <cell r="A664">
            <v>505</v>
          </cell>
          <cell r="C664" t="str">
            <v>Watchog</v>
          </cell>
          <cell r="D664" t="str">
            <v>Standard</v>
          </cell>
          <cell r="E664" t="str">
            <v>normal</v>
          </cell>
          <cell r="G664">
            <v>60</v>
          </cell>
          <cell r="H664">
            <v>85</v>
          </cell>
          <cell r="I664">
            <v>69</v>
          </cell>
          <cell r="J664">
            <v>60</v>
          </cell>
          <cell r="K664">
            <v>69</v>
          </cell>
          <cell r="L664">
            <v>77</v>
          </cell>
          <cell r="M664">
            <v>420</v>
          </cell>
          <cell r="N664" t="str">
            <v>illuminate</v>
          </cell>
          <cell r="O664" t="str">
            <v>keen-eye</v>
          </cell>
          <cell r="P664" t="str">
            <v>analytic</v>
          </cell>
          <cell r="Q664">
            <v>1.1000000000000001</v>
          </cell>
          <cell r="R664">
            <v>27</v>
          </cell>
          <cell r="S664" t="str">
            <v>When they see an enemy, their tails stand high, and they spit the seeds of berries stored in their cheek pouches.</v>
          </cell>
          <cell r="T664" t="str">
            <v>https://raw.githubusercontent.com/PokeAPI/sprites/master/sprites/pokemon/other/official-artwork/505.png</v>
          </cell>
          <cell r="U664" t="str">
            <v>https://raw.githubusercontent.com/PokeAPI/sprites/master/sprites/pokemon/other/official-artwork/shiny/505.png</v>
          </cell>
        </row>
        <row r="665">
          <cell r="A665">
            <v>506</v>
          </cell>
          <cell r="C665" t="str">
            <v>Lillipup</v>
          </cell>
          <cell r="D665" t="str">
            <v>Standard</v>
          </cell>
          <cell r="E665" t="str">
            <v>normal</v>
          </cell>
          <cell r="G665">
            <v>45</v>
          </cell>
          <cell r="H665">
            <v>60</v>
          </cell>
          <cell r="I665">
            <v>45</v>
          </cell>
          <cell r="J665">
            <v>25</v>
          </cell>
          <cell r="K665">
            <v>45</v>
          </cell>
          <cell r="L665">
            <v>55</v>
          </cell>
          <cell r="M665">
            <v>275</v>
          </cell>
          <cell r="N665" t="str">
            <v>vital-spirit</v>
          </cell>
          <cell r="O665" t="str">
            <v>pickup</v>
          </cell>
          <cell r="P665" t="str">
            <v>run-away</v>
          </cell>
          <cell r="Q665">
            <v>0.4</v>
          </cell>
          <cell r="R665">
            <v>4.0999999999999996</v>
          </cell>
          <cell r="S665" t="str">
            <v>It faces strong opponents with great courage. But, when at a disadvantage in a fight, this intelligent Pokémon flees.</v>
          </cell>
          <cell r="T665" t="str">
            <v>https://raw.githubusercontent.com/PokeAPI/sprites/master/sprites/pokemon/other/official-artwork/506.png</v>
          </cell>
          <cell r="U665" t="str">
            <v>https://raw.githubusercontent.com/PokeAPI/sprites/master/sprites/pokemon/other/official-artwork/shiny/506.png</v>
          </cell>
        </row>
        <row r="666">
          <cell r="A666">
            <v>507</v>
          </cell>
          <cell r="C666" t="str">
            <v>Herdier</v>
          </cell>
          <cell r="D666" t="str">
            <v>Standard</v>
          </cell>
          <cell r="E666" t="str">
            <v>normal</v>
          </cell>
          <cell r="G666">
            <v>65</v>
          </cell>
          <cell r="H666">
            <v>80</v>
          </cell>
          <cell r="I666">
            <v>65</v>
          </cell>
          <cell r="J666">
            <v>35</v>
          </cell>
          <cell r="K666">
            <v>65</v>
          </cell>
          <cell r="L666">
            <v>60</v>
          </cell>
          <cell r="M666">
            <v>370</v>
          </cell>
          <cell r="N666" t="str">
            <v>intimidate</v>
          </cell>
          <cell r="O666" t="str">
            <v>sand-rush</v>
          </cell>
          <cell r="P666" t="str">
            <v>scrappy</v>
          </cell>
          <cell r="Q666">
            <v>0.9</v>
          </cell>
          <cell r="R666">
            <v>14.7</v>
          </cell>
          <cell r="S666" t="str">
            <v>It has black, cape-like fur that is very hard and decreases the amount of damage it receives.</v>
          </cell>
          <cell r="T666" t="str">
            <v>https://raw.githubusercontent.com/PokeAPI/sprites/master/sprites/pokemon/other/official-artwork/507.png</v>
          </cell>
          <cell r="U666" t="str">
            <v>https://raw.githubusercontent.com/PokeAPI/sprites/master/sprites/pokemon/other/official-artwork/shiny/507.png</v>
          </cell>
        </row>
        <row r="667">
          <cell r="A667">
            <v>508</v>
          </cell>
          <cell r="C667" t="str">
            <v>Stoutland</v>
          </cell>
          <cell r="D667" t="str">
            <v>Standard</v>
          </cell>
          <cell r="E667" t="str">
            <v>normal</v>
          </cell>
          <cell r="G667">
            <v>85</v>
          </cell>
          <cell r="H667">
            <v>110</v>
          </cell>
          <cell r="I667">
            <v>90</v>
          </cell>
          <cell r="J667">
            <v>45</v>
          </cell>
          <cell r="K667">
            <v>90</v>
          </cell>
          <cell r="L667">
            <v>80</v>
          </cell>
          <cell r="M667">
            <v>500</v>
          </cell>
          <cell r="N667" t="str">
            <v>intimidate</v>
          </cell>
          <cell r="O667" t="str">
            <v>sand-rush</v>
          </cell>
          <cell r="P667" t="str">
            <v>scrappy</v>
          </cell>
          <cell r="Q667">
            <v>1.2</v>
          </cell>
          <cell r="R667">
            <v>61</v>
          </cell>
          <cell r="S667" t="str">
            <v>It rescues people stranded by blizzards in the mountains. Its shaggy fur shields it from the cold.</v>
          </cell>
          <cell r="T667" t="str">
            <v>https://raw.githubusercontent.com/PokeAPI/sprites/master/sprites/pokemon/other/official-artwork/508.png</v>
          </cell>
          <cell r="U667" t="str">
            <v>https://raw.githubusercontent.com/PokeAPI/sprites/master/sprites/pokemon/other/official-artwork/shiny/508.png</v>
          </cell>
        </row>
        <row r="668">
          <cell r="A668">
            <v>509</v>
          </cell>
          <cell r="C668" t="str">
            <v>Purrloin</v>
          </cell>
          <cell r="D668" t="str">
            <v>Standard</v>
          </cell>
          <cell r="E668" t="str">
            <v>dark</v>
          </cell>
          <cell r="G668">
            <v>41</v>
          </cell>
          <cell r="H668">
            <v>50</v>
          </cell>
          <cell r="I668">
            <v>37</v>
          </cell>
          <cell r="J668">
            <v>50</v>
          </cell>
          <cell r="K668">
            <v>37</v>
          </cell>
          <cell r="L668">
            <v>66</v>
          </cell>
          <cell r="M668">
            <v>281</v>
          </cell>
          <cell r="N668" t="str">
            <v>limber</v>
          </cell>
          <cell r="O668" t="str">
            <v>unburden</v>
          </cell>
          <cell r="P668" t="str">
            <v>prankster</v>
          </cell>
          <cell r="Q668">
            <v>0.4</v>
          </cell>
          <cell r="R668">
            <v>10.1</v>
          </cell>
          <cell r="S668" t="str">
            <v>They steal from people for fun, but their victims can’t help but forgive them. Their deceptively cute act is perfect.</v>
          </cell>
          <cell r="T668" t="str">
            <v>https://raw.githubusercontent.com/PokeAPI/sprites/master/sprites/pokemon/other/official-artwork/509.png</v>
          </cell>
          <cell r="U668" t="str">
            <v>https://raw.githubusercontent.com/PokeAPI/sprites/master/sprites/pokemon/other/official-artwork/shiny/509.png</v>
          </cell>
        </row>
        <row r="669">
          <cell r="A669">
            <v>510</v>
          </cell>
          <cell r="C669" t="str">
            <v>Liepard</v>
          </cell>
          <cell r="D669" t="str">
            <v>Standard</v>
          </cell>
          <cell r="E669" t="str">
            <v>dark</v>
          </cell>
          <cell r="G669">
            <v>64</v>
          </cell>
          <cell r="H669">
            <v>88</v>
          </cell>
          <cell r="I669">
            <v>50</v>
          </cell>
          <cell r="J669">
            <v>88</v>
          </cell>
          <cell r="K669">
            <v>50</v>
          </cell>
          <cell r="L669">
            <v>106</v>
          </cell>
          <cell r="M669">
            <v>446</v>
          </cell>
          <cell r="N669" t="str">
            <v>limber</v>
          </cell>
          <cell r="O669" t="str">
            <v>unburden</v>
          </cell>
          <cell r="P669" t="str">
            <v>prankster</v>
          </cell>
          <cell r="Q669">
            <v>1.1000000000000001</v>
          </cell>
          <cell r="R669">
            <v>37.5</v>
          </cell>
          <cell r="S669" t="str">
            <v>These Pokémon vanish and appear unexpectedly. Many Trainers are drawn to their beautiful form and fur.</v>
          </cell>
          <cell r="T669" t="str">
            <v>https://raw.githubusercontent.com/PokeAPI/sprites/master/sprites/pokemon/other/official-artwork/510.png</v>
          </cell>
          <cell r="U669" t="str">
            <v>https://raw.githubusercontent.com/PokeAPI/sprites/master/sprites/pokemon/other/official-artwork/shiny/510.png</v>
          </cell>
        </row>
        <row r="670">
          <cell r="A670">
            <v>511</v>
          </cell>
          <cell r="C670" t="str">
            <v>Pansage</v>
          </cell>
          <cell r="D670" t="str">
            <v>Standard</v>
          </cell>
          <cell r="E670" t="str">
            <v>grass</v>
          </cell>
          <cell r="G670">
            <v>50</v>
          </cell>
          <cell r="H670">
            <v>53</v>
          </cell>
          <cell r="I670">
            <v>48</v>
          </cell>
          <cell r="J670">
            <v>53</v>
          </cell>
          <cell r="K670">
            <v>48</v>
          </cell>
          <cell r="L670">
            <v>64</v>
          </cell>
          <cell r="M670">
            <v>316</v>
          </cell>
          <cell r="N670" t="str">
            <v>gluttony</v>
          </cell>
          <cell r="P670" t="str">
            <v>overgrow</v>
          </cell>
          <cell r="Q670">
            <v>0.6</v>
          </cell>
          <cell r="R670">
            <v>10.5</v>
          </cell>
          <cell r="S670" t="str">
            <v>This Pokémon dwells deep in the forest. Eating a leaf from its head whisks weariness away as if by magic.</v>
          </cell>
          <cell r="T670" t="str">
            <v>https://raw.githubusercontent.com/PokeAPI/sprites/master/sprites/pokemon/other/official-artwork/511.png</v>
          </cell>
          <cell r="U670" t="str">
            <v>https://raw.githubusercontent.com/PokeAPI/sprites/master/sprites/pokemon/other/official-artwork/shiny/511.png</v>
          </cell>
        </row>
        <row r="671">
          <cell r="A671">
            <v>512</v>
          </cell>
          <cell r="C671" t="str">
            <v>Simisage</v>
          </cell>
          <cell r="D671" t="str">
            <v>Standard</v>
          </cell>
          <cell r="E671" t="str">
            <v>grass</v>
          </cell>
          <cell r="G671">
            <v>75</v>
          </cell>
          <cell r="H671">
            <v>98</v>
          </cell>
          <cell r="I671">
            <v>63</v>
          </cell>
          <cell r="J671">
            <v>98</v>
          </cell>
          <cell r="K671">
            <v>63</v>
          </cell>
          <cell r="L671">
            <v>101</v>
          </cell>
          <cell r="M671">
            <v>498</v>
          </cell>
          <cell r="N671" t="str">
            <v>gluttony</v>
          </cell>
          <cell r="P671" t="str">
            <v>overgrow</v>
          </cell>
          <cell r="Q671">
            <v>1.1000000000000001</v>
          </cell>
          <cell r="R671">
            <v>30.5</v>
          </cell>
          <cell r="S671" t="str">
            <v>Ill tempered, it fights by swinging its barbed tail around wildly. The leaf growing on its head is very bitter.</v>
          </cell>
          <cell r="T671" t="str">
            <v>https://raw.githubusercontent.com/PokeAPI/sprites/master/sprites/pokemon/other/official-artwork/512.png</v>
          </cell>
          <cell r="U671" t="str">
            <v>https://raw.githubusercontent.com/PokeAPI/sprites/master/sprites/pokemon/other/official-artwork/shiny/512.png</v>
          </cell>
        </row>
        <row r="672">
          <cell r="A672">
            <v>513</v>
          </cell>
          <cell r="C672" t="str">
            <v>Pansear</v>
          </cell>
          <cell r="D672" t="str">
            <v>Standard</v>
          </cell>
          <cell r="E672" t="str">
            <v>fire</v>
          </cell>
          <cell r="G672">
            <v>50</v>
          </cell>
          <cell r="H672">
            <v>53</v>
          </cell>
          <cell r="I672">
            <v>48</v>
          </cell>
          <cell r="J672">
            <v>53</v>
          </cell>
          <cell r="K672">
            <v>48</v>
          </cell>
          <cell r="L672">
            <v>64</v>
          </cell>
          <cell r="M672">
            <v>316</v>
          </cell>
          <cell r="N672" t="str">
            <v>gluttony</v>
          </cell>
          <cell r="P672" t="str">
            <v>blaze</v>
          </cell>
          <cell r="Q672">
            <v>0.6</v>
          </cell>
          <cell r="R672">
            <v>11</v>
          </cell>
          <cell r="S672" t="str">
            <v>When it is angered, the temperature of its head tuft reaches 600° F. It uses its tuft to roast berries.</v>
          </cell>
          <cell r="T672" t="str">
            <v>https://raw.githubusercontent.com/PokeAPI/sprites/master/sprites/pokemon/other/official-artwork/513.png</v>
          </cell>
          <cell r="U672" t="str">
            <v>https://raw.githubusercontent.com/PokeAPI/sprites/master/sprites/pokemon/other/official-artwork/shiny/513.png</v>
          </cell>
        </row>
        <row r="673">
          <cell r="A673">
            <v>514</v>
          </cell>
          <cell r="C673" t="str">
            <v>Simisear</v>
          </cell>
          <cell r="D673" t="str">
            <v>Standard</v>
          </cell>
          <cell r="E673" t="str">
            <v>fire</v>
          </cell>
          <cell r="G673">
            <v>75</v>
          </cell>
          <cell r="H673">
            <v>98</v>
          </cell>
          <cell r="I673">
            <v>63</v>
          </cell>
          <cell r="J673">
            <v>98</v>
          </cell>
          <cell r="K673">
            <v>63</v>
          </cell>
          <cell r="L673">
            <v>101</v>
          </cell>
          <cell r="M673">
            <v>498</v>
          </cell>
          <cell r="N673" t="str">
            <v>gluttony</v>
          </cell>
          <cell r="P673" t="str">
            <v>blaze</v>
          </cell>
          <cell r="Q673">
            <v>1</v>
          </cell>
          <cell r="R673">
            <v>28</v>
          </cell>
          <cell r="S673" t="str">
            <v>It loves sweets because they become energy for the fire burning inside its body.</v>
          </cell>
          <cell r="T673" t="str">
            <v>https://raw.githubusercontent.com/PokeAPI/sprites/master/sprites/pokemon/other/official-artwork/514.png</v>
          </cell>
          <cell r="U673" t="str">
            <v>https://raw.githubusercontent.com/PokeAPI/sprites/master/sprites/pokemon/other/official-artwork/shiny/514.png</v>
          </cell>
        </row>
        <row r="674">
          <cell r="A674">
            <v>515</v>
          </cell>
          <cell r="C674" t="str">
            <v>Panpour</v>
          </cell>
          <cell r="D674" t="str">
            <v>Standard</v>
          </cell>
          <cell r="E674" t="str">
            <v>water</v>
          </cell>
          <cell r="G674">
            <v>50</v>
          </cell>
          <cell r="H674">
            <v>53</v>
          </cell>
          <cell r="I674">
            <v>48</v>
          </cell>
          <cell r="J674">
            <v>53</v>
          </cell>
          <cell r="K674">
            <v>48</v>
          </cell>
          <cell r="L674">
            <v>64</v>
          </cell>
          <cell r="M674">
            <v>316</v>
          </cell>
          <cell r="N674" t="str">
            <v>gluttony</v>
          </cell>
          <cell r="P674" t="str">
            <v>torrent</v>
          </cell>
          <cell r="Q674">
            <v>0.6</v>
          </cell>
          <cell r="R674">
            <v>13.5</v>
          </cell>
          <cell r="S674" t="str">
            <v>The water stored inside the tuft on its head is full of nutrients. Plants that receive its water grow large.</v>
          </cell>
          <cell r="T674" t="str">
            <v>https://raw.githubusercontent.com/PokeAPI/sprites/master/sprites/pokemon/other/official-artwork/515.png</v>
          </cell>
          <cell r="U674" t="str">
            <v>https://raw.githubusercontent.com/PokeAPI/sprites/master/sprites/pokemon/other/official-artwork/shiny/515.png</v>
          </cell>
        </row>
        <row r="675">
          <cell r="A675">
            <v>516</v>
          </cell>
          <cell r="C675" t="str">
            <v>Simipour</v>
          </cell>
          <cell r="D675" t="str">
            <v>Standard</v>
          </cell>
          <cell r="E675" t="str">
            <v>water</v>
          </cell>
          <cell r="G675">
            <v>75</v>
          </cell>
          <cell r="H675">
            <v>98</v>
          </cell>
          <cell r="I675">
            <v>63</v>
          </cell>
          <cell r="J675">
            <v>98</v>
          </cell>
          <cell r="K675">
            <v>63</v>
          </cell>
          <cell r="L675">
            <v>101</v>
          </cell>
          <cell r="M675">
            <v>498</v>
          </cell>
          <cell r="N675" t="str">
            <v>gluttony</v>
          </cell>
          <cell r="P675" t="str">
            <v>torrent</v>
          </cell>
          <cell r="Q675">
            <v>1</v>
          </cell>
          <cell r="R675">
            <v>29</v>
          </cell>
          <cell r="S675" t="str">
            <v>The tuft on its head holds water. When the level runs low, it replenishes the tuft by siphoning up water with its tail.</v>
          </cell>
          <cell r="T675" t="str">
            <v>https://raw.githubusercontent.com/PokeAPI/sprites/master/sprites/pokemon/other/official-artwork/516.png</v>
          </cell>
          <cell r="U675" t="str">
            <v>https://raw.githubusercontent.com/PokeAPI/sprites/master/sprites/pokemon/other/official-artwork/shiny/516.png</v>
          </cell>
        </row>
        <row r="676">
          <cell r="A676">
            <v>517</v>
          </cell>
          <cell r="C676" t="str">
            <v>Munna</v>
          </cell>
          <cell r="D676" t="str">
            <v>Standard</v>
          </cell>
          <cell r="E676" t="str">
            <v>psychic</v>
          </cell>
          <cell r="G676">
            <v>76</v>
          </cell>
          <cell r="H676">
            <v>25</v>
          </cell>
          <cell r="I676">
            <v>45</v>
          </cell>
          <cell r="J676">
            <v>67</v>
          </cell>
          <cell r="K676">
            <v>55</v>
          </cell>
          <cell r="L676">
            <v>24</v>
          </cell>
          <cell r="M676">
            <v>292</v>
          </cell>
          <cell r="N676" t="str">
            <v>forewarn</v>
          </cell>
          <cell r="O676" t="str">
            <v>synchronize</v>
          </cell>
          <cell r="P676" t="str">
            <v>telepathy</v>
          </cell>
          <cell r="Q676">
            <v>0.6</v>
          </cell>
          <cell r="R676">
            <v>23.3</v>
          </cell>
          <cell r="S676" t="str">
            <v>Munna always float in the air. People whose dreams are eaten by them forget what the dreams had been about.</v>
          </cell>
          <cell r="T676" t="str">
            <v>https://raw.githubusercontent.com/PokeAPI/sprites/master/sprites/pokemon/other/official-artwork/517.png</v>
          </cell>
          <cell r="U676" t="str">
            <v>https://raw.githubusercontent.com/PokeAPI/sprites/master/sprites/pokemon/other/official-artwork/shiny/517.png</v>
          </cell>
        </row>
        <row r="677">
          <cell r="A677">
            <v>518</v>
          </cell>
          <cell r="C677" t="str">
            <v>Musharna</v>
          </cell>
          <cell r="D677" t="str">
            <v>Standard</v>
          </cell>
          <cell r="E677" t="str">
            <v>psychic</v>
          </cell>
          <cell r="G677">
            <v>116</v>
          </cell>
          <cell r="H677">
            <v>55</v>
          </cell>
          <cell r="I677">
            <v>85</v>
          </cell>
          <cell r="J677">
            <v>107</v>
          </cell>
          <cell r="K677">
            <v>95</v>
          </cell>
          <cell r="L677">
            <v>29</v>
          </cell>
          <cell r="M677">
            <v>487</v>
          </cell>
          <cell r="N677" t="str">
            <v>forewarn</v>
          </cell>
          <cell r="O677" t="str">
            <v>synchronize</v>
          </cell>
          <cell r="P677" t="str">
            <v>telepathy</v>
          </cell>
          <cell r="Q677">
            <v>1.1000000000000001</v>
          </cell>
          <cell r="R677">
            <v>60.5</v>
          </cell>
          <cell r="S677" t="str">
            <v>The mist emanating from their foreheads is packed with the dreams of people and Pokémon.</v>
          </cell>
          <cell r="T677" t="str">
            <v>https://raw.githubusercontent.com/PokeAPI/sprites/master/sprites/pokemon/other/official-artwork/518.png</v>
          </cell>
          <cell r="U677" t="str">
            <v>https://raw.githubusercontent.com/PokeAPI/sprites/master/sprites/pokemon/other/official-artwork/shiny/518.png</v>
          </cell>
        </row>
        <row r="678">
          <cell r="A678">
            <v>519</v>
          </cell>
          <cell r="C678" t="str">
            <v>Pidove</v>
          </cell>
          <cell r="D678" t="str">
            <v>Standard</v>
          </cell>
          <cell r="E678" t="str">
            <v>normal</v>
          </cell>
          <cell r="F678" t="str">
            <v>flying</v>
          </cell>
          <cell r="G678">
            <v>50</v>
          </cell>
          <cell r="H678">
            <v>55</v>
          </cell>
          <cell r="I678">
            <v>50</v>
          </cell>
          <cell r="J678">
            <v>36</v>
          </cell>
          <cell r="K678">
            <v>30</v>
          </cell>
          <cell r="L678">
            <v>43</v>
          </cell>
          <cell r="M678">
            <v>264</v>
          </cell>
          <cell r="N678" t="str">
            <v>big-pecks</v>
          </cell>
          <cell r="O678" t="str">
            <v>super-luck</v>
          </cell>
          <cell r="P678" t="str">
            <v>rivalry</v>
          </cell>
          <cell r="Q678">
            <v>0.3</v>
          </cell>
          <cell r="R678">
            <v>2.1</v>
          </cell>
          <cell r="S678" t="str">
            <v>Each follows its Trainer’s orders as best it can, but they sometimes fail to understand complicated commands.</v>
          </cell>
          <cell r="T678" t="str">
            <v>https://raw.githubusercontent.com/PokeAPI/sprites/master/sprites/pokemon/other/official-artwork/519.png</v>
          </cell>
          <cell r="U678" t="str">
            <v>https://raw.githubusercontent.com/PokeAPI/sprites/master/sprites/pokemon/other/official-artwork/shiny/519.png</v>
          </cell>
        </row>
        <row r="679">
          <cell r="A679">
            <v>520</v>
          </cell>
          <cell r="C679" t="str">
            <v>Tranquill</v>
          </cell>
          <cell r="D679" t="str">
            <v>Standard</v>
          </cell>
          <cell r="E679" t="str">
            <v>normal</v>
          </cell>
          <cell r="F679" t="str">
            <v>flying</v>
          </cell>
          <cell r="G679">
            <v>62</v>
          </cell>
          <cell r="H679">
            <v>77</v>
          </cell>
          <cell r="I679">
            <v>62</v>
          </cell>
          <cell r="J679">
            <v>50</v>
          </cell>
          <cell r="K679">
            <v>42</v>
          </cell>
          <cell r="L679">
            <v>65</v>
          </cell>
          <cell r="M679">
            <v>358</v>
          </cell>
          <cell r="N679" t="str">
            <v>big-pecks</v>
          </cell>
          <cell r="O679" t="str">
            <v>super-luck</v>
          </cell>
          <cell r="P679" t="str">
            <v>rivalry</v>
          </cell>
          <cell r="Q679">
            <v>0.6</v>
          </cell>
          <cell r="R679">
            <v>15</v>
          </cell>
          <cell r="S679" t="str">
            <v>It can return to its Trainer’s location regardless of the distance separating them.</v>
          </cell>
          <cell r="T679" t="str">
            <v>https://raw.githubusercontent.com/PokeAPI/sprites/master/sprites/pokemon/other/official-artwork/520.png</v>
          </cell>
          <cell r="U679" t="str">
            <v>https://raw.githubusercontent.com/PokeAPI/sprites/master/sprites/pokemon/other/official-artwork/shiny/520.png</v>
          </cell>
        </row>
        <row r="680">
          <cell r="A680">
            <v>521</v>
          </cell>
          <cell r="C680" t="str">
            <v>Unfezant</v>
          </cell>
          <cell r="D680" t="str">
            <v>Standard</v>
          </cell>
          <cell r="E680" t="str">
            <v>normal</v>
          </cell>
          <cell r="F680" t="str">
            <v>flying</v>
          </cell>
          <cell r="G680">
            <v>80</v>
          </cell>
          <cell r="H680">
            <v>115</v>
          </cell>
          <cell r="I680">
            <v>80</v>
          </cell>
          <cell r="J680">
            <v>65</v>
          </cell>
          <cell r="K680">
            <v>55</v>
          </cell>
          <cell r="L680">
            <v>93</v>
          </cell>
          <cell r="M680">
            <v>488</v>
          </cell>
          <cell r="N680" t="str">
            <v>big-pecks</v>
          </cell>
          <cell r="O680" t="str">
            <v>super-luck</v>
          </cell>
          <cell r="P680" t="str">
            <v>rivalry</v>
          </cell>
          <cell r="Q680">
            <v>1.2</v>
          </cell>
          <cell r="R680">
            <v>29</v>
          </cell>
          <cell r="S680" t="str">
            <v>Males swing their head plumage to threaten opponents. The females’ flying abilities surpass those of the males.</v>
          </cell>
          <cell r="T680" t="str">
            <v>https://raw.githubusercontent.com/PokeAPI/sprites/master/sprites/pokemon/other/official-artwork/521.png</v>
          </cell>
          <cell r="U680" t="str">
            <v>https://raw.githubusercontent.com/PokeAPI/sprites/master/sprites/pokemon/other/official-artwork/shiny/521.png</v>
          </cell>
        </row>
        <row r="681">
          <cell r="A681">
            <v>522</v>
          </cell>
          <cell r="C681" t="str">
            <v>Blitzle</v>
          </cell>
          <cell r="D681" t="str">
            <v>Standard</v>
          </cell>
          <cell r="E681" t="str">
            <v>electric</v>
          </cell>
          <cell r="G681">
            <v>45</v>
          </cell>
          <cell r="H681">
            <v>60</v>
          </cell>
          <cell r="I681">
            <v>32</v>
          </cell>
          <cell r="J681">
            <v>50</v>
          </cell>
          <cell r="K681">
            <v>32</v>
          </cell>
          <cell r="L681">
            <v>76</v>
          </cell>
          <cell r="M681">
            <v>295</v>
          </cell>
          <cell r="N681" t="str">
            <v>lightning-rod</v>
          </cell>
          <cell r="O681" t="str">
            <v>motor-drive</v>
          </cell>
          <cell r="P681" t="str">
            <v>sap-sipper</v>
          </cell>
          <cell r="Q681">
            <v>0.8</v>
          </cell>
          <cell r="R681">
            <v>29.8</v>
          </cell>
          <cell r="S681" t="str">
            <v>When thunderclouds cover the sky, it will appear. It can catch lightning with its mane and store the electricity.</v>
          </cell>
          <cell r="T681" t="str">
            <v>https://raw.githubusercontent.com/PokeAPI/sprites/master/sprites/pokemon/other/official-artwork/522.png</v>
          </cell>
          <cell r="U681" t="str">
            <v>https://raw.githubusercontent.com/PokeAPI/sprites/master/sprites/pokemon/other/official-artwork/shiny/522.png</v>
          </cell>
        </row>
        <row r="682">
          <cell r="A682">
            <v>523</v>
          </cell>
          <cell r="C682" t="str">
            <v>Zebstrika</v>
          </cell>
          <cell r="D682" t="str">
            <v>Standard</v>
          </cell>
          <cell r="E682" t="str">
            <v>electric</v>
          </cell>
          <cell r="G682">
            <v>75</v>
          </cell>
          <cell r="H682">
            <v>100</v>
          </cell>
          <cell r="I682">
            <v>63</v>
          </cell>
          <cell r="J682">
            <v>80</v>
          </cell>
          <cell r="K682">
            <v>63</v>
          </cell>
          <cell r="L682">
            <v>116</v>
          </cell>
          <cell r="M682">
            <v>497</v>
          </cell>
          <cell r="N682" t="str">
            <v>lightning-rod</v>
          </cell>
          <cell r="O682" t="str">
            <v>motor-drive</v>
          </cell>
          <cell r="P682" t="str">
            <v>sap-sipper</v>
          </cell>
          <cell r="Q682">
            <v>1.6</v>
          </cell>
          <cell r="R682">
            <v>79.5</v>
          </cell>
          <cell r="S682" t="str">
            <v>They have lightning-like movements. When Zebstrika run at full speed, the sound of thunder reverberates.</v>
          </cell>
          <cell r="T682" t="str">
            <v>https://raw.githubusercontent.com/PokeAPI/sprites/master/sprites/pokemon/other/official-artwork/523.png</v>
          </cell>
          <cell r="U682" t="str">
            <v>https://raw.githubusercontent.com/PokeAPI/sprites/master/sprites/pokemon/other/official-artwork/shiny/523.png</v>
          </cell>
        </row>
        <row r="683">
          <cell r="A683">
            <v>524</v>
          </cell>
          <cell r="C683" t="str">
            <v>Roggenrola</v>
          </cell>
          <cell r="D683" t="str">
            <v>Standard</v>
          </cell>
          <cell r="E683" t="str">
            <v>rock</v>
          </cell>
          <cell r="G683">
            <v>55</v>
          </cell>
          <cell r="H683">
            <v>75</v>
          </cell>
          <cell r="I683">
            <v>85</v>
          </cell>
          <cell r="J683">
            <v>25</v>
          </cell>
          <cell r="K683">
            <v>25</v>
          </cell>
          <cell r="L683">
            <v>15</v>
          </cell>
          <cell r="M683">
            <v>280</v>
          </cell>
          <cell r="N683" t="str">
            <v>sturdy</v>
          </cell>
          <cell r="O683" t="str">
            <v>weak-armor</v>
          </cell>
          <cell r="P683" t="str">
            <v>sand-force</v>
          </cell>
          <cell r="Q683">
            <v>0.4</v>
          </cell>
          <cell r="R683">
            <v>18</v>
          </cell>
          <cell r="S683" t="str">
            <v>Its ear is hexagonal in shape. Compressed underground, its body is as hard as steel.</v>
          </cell>
          <cell r="T683" t="str">
            <v>https://raw.githubusercontent.com/PokeAPI/sprites/master/sprites/pokemon/other/official-artwork/524.png</v>
          </cell>
          <cell r="U683" t="str">
            <v>https://raw.githubusercontent.com/PokeAPI/sprites/master/sprites/pokemon/other/official-artwork/shiny/524.png</v>
          </cell>
        </row>
        <row r="684">
          <cell r="A684">
            <v>525</v>
          </cell>
          <cell r="C684" t="str">
            <v>Boldore</v>
          </cell>
          <cell r="D684" t="str">
            <v>Standard</v>
          </cell>
          <cell r="E684" t="str">
            <v>rock</v>
          </cell>
          <cell r="G684">
            <v>70</v>
          </cell>
          <cell r="H684">
            <v>105</v>
          </cell>
          <cell r="I684">
            <v>105</v>
          </cell>
          <cell r="J684">
            <v>50</v>
          </cell>
          <cell r="K684">
            <v>40</v>
          </cell>
          <cell r="L684">
            <v>20</v>
          </cell>
          <cell r="M684">
            <v>390</v>
          </cell>
          <cell r="N684" t="str">
            <v>sturdy</v>
          </cell>
          <cell r="O684" t="str">
            <v>weak-armor</v>
          </cell>
          <cell r="P684" t="str">
            <v>sand-force</v>
          </cell>
          <cell r="Q684">
            <v>0.9</v>
          </cell>
          <cell r="R684">
            <v>102</v>
          </cell>
          <cell r="S684" t="str">
            <v>When it overflows with power, the orange crystal on its body glows. It looks for underground water in caves.</v>
          </cell>
          <cell r="T684" t="str">
            <v>https://raw.githubusercontent.com/PokeAPI/sprites/master/sprites/pokemon/other/official-artwork/525.png</v>
          </cell>
          <cell r="U684" t="str">
            <v>https://raw.githubusercontent.com/PokeAPI/sprites/master/sprites/pokemon/other/official-artwork/shiny/525.png</v>
          </cell>
        </row>
        <row r="685">
          <cell r="A685">
            <v>526</v>
          </cell>
          <cell r="C685" t="str">
            <v>Gigalith</v>
          </cell>
          <cell r="D685" t="str">
            <v>Standard</v>
          </cell>
          <cell r="E685" t="str">
            <v>rock</v>
          </cell>
          <cell r="G685">
            <v>85</v>
          </cell>
          <cell r="H685">
            <v>135</v>
          </cell>
          <cell r="I685">
            <v>130</v>
          </cell>
          <cell r="J685">
            <v>60</v>
          </cell>
          <cell r="K685">
            <v>80</v>
          </cell>
          <cell r="L685">
            <v>25</v>
          </cell>
          <cell r="M685">
            <v>515</v>
          </cell>
          <cell r="N685" t="str">
            <v>sturdy</v>
          </cell>
          <cell r="O685" t="str">
            <v>sand-stream</v>
          </cell>
          <cell r="P685" t="str">
            <v>sand-force</v>
          </cell>
          <cell r="Q685">
            <v>1.7</v>
          </cell>
          <cell r="R685">
            <v>260</v>
          </cell>
          <cell r="S685" t="str">
            <v>Compressing the energy from its internal core lets it fire off an attack capable of blowing away a mountain.</v>
          </cell>
          <cell r="T685" t="str">
            <v>https://raw.githubusercontent.com/PokeAPI/sprites/master/sprites/pokemon/other/official-artwork/526.png</v>
          </cell>
          <cell r="U685" t="str">
            <v>https://raw.githubusercontent.com/PokeAPI/sprites/master/sprites/pokemon/other/official-artwork/shiny/526.png</v>
          </cell>
        </row>
        <row r="686">
          <cell r="A686">
            <v>527</v>
          </cell>
          <cell r="C686" t="str">
            <v>Woobat</v>
          </cell>
          <cell r="D686" t="str">
            <v>Standard</v>
          </cell>
          <cell r="E686" t="str">
            <v>psychic</v>
          </cell>
          <cell r="F686" t="str">
            <v>flying</v>
          </cell>
          <cell r="G686">
            <v>65</v>
          </cell>
          <cell r="H686">
            <v>45</v>
          </cell>
          <cell r="I686">
            <v>43</v>
          </cell>
          <cell r="J686">
            <v>55</v>
          </cell>
          <cell r="K686">
            <v>43</v>
          </cell>
          <cell r="L686">
            <v>72</v>
          </cell>
          <cell r="M686">
            <v>323</v>
          </cell>
          <cell r="N686" t="str">
            <v>unaware</v>
          </cell>
          <cell r="O686" t="str">
            <v>klutz</v>
          </cell>
          <cell r="P686" t="str">
            <v>simple</v>
          </cell>
          <cell r="Q686">
            <v>0.4</v>
          </cell>
          <cell r="R686">
            <v>2.1</v>
          </cell>
          <cell r="S686" t="str">
            <v>Its habitat is dark forests and caves. It emits ultrasonic waves from its nose to learn about its surroundings.</v>
          </cell>
          <cell r="T686" t="str">
            <v>https://raw.githubusercontent.com/PokeAPI/sprites/master/sprites/pokemon/other/official-artwork/527.png</v>
          </cell>
          <cell r="U686" t="str">
            <v>https://raw.githubusercontent.com/PokeAPI/sprites/master/sprites/pokemon/other/official-artwork/shiny/527.png</v>
          </cell>
        </row>
        <row r="687">
          <cell r="A687">
            <v>528</v>
          </cell>
          <cell r="C687" t="str">
            <v>Swoobat</v>
          </cell>
          <cell r="D687" t="str">
            <v>Standard</v>
          </cell>
          <cell r="E687" t="str">
            <v>psychic</v>
          </cell>
          <cell r="F687" t="str">
            <v>flying</v>
          </cell>
          <cell r="G687">
            <v>67</v>
          </cell>
          <cell r="H687">
            <v>57</v>
          </cell>
          <cell r="I687">
            <v>55</v>
          </cell>
          <cell r="J687">
            <v>77</v>
          </cell>
          <cell r="K687">
            <v>55</v>
          </cell>
          <cell r="L687">
            <v>114</v>
          </cell>
          <cell r="M687">
            <v>425</v>
          </cell>
          <cell r="N687" t="str">
            <v>unaware</v>
          </cell>
          <cell r="O687" t="str">
            <v>klutz</v>
          </cell>
          <cell r="P687" t="str">
            <v>simple</v>
          </cell>
          <cell r="Q687">
            <v>0.9</v>
          </cell>
          <cell r="R687">
            <v>10.5</v>
          </cell>
          <cell r="S687" t="str">
            <v>It emits sound waves of various frequencies from its nose, including some powerful enough to destroy rocks.</v>
          </cell>
          <cell r="T687" t="str">
            <v>https://raw.githubusercontent.com/PokeAPI/sprites/master/sprites/pokemon/other/official-artwork/528.png</v>
          </cell>
          <cell r="U687" t="str">
            <v>https://raw.githubusercontent.com/PokeAPI/sprites/master/sprites/pokemon/other/official-artwork/shiny/528.png</v>
          </cell>
        </row>
        <row r="688">
          <cell r="A688">
            <v>529</v>
          </cell>
          <cell r="C688" t="str">
            <v>Drilbur</v>
          </cell>
          <cell r="D688" t="str">
            <v>Standard</v>
          </cell>
          <cell r="E688" t="str">
            <v>ground</v>
          </cell>
          <cell r="G688">
            <v>60</v>
          </cell>
          <cell r="H688">
            <v>85</v>
          </cell>
          <cell r="I688">
            <v>40</v>
          </cell>
          <cell r="J688">
            <v>30</v>
          </cell>
          <cell r="K688">
            <v>45</v>
          </cell>
          <cell r="L688">
            <v>68</v>
          </cell>
          <cell r="M688">
            <v>328</v>
          </cell>
          <cell r="N688" t="str">
            <v>sand-rush</v>
          </cell>
          <cell r="O688" t="str">
            <v>sand-force</v>
          </cell>
          <cell r="P688" t="str">
            <v>mold-breaker</v>
          </cell>
          <cell r="Q688">
            <v>0.3</v>
          </cell>
          <cell r="R688">
            <v>8.5</v>
          </cell>
          <cell r="S688" t="str">
            <v>It can dig through the ground at a speed of 30 mph. It could give a car running aboveground a good race.</v>
          </cell>
          <cell r="T688" t="str">
            <v>https://raw.githubusercontent.com/PokeAPI/sprites/master/sprites/pokemon/other/official-artwork/529.png</v>
          </cell>
          <cell r="U688" t="str">
            <v>https://raw.githubusercontent.com/PokeAPI/sprites/master/sprites/pokemon/other/official-artwork/shiny/529.png</v>
          </cell>
        </row>
        <row r="689">
          <cell r="A689">
            <v>530</v>
          </cell>
          <cell r="C689" t="str">
            <v>Excadrill</v>
          </cell>
          <cell r="D689" t="str">
            <v>Standard</v>
          </cell>
          <cell r="E689" t="str">
            <v>ground</v>
          </cell>
          <cell r="F689" t="str">
            <v>steel</v>
          </cell>
          <cell r="G689">
            <v>110</v>
          </cell>
          <cell r="H689">
            <v>135</v>
          </cell>
          <cell r="I689">
            <v>60</v>
          </cell>
          <cell r="J689">
            <v>50</v>
          </cell>
          <cell r="K689">
            <v>65</v>
          </cell>
          <cell r="L689">
            <v>88</v>
          </cell>
          <cell r="M689">
            <v>508</v>
          </cell>
          <cell r="N689" t="str">
            <v>sand-rush</v>
          </cell>
          <cell r="O689" t="str">
            <v>sand-force</v>
          </cell>
          <cell r="P689" t="str">
            <v>mold-breaker</v>
          </cell>
          <cell r="Q689">
            <v>0.7</v>
          </cell>
          <cell r="R689">
            <v>40.4</v>
          </cell>
          <cell r="S689" t="str">
            <v>It can help in tunnel construction. Its drill has evolved into steel strong enough to bore through iron plates.</v>
          </cell>
          <cell r="T689" t="str">
            <v>https://raw.githubusercontent.com/PokeAPI/sprites/master/sprites/pokemon/other/official-artwork/530.png</v>
          </cell>
          <cell r="U689" t="str">
            <v>https://raw.githubusercontent.com/PokeAPI/sprites/master/sprites/pokemon/other/official-artwork/shiny/530.png</v>
          </cell>
        </row>
        <row r="690">
          <cell r="A690">
            <v>530</v>
          </cell>
          <cell r="C690" t="str">
            <v>Excadrill Mega</v>
          </cell>
          <cell r="D690" t="str">
            <v>Mega</v>
          </cell>
          <cell r="E690" t="str">
            <v>ground</v>
          </cell>
          <cell r="F690" t="str">
            <v>steel</v>
          </cell>
          <cell r="G690">
            <v>110</v>
          </cell>
          <cell r="H690">
            <v>165</v>
          </cell>
          <cell r="I690">
            <v>100</v>
          </cell>
          <cell r="J690">
            <v>65</v>
          </cell>
          <cell r="K690">
            <v>65</v>
          </cell>
          <cell r="L690">
            <v>103</v>
          </cell>
          <cell r="M690">
            <v>608</v>
          </cell>
          <cell r="Q690">
            <v>0.9</v>
          </cell>
          <cell r="R690">
            <v>60</v>
          </cell>
          <cell r="S690" t="str">
            <v>It can help in tunnel construction. Its drill has evolved into steel strong enough to bore through iron plates.</v>
          </cell>
        </row>
        <row r="691">
          <cell r="A691">
            <v>531</v>
          </cell>
          <cell r="C691" t="str">
            <v>Audino</v>
          </cell>
          <cell r="D691" t="str">
            <v>Standard</v>
          </cell>
          <cell r="E691" t="str">
            <v>normal</v>
          </cell>
          <cell r="G691">
            <v>103</v>
          </cell>
          <cell r="H691">
            <v>60</v>
          </cell>
          <cell r="I691">
            <v>86</v>
          </cell>
          <cell r="J691">
            <v>60</v>
          </cell>
          <cell r="K691">
            <v>86</v>
          </cell>
          <cell r="L691">
            <v>50</v>
          </cell>
          <cell r="M691">
            <v>445</v>
          </cell>
          <cell r="N691" t="str">
            <v>healer</v>
          </cell>
          <cell r="O691" t="str">
            <v>regenerator</v>
          </cell>
          <cell r="P691" t="str">
            <v>klutz</v>
          </cell>
          <cell r="Q691">
            <v>1.1000000000000001</v>
          </cell>
          <cell r="R691">
            <v>31</v>
          </cell>
          <cell r="S691" t="str">
            <v>It touches others with the feelers on its ears, using the sound of their heartbeats to tell how they are feeling.</v>
          </cell>
          <cell r="T691" t="str">
            <v>https://raw.githubusercontent.com/PokeAPI/sprites/master/sprites/pokemon/other/official-artwork/531.png</v>
          </cell>
          <cell r="U691" t="str">
            <v>https://raw.githubusercontent.com/PokeAPI/sprites/master/sprites/pokemon/other/official-artwork/shiny/531.png</v>
          </cell>
        </row>
        <row r="692">
          <cell r="A692">
            <v>531</v>
          </cell>
          <cell r="C692" t="str">
            <v>Audino Mega</v>
          </cell>
          <cell r="D692" t="str">
            <v>Mega</v>
          </cell>
          <cell r="E692" t="str">
            <v>normal</v>
          </cell>
          <cell r="F692" t="str">
            <v>fairy</v>
          </cell>
          <cell r="G692">
            <v>103</v>
          </cell>
          <cell r="H692">
            <v>60</v>
          </cell>
          <cell r="I692">
            <v>126</v>
          </cell>
          <cell r="J692">
            <v>80</v>
          </cell>
          <cell r="K692">
            <v>126</v>
          </cell>
          <cell r="L692">
            <v>50</v>
          </cell>
          <cell r="M692">
            <v>545</v>
          </cell>
          <cell r="N692" t="str">
            <v>healer</v>
          </cell>
          <cell r="Q692">
            <v>1.5</v>
          </cell>
          <cell r="R692">
            <v>32</v>
          </cell>
          <cell r="S692" t="str">
            <v>It touches others with the feelers on its ears, using the sound of their heartbeats to tell how they are feeling.</v>
          </cell>
          <cell r="T692" t="str">
            <v>https://raw.githubusercontent.com/PokeAPI/sprites/master/sprites/pokemon/other/official-artwork/10069.png</v>
          </cell>
          <cell r="U692" t="str">
            <v>https://raw.githubusercontent.com/PokeAPI/sprites/master/sprites/pokemon/other/official-artwork/shiny/10069.png</v>
          </cell>
        </row>
        <row r="693">
          <cell r="A693">
            <v>532</v>
          </cell>
          <cell r="C693" t="str">
            <v>Timburr</v>
          </cell>
          <cell r="D693" t="str">
            <v>Standard</v>
          </cell>
          <cell r="E693" t="str">
            <v>fighting</v>
          </cell>
          <cell r="G693">
            <v>75</v>
          </cell>
          <cell r="H693">
            <v>80</v>
          </cell>
          <cell r="I693">
            <v>55</v>
          </cell>
          <cell r="J693">
            <v>25</v>
          </cell>
          <cell r="K693">
            <v>35</v>
          </cell>
          <cell r="L693">
            <v>35</v>
          </cell>
          <cell r="M693">
            <v>305</v>
          </cell>
          <cell r="N693" t="str">
            <v>guts</v>
          </cell>
          <cell r="O693" t="str">
            <v>sheer-force</v>
          </cell>
          <cell r="P693" t="str">
            <v>iron-fist</v>
          </cell>
          <cell r="Q693">
            <v>0.6</v>
          </cell>
          <cell r="R693">
            <v>12.5</v>
          </cell>
          <cell r="S693" t="str">
            <v>It fights by swinging a piece of lumber around. It is close to evolving when it can handle the lumber without difficulty.</v>
          </cell>
          <cell r="T693" t="str">
            <v>https://raw.githubusercontent.com/PokeAPI/sprites/master/sprites/pokemon/other/official-artwork/532.png</v>
          </cell>
          <cell r="U693" t="str">
            <v>https://raw.githubusercontent.com/PokeAPI/sprites/master/sprites/pokemon/other/official-artwork/shiny/532.png</v>
          </cell>
        </row>
        <row r="694">
          <cell r="A694">
            <v>533</v>
          </cell>
          <cell r="C694" t="str">
            <v>Gurdurr</v>
          </cell>
          <cell r="D694" t="str">
            <v>Standard</v>
          </cell>
          <cell r="E694" t="str">
            <v>fighting</v>
          </cell>
          <cell r="G694">
            <v>85</v>
          </cell>
          <cell r="H694">
            <v>105</v>
          </cell>
          <cell r="I694">
            <v>85</v>
          </cell>
          <cell r="J694">
            <v>40</v>
          </cell>
          <cell r="K694">
            <v>50</v>
          </cell>
          <cell r="L694">
            <v>40</v>
          </cell>
          <cell r="M694">
            <v>405</v>
          </cell>
          <cell r="N694" t="str">
            <v>guts</v>
          </cell>
          <cell r="O694" t="str">
            <v>sheer-force</v>
          </cell>
          <cell r="P694" t="str">
            <v>iron-fist</v>
          </cell>
          <cell r="Q694">
            <v>1.2</v>
          </cell>
          <cell r="R694">
            <v>40</v>
          </cell>
          <cell r="S694" t="str">
            <v>This Pokémon is so muscular and strongly built that even a group of wrestlers could not make it budge an inch.</v>
          </cell>
          <cell r="T694" t="str">
            <v>https://raw.githubusercontent.com/PokeAPI/sprites/master/sprites/pokemon/other/official-artwork/533.png</v>
          </cell>
          <cell r="U694" t="str">
            <v>https://raw.githubusercontent.com/PokeAPI/sprites/master/sprites/pokemon/other/official-artwork/shiny/533.png</v>
          </cell>
        </row>
        <row r="695">
          <cell r="A695">
            <v>534</v>
          </cell>
          <cell r="C695" t="str">
            <v>Conkeldurr</v>
          </cell>
          <cell r="D695" t="str">
            <v>Standard</v>
          </cell>
          <cell r="E695" t="str">
            <v>fighting</v>
          </cell>
          <cell r="G695">
            <v>105</v>
          </cell>
          <cell r="H695">
            <v>140</v>
          </cell>
          <cell r="I695">
            <v>95</v>
          </cell>
          <cell r="J695">
            <v>55</v>
          </cell>
          <cell r="K695">
            <v>65</v>
          </cell>
          <cell r="L695">
            <v>45</v>
          </cell>
          <cell r="M695">
            <v>505</v>
          </cell>
          <cell r="N695" t="str">
            <v>guts</v>
          </cell>
          <cell r="O695" t="str">
            <v>sheer-force</v>
          </cell>
          <cell r="P695" t="str">
            <v>iron-fist</v>
          </cell>
          <cell r="Q695">
            <v>1.4</v>
          </cell>
          <cell r="R695">
            <v>87</v>
          </cell>
          <cell r="S695" t="str">
            <v>It is thought that Conkeldurr taught humans how to make concrete more than 2,000 years ago.</v>
          </cell>
          <cell r="T695" t="str">
            <v>https://raw.githubusercontent.com/PokeAPI/sprites/master/sprites/pokemon/other/official-artwork/534.png</v>
          </cell>
          <cell r="U695" t="str">
            <v>https://raw.githubusercontent.com/PokeAPI/sprites/master/sprites/pokemon/other/official-artwork/shiny/534.png</v>
          </cell>
        </row>
        <row r="696">
          <cell r="A696">
            <v>535</v>
          </cell>
          <cell r="C696" t="str">
            <v>Tympole</v>
          </cell>
          <cell r="D696" t="str">
            <v>Standard</v>
          </cell>
          <cell r="E696" t="str">
            <v>water</v>
          </cell>
          <cell r="G696">
            <v>50</v>
          </cell>
          <cell r="H696">
            <v>50</v>
          </cell>
          <cell r="I696">
            <v>40</v>
          </cell>
          <cell r="J696">
            <v>50</v>
          </cell>
          <cell r="K696">
            <v>40</v>
          </cell>
          <cell r="L696">
            <v>64</v>
          </cell>
          <cell r="M696">
            <v>294</v>
          </cell>
          <cell r="N696" t="str">
            <v>swift-swim</v>
          </cell>
          <cell r="O696" t="str">
            <v>hydration</v>
          </cell>
          <cell r="P696" t="str">
            <v>water-absorb</v>
          </cell>
          <cell r="Q696">
            <v>0.5</v>
          </cell>
          <cell r="R696">
            <v>4.5</v>
          </cell>
          <cell r="S696" t="str">
            <v>They warn others of danger by vibrating their cheeks to create a high-pitched sound.</v>
          </cell>
          <cell r="T696" t="str">
            <v>https://raw.githubusercontent.com/PokeAPI/sprites/master/sprites/pokemon/other/official-artwork/535.png</v>
          </cell>
          <cell r="U696" t="str">
            <v>https://raw.githubusercontent.com/PokeAPI/sprites/master/sprites/pokemon/other/official-artwork/shiny/535.png</v>
          </cell>
        </row>
        <row r="697">
          <cell r="A697">
            <v>536</v>
          </cell>
          <cell r="C697" t="str">
            <v>Palpitoad</v>
          </cell>
          <cell r="D697" t="str">
            <v>Standard</v>
          </cell>
          <cell r="E697" t="str">
            <v>water</v>
          </cell>
          <cell r="F697" t="str">
            <v>ground</v>
          </cell>
          <cell r="G697">
            <v>75</v>
          </cell>
          <cell r="H697">
            <v>65</v>
          </cell>
          <cell r="I697">
            <v>55</v>
          </cell>
          <cell r="J697">
            <v>65</v>
          </cell>
          <cell r="K697">
            <v>55</v>
          </cell>
          <cell r="L697">
            <v>69</v>
          </cell>
          <cell r="M697">
            <v>384</v>
          </cell>
          <cell r="N697" t="str">
            <v>swift-swim</v>
          </cell>
          <cell r="O697" t="str">
            <v>hydration</v>
          </cell>
          <cell r="P697" t="str">
            <v>water-absorb</v>
          </cell>
          <cell r="Q697">
            <v>0.8</v>
          </cell>
          <cell r="R697">
            <v>17</v>
          </cell>
          <cell r="S697" t="str">
            <v>When they vibrate the bumps on their heads, they can make waves in water or earthquake-like vibrations on land.</v>
          </cell>
          <cell r="T697" t="str">
            <v>https://raw.githubusercontent.com/PokeAPI/sprites/master/sprites/pokemon/other/official-artwork/536.png</v>
          </cell>
          <cell r="U697" t="str">
            <v>https://raw.githubusercontent.com/PokeAPI/sprites/master/sprites/pokemon/other/official-artwork/shiny/536.png</v>
          </cell>
        </row>
        <row r="698">
          <cell r="A698">
            <v>537</v>
          </cell>
          <cell r="C698" t="str">
            <v>Seismitoad</v>
          </cell>
          <cell r="D698" t="str">
            <v>Standard</v>
          </cell>
          <cell r="E698" t="str">
            <v>water</v>
          </cell>
          <cell r="F698" t="str">
            <v>ground</v>
          </cell>
          <cell r="G698">
            <v>105</v>
          </cell>
          <cell r="H698">
            <v>95</v>
          </cell>
          <cell r="I698">
            <v>75</v>
          </cell>
          <cell r="J698">
            <v>85</v>
          </cell>
          <cell r="K698">
            <v>75</v>
          </cell>
          <cell r="L698">
            <v>74</v>
          </cell>
          <cell r="M698">
            <v>509</v>
          </cell>
          <cell r="N698" t="str">
            <v>swift-swim</v>
          </cell>
          <cell r="O698" t="str">
            <v>poison-touch</v>
          </cell>
          <cell r="P698" t="str">
            <v>water-absorb</v>
          </cell>
          <cell r="Q698">
            <v>1.5</v>
          </cell>
          <cell r="R698">
            <v>62</v>
          </cell>
          <cell r="S698" t="str">
            <v>They shoot paralyzing liquid from their head bumps. They use vibration to hurt their opponents.</v>
          </cell>
          <cell r="T698" t="str">
            <v>https://raw.githubusercontent.com/PokeAPI/sprites/master/sprites/pokemon/other/official-artwork/537.png</v>
          </cell>
          <cell r="U698" t="str">
            <v>https://raw.githubusercontent.com/PokeAPI/sprites/master/sprites/pokemon/other/official-artwork/shiny/537.png</v>
          </cell>
        </row>
        <row r="699">
          <cell r="A699">
            <v>538</v>
          </cell>
          <cell r="C699" t="str">
            <v>Throh</v>
          </cell>
          <cell r="D699" t="str">
            <v>Standard</v>
          </cell>
          <cell r="E699" t="str">
            <v>fighting</v>
          </cell>
          <cell r="G699">
            <v>120</v>
          </cell>
          <cell r="H699">
            <v>100</v>
          </cell>
          <cell r="I699">
            <v>85</v>
          </cell>
          <cell r="J699">
            <v>30</v>
          </cell>
          <cell r="K699">
            <v>85</v>
          </cell>
          <cell r="L699">
            <v>45</v>
          </cell>
          <cell r="M699">
            <v>465</v>
          </cell>
          <cell r="N699" t="str">
            <v>guts</v>
          </cell>
          <cell r="O699" t="str">
            <v>inner-focus</v>
          </cell>
          <cell r="P699" t="str">
            <v>mold-breaker</v>
          </cell>
          <cell r="Q699">
            <v>1.3</v>
          </cell>
          <cell r="R699">
            <v>55.5</v>
          </cell>
          <cell r="S699" t="str">
            <v>When it tightens its belt, it becomes stronger. Wild Throh use vines to weave their own belts.</v>
          </cell>
          <cell r="T699" t="str">
            <v>https://raw.githubusercontent.com/PokeAPI/sprites/master/sprites/pokemon/other/official-artwork/538.png</v>
          </cell>
          <cell r="U699" t="str">
            <v>https://raw.githubusercontent.com/PokeAPI/sprites/master/sprites/pokemon/other/official-artwork/shiny/538.png</v>
          </cell>
        </row>
        <row r="700">
          <cell r="A700">
            <v>539</v>
          </cell>
          <cell r="C700" t="str">
            <v>Sawk</v>
          </cell>
          <cell r="D700" t="str">
            <v>Standard</v>
          </cell>
          <cell r="E700" t="str">
            <v>fighting</v>
          </cell>
          <cell r="G700">
            <v>75</v>
          </cell>
          <cell r="H700">
            <v>125</v>
          </cell>
          <cell r="I700">
            <v>75</v>
          </cell>
          <cell r="J700">
            <v>30</v>
          </cell>
          <cell r="K700">
            <v>75</v>
          </cell>
          <cell r="L700">
            <v>85</v>
          </cell>
          <cell r="M700">
            <v>465</v>
          </cell>
          <cell r="N700" t="str">
            <v>sturdy</v>
          </cell>
          <cell r="O700" t="str">
            <v>inner-focus</v>
          </cell>
          <cell r="P700" t="str">
            <v>mold-breaker</v>
          </cell>
          <cell r="Q700">
            <v>1.4</v>
          </cell>
          <cell r="R700">
            <v>51</v>
          </cell>
          <cell r="S700" t="str">
            <v>The sound of Sawk punching boulders and trees can be heard all the way from the mountains where they train.</v>
          </cell>
          <cell r="T700" t="str">
            <v>https://raw.githubusercontent.com/PokeAPI/sprites/master/sprites/pokemon/other/official-artwork/539.png</v>
          </cell>
          <cell r="U700" t="str">
            <v>https://raw.githubusercontent.com/PokeAPI/sprites/master/sprites/pokemon/other/official-artwork/shiny/539.png</v>
          </cell>
        </row>
        <row r="701">
          <cell r="A701">
            <v>540</v>
          </cell>
          <cell r="C701" t="str">
            <v>Sewaddle</v>
          </cell>
          <cell r="D701" t="str">
            <v>Standard</v>
          </cell>
          <cell r="E701" t="str">
            <v>bug</v>
          </cell>
          <cell r="F701" t="str">
            <v>grass</v>
          </cell>
          <cell r="G701">
            <v>45</v>
          </cell>
          <cell r="H701">
            <v>53</v>
          </cell>
          <cell r="I701">
            <v>70</v>
          </cell>
          <cell r="J701">
            <v>40</v>
          </cell>
          <cell r="K701">
            <v>60</v>
          </cell>
          <cell r="L701">
            <v>42</v>
          </cell>
          <cell r="M701">
            <v>310</v>
          </cell>
          <cell r="N701" t="str">
            <v>swarm</v>
          </cell>
          <cell r="O701" t="str">
            <v>chlorophyll</v>
          </cell>
          <cell r="P701" t="str">
            <v>overcoat</v>
          </cell>
          <cell r="Q701">
            <v>0.3</v>
          </cell>
          <cell r="R701">
            <v>2.5</v>
          </cell>
          <cell r="S701" t="str">
            <v>Leavanny dress it in clothes they made for it when it hatched. It hides its head in its hood while it is sleeping.</v>
          </cell>
          <cell r="T701" t="str">
            <v>https://raw.githubusercontent.com/PokeAPI/sprites/master/sprites/pokemon/other/official-artwork/540.png</v>
          </cell>
          <cell r="U701" t="str">
            <v>https://raw.githubusercontent.com/PokeAPI/sprites/master/sprites/pokemon/other/official-artwork/shiny/540.png</v>
          </cell>
        </row>
        <row r="702">
          <cell r="A702">
            <v>541</v>
          </cell>
          <cell r="C702" t="str">
            <v>Swadloon</v>
          </cell>
          <cell r="D702" t="str">
            <v>Standard</v>
          </cell>
          <cell r="E702" t="str">
            <v>bug</v>
          </cell>
          <cell r="F702" t="str">
            <v>grass</v>
          </cell>
          <cell r="G702">
            <v>55</v>
          </cell>
          <cell r="H702">
            <v>63</v>
          </cell>
          <cell r="I702">
            <v>90</v>
          </cell>
          <cell r="J702">
            <v>50</v>
          </cell>
          <cell r="K702">
            <v>80</v>
          </cell>
          <cell r="L702">
            <v>42</v>
          </cell>
          <cell r="M702">
            <v>380</v>
          </cell>
          <cell r="N702" t="str">
            <v>leaf-guard</v>
          </cell>
          <cell r="O702" t="str">
            <v>chlorophyll</v>
          </cell>
          <cell r="P702" t="str">
            <v>overcoat</v>
          </cell>
          <cell r="Q702">
            <v>0.5</v>
          </cell>
          <cell r="R702">
            <v>7.3</v>
          </cell>
          <cell r="S702" t="str">
            <v>Forests where Swadloon live have superb foliage because the nutrients they make from fallen leaves nourish the plant life.</v>
          </cell>
          <cell r="T702" t="str">
            <v>https://raw.githubusercontent.com/PokeAPI/sprites/master/sprites/pokemon/other/official-artwork/541.png</v>
          </cell>
          <cell r="U702" t="str">
            <v>https://raw.githubusercontent.com/PokeAPI/sprites/master/sprites/pokemon/other/official-artwork/shiny/541.png</v>
          </cell>
        </row>
        <row r="703">
          <cell r="A703">
            <v>542</v>
          </cell>
          <cell r="C703" t="str">
            <v>Leavanny</v>
          </cell>
          <cell r="D703" t="str">
            <v>Standard</v>
          </cell>
          <cell r="E703" t="str">
            <v>bug</v>
          </cell>
          <cell r="F703" t="str">
            <v>grass</v>
          </cell>
          <cell r="G703">
            <v>75</v>
          </cell>
          <cell r="H703">
            <v>103</v>
          </cell>
          <cell r="I703">
            <v>80</v>
          </cell>
          <cell r="J703">
            <v>70</v>
          </cell>
          <cell r="K703">
            <v>80</v>
          </cell>
          <cell r="L703">
            <v>92</v>
          </cell>
          <cell r="M703">
            <v>500</v>
          </cell>
          <cell r="N703" t="str">
            <v>swarm</v>
          </cell>
          <cell r="O703" t="str">
            <v>chlorophyll</v>
          </cell>
          <cell r="P703" t="str">
            <v>overcoat</v>
          </cell>
          <cell r="Q703">
            <v>1.2</v>
          </cell>
          <cell r="R703">
            <v>20.5</v>
          </cell>
          <cell r="S703" t="str">
            <v>Upon finding a small Pokémon, it weaves clothing for it from leaves, using the cutters on its arms and sticky silk.</v>
          </cell>
          <cell r="T703" t="str">
            <v>https://raw.githubusercontent.com/PokeAPI/sprites/master/sprites/pokemon/other/official-artwork/542.png</v>
          </cell>
          <cell r="U703" t="str">
            <v>https://raw.githubusercontent.com/PokeAPI/sprites/master/sprites/pokemon/other/official-artwork/shiny/542.png</v>
          </cell>
        </row>
        <row r="704">
          <cell r="A704">
            <v>543</v>
          </cell>
          <cell r="C704" t="str">
            <v>Venipede</v>
          </cell>
          <cell r="D704" t="str">
            <v>Standard</v>
          </cell>
          <cell r="E704" t="str">
            <v>bug</v>
          </cell>
          <cell r="F704" t="str">
            <v>poison</v>
          </cell>
          <cell r="G704">
            <v>30</v>
          </cell>
          <cell r="H704">
            <v>45</v>
          </cell>
          <cell r="I704">
            <v>59</v>
          </cell>
          <cell r="J704">
            <v>30</v>
          </cell>
          <cell r="K704">
            <v>39</v>
          </cell>
          <cell r="L704">
            <v>57</v>
          </cell>
          <cell r="M704">
            <v>260</v>
          </cell>
          <cell r="N704" t="str">
            <v>poison-point</v>
          </cell>
          <cell r="O704" t="str">
            <v>swarm</v>
          </cell>
          <cell r="P704" t="str">
            <v>speed-boost</v>
          </cell>
          <cell r="Q704">
            <v>0.4</v>
          </cell>
          <cell r="R704">
            <v>5.3</v>
          </cell>
          <cell r="S704" t="str">
            <v>Its bite injects a potent poison, enough to paralyze large bird Pokémon that try to prey on it.</v>
          </cell>
          <cell r="T704" t="str">
            <v>https://raw.githubusercontent.com/PokeAPI/sprites/master/sprites/pokemon/other/official-artwork/543.png</v>
          </cell>
          <cell r="U704" t="str">
            <v>https://raw.githubusercontent.com/PokeAPI/sprites/master/sprites/pokemon/other/official-artwork/shiny/543.png</v>
          </cell>
        </row>
        <row r="705">
          <cell r="A705">
            <v>544</v>
          </cell>
          <cell r="C705" t="str">
            <v>Whirlipede</v>
          </cell>
          <cell r="D705" t="str">
            <v>Standard</v>
          </cell>
          <cell r="E705" t="str">
            <v>bug</v>
          </cell>
          <cell r="F705" t="str">
            <v>poison</v>
          </cell>
          <cell r="G705">
            <v>40</v>
          </cell>
          <cell r="H705">
            <v>55</v>
          </cell>
          <cell r="I705">
            <v>99</v>
          </cell>
          <cell r="J705">
            <v>40</v>
          </cell>
          <cell r="K705">
            <v>79</v>
          </cell>
          <cell r="L705">
            <v>47</v>
          </cell>
          <cell r="M705">
            <v>360</v>
          </cell>
          <cell r="N705" t="str">
            <v>poison-point</v>
          </cell>
          <cell r="O705" t="str">
            <v>swarm</v>
          </cell>
          <cell r="P705" t="str">
            <v>speed-boost</v>
          </cell>
          <cell r="Q705">
            <v>1.2</v>
          </cell>
          <cell r="R705">
            <v>58.5</v>
          </cell>
          <cell r="S705" t="str">
            <v>Protected by a hard shell, it spins its body like a wheel and crashes furiously into its enemies.</v>
          </cell>
          <cell r="T705" t="str">
            <v>https://raw.githubusercontent.com/PokeAPI/sprites/master/sprites/pokemon/other/official-artwork/544.png</v>
          </cell>
          <cell r="U705" t="str">
            <v>https://raw.githubusercontent.com/PokeAPI/sprites/master/sprites/pokemon/other/official-artwork/shiny/544.png</v>
          </cell>
        </row>
        <row r="706">
          <cell r="A706">
            <v>545</v>
          </cell>
          <cell r="C706" t="str">
            <v>Scolipede</v>
          </cell>
          <cell r="D706" t="str">
            <v>Standard</v>
          </cell>
          <cell r="E706" t="str">
            <v>bug</v>
          </cell>
          <cell r="F706" t="str">
            <v>poison</v>
          </cell>
          <cell r="G706">
            <v>60</v>
          </cell>
          <cell r="H706">
            <v>100</v>
          </cell>
          <cell r="I706">
            <v>89</v>
          </cell>
          <cell r="J706">
            <v>55</v>
          </cell>
          <cell r="K706">
            <v>69</v>
          </cell>
          <cell r="L706">
            <v>112</v>
          </cell>
          <cell r="M706">
            <v>485</v>
          </cell>
          <cell r="N706" t="str">
            <v>poison-point</v>
          </cell>
          <cell r="O706" t="str">
            <v>swarm</v>
          </cell>
          <cell r="P706" t="str">
            <v>speed-boost</v>
          </cell>
          <cell r="Q706">
            <v>2.5</v>
          </cell>
          <cell r="R706">
            <v>200.5</v>
          </cell>
          <cell r="S706" t="str">
            <v>With quick movements, it chases down its foes, attacking relentlessly with its horns until it prevails.</v>
          </cell>
          <cell r="T706" t="str">
            <v>https://raw.githubusercontent.com/PokeAPI/sprites/master/sprites/pokemon/other/official-artwork/545.png</v>
          </cell>
          <cell r="U706" t="str">
            <v>https://raw.githubusercontent.com/PokeAPI/sprites/master/sprites/pokemon/other/official-artwork/shiny/545.png</v>
          </cell>
        </row>
        <row r="707">
          <cell r="A707">
            <v>545</v>
          </cell>
          <cell r="C707" t="str">
            <v>Scolipede Mega</v>
          </cell>
          <cell r="D707" t="str">
            <v>Mega</v>
          </cell>
          <cell r="E707" t="str">
            <v>bug</v>
          </cell>
          <cell r="F707" t="str">
            <v>poison</v>
          </cell>
          <cell r="G707">
            <v>60</v>
          </cell>
          <cell r="H707">
            <v>140</v>
          </cell>
          <cell r="I707">
            <v>149</v>
          </cell>
          <cell r="J707">
            <v>75</v>
          </cell>
          <cell r="K707">
            <v>99</v>
          </cell>
          <cell r="L707">
            <v>62</v>
          </cell>
          <cell r="M707">
            <v>585</v>
          </cell>
          <cell r="Q707">
            <v>3.2</v>
          </cell>
          <cell r="R707">
            <v>230.5</v>
          </cell>
          <cell r="S707" t="str">
            <v>With quick movements, it chases down its foes, attacking relentlessly with its horns until it prevails.</v>
          </cell>
        </row>
        <row r="708">
          <cell r="A708">
            <v>546</v>
          </cell>
          <cell r="C708" t="str">
            <v>Cottonee</v>
          </cell>
          <cell r="D708" t="str">
            <v>Standard</v>
          </cell>
          <cell r="E708" t="str">
            <v>grass</v>
          </cell>
          <cell r="F708" t="str">
            <v>fairy</v>
          </cell>
          <cell r="G708">
            <v>40</v>
          </cell>
          <cell r="H708">
            <v>27</v>
          </cell>
          <cell r="I708">
            <v>60</v>
          </cell>
          <cell r="J708">
            <v>37</v>
          </cell>
          <cell r="K708">
            <v>50</v>
          </cell>
          <cell r="L708">
            <v>66</v>
          </cell>
          <cell r="M708">
            <v>280</v>
          </cell>
          <cell r="N708" t="str">
            <v>prankster</v>
          </cell>
          <cell r="O708" t="str">
            <v>infiltrator</v>
          </cell>
          <cell r="P708" t="str">
            <v>chlorophyll</v>
          </cell>
          <cell r="Q708">
            <v>0.3</v>
          </cell>
          <cell r="R708">
            <v>0.6</v>
          </cell>
          <cell r="S708" t="str">
            <v>When attacked, it escapes by shooting cotton from its body. The cotton serves as a decoy to distract the attacker.</v>
          </cell>
          <cell r="T708" t="str">
            <v>https://raw.githubusercontent.com/PokeAPI/sprites/master/sprites/pokemon/other/official-artwork/546.png</v>
          </cell>
          <cell r="U708" t="str">
            <v>https://raw.githubusercontent.com/PokeAPI/sprites/master/sprites/pokemon/other/official-artwork/shiny/546.png</v>
          </cell>
        </row>
        <row r="709">
          <cell r="A709">
            <v>547</v>
          </cell>
          <cell r="C709" t="str">
            <v>Whimsicott</v>
          </cell>
          <cell r="D709" t="str">
            <v>Standard</v>
          </cell>
          <cell r="E709" t="str">
            <v>grass</v>
          </cell>
          <cell r="F709" t="str">
            <v>fairy</v>
          </cell>
          <cell r="G709">
            <v>60</v>
          </cell>
          <cell r="H709">
            <v>67</v>
          </cell>
          <cell r="I709">
            <v>85</v>
          </cell>
          <cell r="J709">
            <v>77</v>
          </cell>
          <cell r="K709">
            <v>75</v>
          </cell>
          <cell r="L709">
            <v>116</v>
          </cell>
          <cell r="M709">
            <v>480</v>
          </cell>
          <cell r="N709" t="str">
            <v>prankster</v>
          </cell>
          <cell r="O709" t="str">
            <v>infiltrator</v>
          </cell>
          <cell r="P709" t="str">
            <v>chlorophyll</v>
          </cell>
          <cell r="Q709">
            <v>0.7</v>
          </cell>
          <cell r="R709">
            <v>6.6</v>
          </cell>
          <cell r="S709" t="str">
            <v>Like the wind, it can slip through any gap, no matter how small. It leaves balls of white fluff behind.</v>
          </cell>
          <cell r="T709" t="str">
            <v>https://raw.githubusercontent.com/PokeAPI/sprites/master/sprites/pokemon/other/official-artwork/547.png</v>
          </cell>
          <cell r="U709" t="str">
            <v>https://raw.githubusercontent.com/PokeAPI/sprites/master/sprites/pokemon/other/official-artwork/shiny/547.png</v>
          </cell>
        </row>
        <row r="710">
          <cell r="A710">
            <v>548</v>
          </cell>
          <cell r="C710" t="str">
            <v>Petilil</v>
          </cell>
          <cell r="D710" t="str">
            <v>Standard</v>
          </cell>
          <cell r="E710" t="str">
            <v>grass</v>
          </cell>
          <cell r="G710">
            <v>45</v>
          </cell>
          <cell r="H710">
            <v>35</v>
          </cell>
          <cell r="I710">
            <v>50</v>
          </cell>
          <cell r="J710">
            <v>70</v>
          </cell>
          <cell r="K710">
            <v>50</v>
          </cell>
          <cell r="L710">
            <v>30</v>
          </cell>
          <cell r="M710">
            <v>280</v>
          </cell>
          <cell r="N710" t="str">
            <v>chlorophyll</v>
          </cell>
          <cell r="O710" t="str">
            <v>own-tempo</v>
          </cell>
          <cell r="P710" t="str">
            <v>leaf-guard</v>
          </cell>
          <cell r="Q710">
            <v>0.5</v>
          </cell>
          <cell r="R710">
            <v>6.6</v>
          </cell>
          <cell r="S710" t="str">
            <v>The leaves on its head are very bitter. Eating one of these leaves is known to refresh a tired body.</v>
          </cell>
          <cell r="T710" t="str">
            <v>https://raw.githubusercontent.com/PokeAPI/sprites/master/sprites/pokemon/other/official-artwork/548.png</v>
          </cell>
          <cell r="U710" t="str">
            <v>https://raw.githubusercontent.com/PokeAPI/sprites/master/sprites/pokemon/other/official-artwork/shiny/548.png</v>
          </cell>
        </row>
        <row r="711">
          <cell r="A711">
            <v>549</v>
          </cell>
          <cell r="C711" t="str">
            <v>Lilligant</v>
          </cell>
          <cell r="D711" t="str">
            <v>Standard</v>
          </cell>
          <cell r="E711" t="str">
            <v>grass</v>
          </cell>
          <cell r="G711">
            <v>70</v>
          </cell>
          <cell r="H711">
            <v>60</v>
          </cell>
          <cell r="I711">
            <v>75</v>
          </cell>
          <cell r="J711">
            <v>110</v>
          </cell>
          <cell r="K711">
            <v>75</v>
          </cell>
          <cell r="L711">
            <v>90</v>
          </cell>
          <cell r="M711">
            <v>480</v>
          </cell>
          <cell r="N711" t="str">
            <v>chlorophyll</v>
          </cell>
          <cell r="O711" t="str">
            <v>own-tempo</v>
          </cell>
          <cell r="P711" t="str">
            <v>leaf-guard</v>
          </cell>
          <cell r="Q711">
            <v>1.1000000000000001</v>
          </cell>
          <cell r="R711">
            <v>16.3</v>
          </cell>
          <cell r="S711" t="str">
            <v>Even veteran Trainers face a challenge in getting its beautiful flower to bloom. This Pokémon is popular with celebrities.</v>
          </cell>
          <cell r="T711" t="str">
            <v>https://raw.githubusercontent.com/PokeAPI/sprites/master/sprites/pokemon/other/official-artwork/549.png</v>
          </cell>
          <cell r="U711" t="str">
            <v>https://raw.githubusercontent.com/PokeAPI/sprites/master/sprites/pokemon/other/official-artwork/shiny/549.png</v>
          </cell>
        </row>
        <row r="712">
          <cell r="A712">
            <v>549</v>
          </cell>
          <cell r="C712" t="str">
            <v>Lilligant Hisui</v>
          </cell>
          <cell r="D712" t="str">
            <v>Regional</v>
          </cell>
          <cell r="E712" t="str">
            <v>grass</v>
          </cell>
          <cell r="F712" t="str">
            <v>fighting</v>
          </cell>
          <cell r="G712">
            <v>70</v>
          </cell>
          <cell r="H712">
            <v>105</v>
          </cell>
          <cell r="I712">
            <v>75</v>
          </cell>
          <cell r="J712">
            <v>50</v>
          </cell>
          <cell r="K712">
            <v>75</v>
          </cell>
          <cell r="L712">
            <v>105</v>
          </cell>
          <cell r="M712">
            <v>480</v>
          </cell>
          <cell r="N712" t="str">
            <v>chlorophyll</v>
          </cell>
          <cell r="O712" t="str">
            <v>hustle</v>
          </cell>
          <cell r="P712" t="str">
            <v>leaf-guard</v>
          </cell>
          <cell r="Q712">
            <v>1.2</v>
          </cell>
          <cell r="R712">
            <v>19.2</v>
          </cell>
          <cell r="S712" t="str">
            <v>Even veteran Trainers face a challenge in getting its beautiful flower to bloom. This Pokémon is popular with celebrities.</v>
          </cell>
          <cell r="T712" t="str">
            <v>https://raw.githubusercontent.com/PokeAPI/sprites/master/sprites/pokemon/other/official-artwork/10237.png</v>
          </cell>
          <cell r="U712" t="str">
            <v>https://raw.githubusercontent.com/PokeAPI/sprites/master/sprites/pokemon/other/official-artwork/shiny/10237.png</v>
          </cell>
        </row>
        <row r="713">
          <cell r="A713">
            <v>550</v>
          </cell>
          <cell r="C713" t="str">
            <v>Basculin Blue Striped</v>
          </cell>
          <cell r="D713" t="str">
            <v>Other</v>
          </cell>
          <cell r="E713" t="str">
            <v>water</v>
          </cell>
          <cell r="G713">
            <v>70</v>
          </cell>
          <cell r="H713">
            <v>92</v>
          </cell>
          <cell r="I713">
            <v>65</v>
          </cell>
          <cell r="J713">
            <v>80</v>
          </cell>
          <cell r="K713">
            <v>55</v>
          </cell>
          <cell r="L713">
            <v>98</v>
          </cell>
          <cell r="M713">
            <v>460</v>
          </cell>
          <cell r="N713" t="str">
            <v>rock-head</v>
          </cell>
          <cell r="O713" t="str">
            <v>adaptability</v>
          </cell>
          <cell r="P713" t="str">
            <v>mold-breaker</v>
          </cell>
          <cell r="Q713">
            <v>1</v>
          </cell>
          <cell r="R713">
            <v>18</v>
          </cell>
          <cell r="S713" t="str">
            <v>Red and blue Basculin get along so poorly, they’ll start fighting instantly. These Pokémon are very hostile.</v>
          </cell>
          <cell r="T713" t="str">
            <v>https://raw.githubusercontent.com/PokeAPI/sprites/master/sprites/pokemon/other/official-artwork/10016.png</v>
          </cell>
          <cell r="U713" t="str">
            <v>https://raw.githubusercontent.com/PokeAPI/sprites/master/sprites/pokemon/other/official-artwork/shiny/10016.png</v>
          </cell>
        </row>
        <row r="714">
          <cell r="A714">
            <v>550</v>
          </cell>
          <cell r="C714" t="str">
            <v>Basculin Red Striped</v>
          </cell>
          <cell r="D714" t="str">
            <v>Other</v>
          </cell>
          <cell r="E714" t="str">
            <v>water</v>
          </cell>
          <cell r="G714">
            <v>70</v>
          </cell>
          <cell r="H714">
            <v>92</v>
          </cell>
          <cell r="I714">
            <v>65</v>
          </cell>
          <cell r="J714">
            <v>80</v>
          </cell>
          <cell r="K714">
            <v>55</v>
          </cell>
          <cell r="L714">
            <v>98</v>
          </cell>
          <cell r="M714">
            <v>460</v>
          </cell>
          <cell r="N714" t="str">
            <v>reckless</v>
          </cell>
          <cell r="O714" t="str">
            <v>adaptability</v>
          </cell>
          <cell r="P714" t="str">
            <v>mold-breaker</v>
          </cell>
          <cell r="Q714">
            <v>1</v>
          </cell>
          <cell r="R714">
            <v>18</v>
          </cell>
          <cell r="S714" t="str">
            <v>Red and blue Basculin get along so poorly, they’ll start fighting instantly. These Pokémon are very hostile.</v>
          </cell>
          <cell r="T714" t="str">
            <v>https://raw.githubusercontent.com/PokeAPI/sprites/master/sprites/pokemon/other/official-artwork/550.png</v>
          </cell>
          <cell r="U714" t="str">
            <v>https://raw.githubusercontent.com/PokeAPI/sprites/master/sprites/pokemon/other/official-artwork/shiny/550.png</v>
          </cell>
        </row>
        <row r="715">
          <cell r="A715">
            <v>550</v>
          </cell>
          <cell r="C715" t="str">
            <v>Basculin White Striped</v>
          </cell>
          <cell r="D715" t="str">
            <v>Other</v>
          </cell>
          <cell r="E715" t="str">
            <v>water</v>
          </cell>
          <cell r="G715">
            <v>70</v>
          </cell>
          <cell r="H715">
            <v>92</v>
          </cell>
          <cell r="I715">
            <v>65</v>
          </cell>
          <cell r="J715">
            <v>80</v>
          </cell>
          <cell r="K715">
            <v>55</v>
          </cell>
          <cell r="L715">
            <v>98</v>
          </cell>
          <cell r="M715">
            <v>460</v>
          </cell>
          <cell r="N715" t="str">
            <v>rattled</v>
          </cell>
          <cell r="O715" t="str">
            <v>adaptability</v>
          </cell>
          <cell r="P715" t="str">
            <v>mold-breaker</v>
          </cell>
          <cell r="Q715">
            <v>1</v>
          </cell>
          <cell r="R715">
            <v>18</v>
          </cell>
          <cell r="S715" t="str">
            <v>Red and blue Basculin get along so poorly, they’ll start fighting instantly. These Pokémon are very hostile.</v>
          </cell>
          <cell r="T715" t="str">
            <v>https://raw.githubusercontent.com/PokeAPI/sprites/master/sprites/pokemon/other/official-artwork/10247.png</v>
          </cell>
          <cell r="U715" t="str">
            <v>https://raw.githubusercontent.com/PokeAPI/sprites/master/sprites/pokemon/other/official-artwork/shiny/10247.png</v>
          </cell>
        </row>
        <row r="716">
          <cell r="A716">
            <v>551</v>
          </cell>
          <cell r="C716" t="str">
            <v>Sandile</v>
          </cell>
          <cell r="D716" t="str">
            <v>Standard</v>
          </cell>
          <cell r="E716" t="str">
            <v>ground</v>
          </cell>
          <cell r="F716" t="str">
            <v>dark</v>
          </cell>
          <cell r="G716">
            <v>50</v>
          </cell>
          <cell r="H716">
            <v>72</v>
          </cell>
          <cell r="I716">
            <v>35</v>
          </cell>
          <cell r="J716">
            <v>35</v>
          </cell>
          <cell r="K716">
            <v>35</v>
          </cell>
          <cell r="L716">
            <v>65</v>
          </cell>
          <cell r="M716">
            <v>292</v>
          </cell>
          <cell r="N716" t="str">
            <v>intimidate</v>
          </cell>
          <cell r="O716" t="str">
            <v>moxie</v>
          </cell>
          <cell r="P716" t="str">
            <v>anger-point</v>
          </cell>
          <cell r="Q716">
            <v>0.7</v>
          </cell>
          <cell r="R716">
            <v>15.2</v>
          </cell>
          <cell r="S716" t="str">
            <v>They live buried in the sands of the desert. The sun-warmed sands prevent their body temperature from dropping.</v>
          </cell>
          <cell r="T716" t="str">
            <v>https://raw.githubusercontent.com/PokeAPI/sprites/master/sprites/pokemon/other/official-artwork/551.png</v>
          </cell>
          <cell r="U716" t="str">
            <v>https://raw.githubusercontent.com/PokeAPI/sprites/master/sprites/pokemon/other/official-artwork/shiny/551.png</v>
          </cell>
        </row>
        <row r="717">
          <cell r="A717">
            <v>552</v>
          </cell>
          <cell r="C717" t="str">
            <v>Krokorok</v>
          </cell>
          <cell r="D717" t="str">
            <v>Standard</v>
          </cell>
          <cell r="E717" t="str">
            <v>ground</v>
          </cell>
          <cell r="F717" t="str">
            <v>dark</v>
          </cell>
          <cell r="G717">
            <v>60</v>
          </cell>
          <cell r="H717">
            <v>82</v>
          </cell>
          <cell r="I717">
            <v>45</v>
          </cell>
          <cell r="J717">
            <v>45</v>
          </cell>
          <cell r="K717">
            <v>45</v>
          </cell>
          <cell r="L717">
            <v>74</v>
          </cell>
          <cell r="M717">
            <v>351</v>
          </cell>
          <cell r="N717" t="str">
            <v>intimidate</v>
          </cell>
          <cell r="O717" t="str">
            <v>moxie</v>
          </cell>
          <cell r="P717" t="str">
            <v>anger-point</v>
          </cell>
          <cell r="Q717">
            <v>1</v>
          </cell>
          <cell r="R717">
            <v>33.4</v>
          </cell>
          <cell r="S717" t="str">
            <v>They live in groups of a few individuals. Protective membranes shield their eyes from sandstorms.</v>
          </cell>
          <cell r="T717" t="str">
            <v>https://raw.githubusercontent.com/PokeAPI/sprites/master/sprites/pokemon/other/official-artwork/552.png</v>
          </cell>
          <cell r="U717" t="str">
            <v>https://raw.githubusercontent.com/PokeAPI/sprites/master/sprites/pokemon/other/official-artwork/shiny/552.png</v>
          </cell>
        </row>
        <row r="718">
          <cell r="A718">
            <v>553</v>
          </cell>
          <cell r="C718" t="str">
            <v>Krookodile</v>
          </cell>
          <cell r="D718" t="str">
            <v>Standard</v>
          </cell>
          <cell r="E718" t="str">
            <v>ground</v>
          </cell>
          <cell r="F718" t="str">
            <v>dark</v>
          </cell>
          <cell r="G718">
            <v>95</v>
          </cell>
          <cell r="H718">
            <v>117</v>
          </cell>
          <cell r="I718">
            <v>80</v>
          </cell>
          <cell r="J718">
            <v>65</v>
          </cell>
          <cell r="K718">
            <v>70</v>
          </cell>
          <cell r="L718">
            <v>92</v>
          </cell>
          <cell r="M718">
            <v>519</v>
          </cell>
          <cell r="N718" t="str">
            <v>intimidate</v>
          </cell>
          <cell r="O718" t="str">
            <v>moxie</v>
          </cell>
          <cell r="P718" t="str">
            <v>anger-point</v>
          </cell>
          <cell r="Q718">
            <v>1.5</v>
          </cell>
          <cell r="R718">
            <v>96.3</v>
          </cell>
          <cell r="S718" t="str">
            <v>They never allow prey to escape. Their jaws are so powerful, they can crush the body of an automobile.</v>
          </cell>
          <cell r="T718" t="str">
            <v>https://raw.githubusercontent.com/PokeAPI/sprites/master/sprites/pokemon/other/official-artwork/553.png</v>
          </cell>
          <cell r="U718" t="str">
            <v>https://raw.githubusercontent.com/PokeAPI/sprites/master/sprites/pokemon/other/official-artwork/shiny/553.png</v>
          </cell>
        </row>
        <row r="719">
          <cell r="A719">
            <v>554</v>
          </cell>
          <cell r="C719" t="str">
            <v>Darumaka</v>
          </cell>
          <cell r="D719" t="str">
            <v>Standard</v>
          </cell>
          <cell r="E719" t="str">
            <v>fire</v>
          </cell>
          <cell r="G719">
            <v>70</v>
          </cell>
          <cell r="H719">
            <v>90</v>
          </cell>
          <cell r="I719">
            <v>45</v>
          </cell>
          <cell r="J719">
            <v>15</v>
          </cell>
          <cell r="K719">
            <v>45</v>
          </cell>
          <cell r="L719">
            <v>50</v>
          </cell>
          <cell r="M719">
            <v>315</v>
          </cell>
          <cell r="N719" t="str">
            <v>hustle</v>
          </cell>
          <cell r="P719" t="str">
            <v>inner-focus</v>
          </cell>
          <cell r="Q719">
            <v>0.6</v>
          </cell>
          <cell r="R719">
            <v>37.5</v>
          </cell>
          <cell r="S719" t="str">
            <v>When its internal fire is burning, it cannot calm down and it runs around. When the fire diminishes, it falls asleep.</v>
          </cell>
          <cell r="T719" t="str">
            <v>https://raw.githubusercontent.com/PokeAPI/sprites/master/sprites/pokemon/other/official-artwork/554.png</v>
          </cell>
          <cell r="U719" t="str">
            <v>https://raw.githubusercontent.com/PokeAPI/sprites/master/sprites/pokemon/other/official-artwork/shiny/554.png</v>
          </cell>
        </row>
        <row r="720">
          <cell r="A720">
            <v>554</v>
          </cell>
          <cell r="C720" t="str">
            <v>Darumaka Galar</v>
          </cell>
          <cell r="D720" t="str">
            <v>Regional</v>
          </cell>
          <cell r="E720" t="str">
            <v>ice</v>
          </cell>
          <cell r="G720">
            <v>70</v>
          </cell>
          <cell r="H720">
            <v>90</v>
          </cell>
          <cell r="I720">
            <v>45</v>
          </cell>
          <cell r="J720">
            <v>15</v>
          </cell>
          <cell r="K720">
            <v>45</v>
          </cell>
          <cell r="L720">
            <v>50</v>
          </cell>
          <cell r="M720">
            <v>315</v>
          </cell>
          <cell r="N720" t="str">
            <v>hustle</v>
          </cell>
          <cell r="P720" t="str">
            <v>inner-focus</v>
          </cell>
          <cell r="Q720">
            <v>0.7</v>
          </cell>
          <cell r="R720">
            <v>40</v>
          </cell>
          <cell r="S720" t="str">
            <v>When its internal fire is burning, it cannot calm down and it runs around. When the fire diminishes, it falls asleep.</v>
          </cell>
          <cell r="T720" t="str">
            <v>https://raw.githubusercontent.com/PokeAPI/sprites/master/sprites/pokemon/other/official-artwork/10176.png</v>
          </cell>
          <cell r="U720" t="str">
            <v>https://raw.githubusercontent.com/PokeAPI/sprites/master/sprites/pokemon/other/official-artwork/shiny/10176.png</v>
          </cell>
        </row>
        <row r="721">
          <cell r="A721">
            <v>555</v>
          </cell>
          <cell r="C721" t="str">
            <v>Darmanitan Galar Standard</v>
          </cell>
          <cell r="D721" t="str">
            <v>Regional</v>
          </cell>
          <cell r="E721" t="str">
            <v>ice</v>
          </cell>
          <cell r="G721">
            <v>105</v>
          </cell>
          <cell r="H721">
            <v>140</v>
          </cell>
          <cell r="I721">
            <v>55</v>
          </cell>
          <cell r="J721">
            <v>30</v>
          </cell>
          <cell r="K721">
            <v>55</v>
          </cell>
          <cell r="L721">
            <v>95</v>
          </cell>
          <cell r="M721">
            <v>480</v>
          </cell>
          <cell r="N721" t="str">
            <v>gorilla-tactics</v>
          </cell>
          <cell r="P721" t="str">
            <v>zen-mode</v>
          </cell>
          <cell r="Q721">
            <v>1.7</v>
          </cell>
          <cell r="R721">
            <v>120</v>
          </cell>
          <cell r="S721" t="str">
            <v>Its internal fire burns at 2,500° F, making enough power that it can destroy a dump truck with one punch.</v>
          </cell>
          <cell r="T721" t="str">
            <v>https://raw.githubusercontent.com/PokeAPI/sprites/master/sprites/pokemon/other/official-artwork/10177.png</v>
          </cell>
          <cell r="U721" t="str">
            <v>https://raw.githubusercontent.com/PokeAPI/sprites/master/sprites/pokemon/other/official-artwork/shiny/10177.png</v>
          </cell>
        </row>
        <row r="722">
          <cell r="A722">
            <v>555</v>
          </cell>
          <cell r="C722" t="str">
            <v>Darmanitan Galar Zen</v>
          </cell>
          <cell r="D722" t="str">
            <v>Regional</v>
          </cell>
          <cell r="E722" t="str">
            <v>ice</v>
          </cell>
          <cell r="F722" t="str">
            <v>fire</v>
          </cell>
          <cell r="G722">
            <v>105</v>
          </cell>
          <cell r="H722">
            <v>160</v>
          </cell>
          <cell r="I722">
            <v>55</v>
          </cell>
          <cell r="J722">
            <v>30</v>
          </cell>
          <cell r="K722">
            <v>55</v>
          </cell>
          <cell r="L722">
            <v>135</v>
          </cell>
          <cell r="M722">
            <v>540</v>
          </cell>
          <cell r="N722" t="str">
            <v>gorilla-tactics</v>
          </cell>
          <cell r="P722" t="str">
            <v>zen-mode</v>
          </cell>
          <cell r="Q722">
            <v>1.7</v>
          </cell>
          <cell r="R722">
            <v>120</v>
          </cell>
          <cell r="S722" t="str">
            <v>Its internal fire burns at 2,500° F, making enough power that it can destroy a dump truck with one punch.</v>
          </cell>
          <cell r="T722" t="str">
            <v>https://raw.githubusercontent.com/PokeAPI/sprites/master/sprites/pokemon/other/official-artwork/10178.png</v>
          </cell>
          <cell r="U722" t="str">
            <v>https://raw.githubusercontent.com/PokeAPI/sprites/master/sprites/pokemon/other/official-artwork/shiny/10178.png</v>
          </cell>
        </row>
        <row r="723">
          <cell r="A723">
            <v>555</v>
          </cell>
          <cell r="C723" t="str">
            <v>Darmanitan Standard</v>
          </cell>
          <cell r="D723" t="str">
            <v>Other</v>
          </cell>
          <cell r="E723" t="str">
            <v>fire</v>
          </cell>
          <cell r="G723">
            <v>105</v>
          </cell>
          <cell r="H723">
            <v>140</v>
          </cell>
          <cell r="I723">
            <v>55</v>
          </cell>
          <cell r="J723">
            <v>30</v>
          </cell>
          <cell r="K723">
            <v>55</v>
          </cell>
          <cell r="L723">
            <v>95</v>
          </cell>
          <cell r="M723">
            <v>480</v>
          </cell>
          <cell r="N723" t="str">
            <v>sheer-force</v>
          </cell>
          <cell r="P723" t="str">
            <v>zen-mode</v>
          </cell>
          <cell r="Q723">
            <v>1.3</v>
          </cell>
          <cell r="R723">
            <v>92.9</v>
          </cell>
          <cell r="S723" t="str">
            <v>Its internal fire burns at 2,500° F, making enough power that it can destroy a dump truck with one punch.</v>
          </cell>
          <cell r="T723" t="str">
            <v>https://raw.githubusercontent.com/PokeAPI/sprites/master/sprites/pokemon/other/official-artwork/555.png</v>
          </cell>
          <cell r="U723" t="str">
            <v>https://raw.githubusercontent.com/PokeAPI/sprites/master/sprites/pokemon/other/official-artwork/shiny/555.png</v>
          </cell>
        </row>
        <row r="724">
          <cell r="A724">
            <v>555</v>
          </cell>
          <cell r="C724" t="str">
            <v>Darmanitan Zen</v>
          </cell>
          <cell r="D724" t="str">
            <v>Other</v>
          </cell>
          <cell r="E724" t="str">
            <v>fire</v>
          </cell>
          <cell r="F724" t="str">
            <v>psychic</v>
          </cell>
          <cell r="G724">
            <v>105</v>
          </cell>
          <cell r="H724">
            <v>30</v>
          </cell>
          <cell r="I724">
            <v>105</v>
          </cell>
          <cell r="J724">
            <v>140</v>
          </cell>
          <cell r="K724">
            <v>105</v>
          </cell>
          <cell r="L724">
            <v>55</v>
          </cell>
          <cell r="M724">
            <v>540</v>
          </cell>
          <cell r="N724" t="str">
            <v>sheer-force</v>
          </cell>
          <cell r="P724" t="str">
            <v>zen-mode</v>
          </cell>
          <cell r="Q724">
            <v>1.3</v>
          </cell>
          <cell r="R724">
            <v>92.9</v>
          </cell>
          <cell r="S724" t="str">
            <v>Its internal fire burns at 2,500° F, making enough power that it can destroy a dump truck with one punch.</v>
          </cell>
          <cell r="T724" t="str">
            <v>https://raw.githubusercontent.com/PokeAPI/sprites/master/sprites/pokemon/other/official-artwork/10017.png</v>
          </cell>
          <cell r="U724" t="str">
            <v>https://raw.githubusercontent.com/PokeAPI/sprites/master/sprites/pokemon/other/official-artwork/shiny/10017.png</v>
          </cell>
        </row>
        <row r="725">
          <cell r="A725">
            <v>556</v>
          </cell>
          <cell r="C725" t="str">
            <v>Maractus</v>
          </cell>
          <cell r="D725" t="str">
            <v>Standard</v>
          </cell>
          <cell r="E725" t="str">
            <v>grass</v>
          </cell>
          <cell r="G725">
            <v>75</v>
          </cell>
          <cell r="H725">
            <v>86</v>
          </cell>
          <cell r="I725">
            <v>67</v>
          </cell>
          <cell r="J725">
            <v>106</v>
          </cell>
          <cell r="K725">
            <v>67</v>
          </cell>
          <cell r="L725">
            <v>60</v>
          </cell>
          <cell r="M725">
            <v>461</v>
          </cell>
          <cell r="N725" t="str">
            <v>water-absorb</v>
          </cell>
          <cell r="O725" t="str">
            <v>chlorophyll</v>
          </cell>
          <cell r="P725" t="str">
            <v>storm-drain</v>
          </cell>
          <cell r="Q725">
            <v>1</v>
          </cell>
          <cell r="R725">
            <v>28</v>
          </cell>
          <cell r="S725" t="str">
            <v>It uses an up-tempo song and dance to drive away the bird Pokémon that prey on its flower seeds.</v>
          </cell>
          <cell r="T725" t="str">
            <v>https://raw.githubusercontent.com/PokeAPI/sprites/master/sprites/pokemon/other/official-artwork/556.png</v>
          </cell>
          <cell r="U725" t="str">
            <v>https://raw.githubusercontent.com/PokeAPI/sprites/master/sprites/pokemon/other/official-artwork/shiny/556.png</v>
          </cell>
        </row>
        <row r="726">
          <cell r="A726">
            <v>557</v>
          </cell>
          <cell r="C726" t="str">
            <v>Dwebble</v>
          </cell>
          <cell r="D726" t="str">
            <v>Standard</v>
          </cell>
          <cell r="E726" t="str">
            <v>bug</v>
          </cell>
          <cell r="F726" t="str">
            <v>rock</v>
          </cell>
          <cell r="G726">
            <v>50</v>
          </cell>
          <cell r="H726">
            <v>65</v>
          </cell>
          <cell r="I726">
            <v>85</v>
          </cell>
          <cell r="J726">
            <v>35</v>
          </cell>
          <cell r="K726">
            <v>35</v>
          </cell>
          <cell r="L726">
            <v>55</v>
          </cell>
          <cell r="M726">
            <v>325</v>
          </cell>
          <cell r="N726" t="str">
            <v>sturdy</v>
          </cell>
          <cell r="O726" t="str">
            <v>shell-armor</v>
          </cell>
          <cell r="P726" t="str">
            <v>weak-armor</v>
          </cell>
          <cell r="Q726">
            <v>0.3</v>
          </cell>
          <cell r="R726">
            <v>14.5</v>
          </cell>
          <cell r="S726" t="str">
            <v>This Pokémon can easily melt holes in hard rocks with a liquid secreted from its mouth.</v>
          </cell>
          <cell r="T726" t="str">
            <v>https://raw.githubusercontent.com/PokeAPI/sprites/master/sprites/pokemon/other/official-artwork/557.png</v>
          </cell>
          <cell r="U726" t="str">
            <v>https://raw.githubusercontent.com/PokeAPI/sprites/master/sprites/pokemon/other/official-artwork/shiny/557.png</v>
          </cell>
        </row>
        <row r="727">
          <cell r="A727">
            <v>558</v>
          </cell>
          <cell r="C727" t="str">
            <v>Crustle</v>
          </cell>
          <cell r="D727" t="str">
            <v>Standard</v>
          </cell>
          <cell r="E727" t="str">
            <v>bug</v>
          </cell>
          <cell r="F727" t="str">
            <v>rock</v>
          </cell>
          <cell r="G727">
            <v>70</v>
          </cell>
          <cell r="H727">
            <v>105</v>
          </cell>
          <cell r="I727">
            <v>125</v>
          </cell>
          <cell r="J727">
            <v>65</v>
          </cell>
          <cell r="K727">
            <v>75</v>
          </cell>
          <cell r="L727">
            <v>45</v>
          </cell>
          <cell r="M727">
            <v>485</v>
          </cell>
          <cell r="N727" t="str">
            <v>sturdy</v>
          </cell>
          <cell r="O727" t="str">
            <v>shell-armor</v>
          </cell>
          <cell r="P727" t="str">
            <v>weak-armor</v>
          </cell>
          <cell r="Q727">
            <v>1.4</v>
          </cell>
          <cell r="R727">
            <v>200</v>
          </cell>
          <cell r="S727" t="str">
            <v>Competing for territory, Crustle fight viciously. The one whose boulder is broken is the loser of the battle.</v>
          </cell>
          <cell r="T727" t="str">
            <v>https://raw.githubusercontent.com/PokeAPI/sprites/master/sprites/pokemon/other/official-artwork/558.png</v>
          </cell>
          <cell r="U727" t="str">
            <v>https://raw.githubusercontent.com/PokeAPI/sprites/master/sprites/pokemon/other/official-artwork/shiny/558.png</v>
          </cell>
        </row>
        <row r="728">
          <cell r="A728">
            <v>559</v>
          </cell>
          <cell r="C728" t="str">
            <v>Scraggy</v>
          </cell>
          <cell r="D728" t="str">
            <v>Standard</v>
          </cell>
          <cell r="E728" t="str">
            <v>dark</v>
          </cell>
          <cell r="F728" t="str">
            <v>fighting</v>
          </cell>
          <cell r="G728">
            <v>50</v>
          </cell>
          <cell r="H728">
            <v>75</v>
          </cell>
          <cell r="I728">
            <v>70</v>
          </cell>
          <cell r="J728">
            <v>35</v>
          </cell>
          <cell r="K728">
            <v>70</v>
          </cell>
          <cell r="L728">
            <v>48</v>
          </cell>
          <cell r="M728">
            <v>348</v>
          </cell>
          <cell r="N728" t="str">
            <v>shed-skin</v>
          </cell>
          <cell r="O728" t="str">
            <v>moxie</v>
          </cell>
          <cell r="P728" t="str">
            <v>intimidate</v>
          </cell>
          <cell r="Q728">
            <v>0.6</v>
          </cell>
          <cell r="R728">
            <v>11.8</v>
          </cell>
          <cell r="S728" t="str">
            <v>Its skin has a rubbery elasticity, so it can reduce damage by defensively pulling its skin up to its neck.</v>
          </cell>
          <cell r="T728" t="str">
            <v>https://raw.githubusercontent.com/PokeAPI/sprites/master/sprites/pokemon/other/official-artwork/559.png</v>
          </cell>
          <cell r="U728" t="str">
            <v>https://raw.githubusercontent.com/PokeAPI/sprites/master/sprites/pokemon/other/official-artwork/shiny/559.png</v>
          </cell>
        </row>
        <row r="729">
          <cell r="A729">
            <v>560</v>
          </cell>
          <cell r="C729" t="str">
            <v>Scrafty</v>
          </cell>
          <cell r="D729" t="str">
            <v>Standard</v>
          </cell>
          <cell r="E729" t="str">
            <v>dark</v>
          </cell>
          <cell r="F729" t="str">
            <v>fighting</v>
          </cell>
          <cell r="G729">
            <v>65</v>
          </cell>
          <cell r="H729">
            <v>90</v>
          </cell>
          <cell r="I729">
            <v>115</v>
          </cell>
          <cell r="J729">
            <v>45</v>
          </cell>
          <cell r="K729">
            <v>115</v>
          </cell>
          <cell r="L729">
            <v>58</v>
          </cell>
          <cell r="M729">
            <v>488</v>
          </cell>
          <cell r="N729" t="str">
            <v>shed-skin</v>
          </cell>
          <cell r="O729" t="str">
            <v>moxie</v>
          </cell>
          <cell r="P729" t="str">
            <v>intimidate</v>
          </cell>
          <cell r="Q729">
            <v>1.1000000000000001</v>
          </cell>
          <cell r="R729">
            <v>30</v>
          </cell>
          <cell r="S729" t="str">
            <v>Groups of them beat up anything that enters their territory. Each can spit acidic liquid from its mouth.</v>
          </cell>
          <cell r="T729" t="str">
            <v>https://raw.githubusercontent.com/PokeAPI/sprites/master/sprites/pokemon/other/official-artwork/560.png</v>
          </cell>
          <cell r="U729" t="str">
            <v>https://raw.githubusercontent.com/PokeAPI/sprites/master/sprites/pokemon/other/official-artwork/shiny/560.png</v>
          </cell>
        </row>
        <row r="730">
          <cell r="A730">
            <v>560</v>
          </cell>
          <cell r="C730" t="str">
            <v>Scrafty Mega</v>
          </cell>
          <cell r="D730" t="str">
            <v>Mega</v>
          </cell>
          <cell r="E730" t="str">
            <v>dark</v>
          </cell>
          <cell r="F730" t="str">
            <v>fighting</v>
          </cell>
          <cell r="G730">
            <v>65</v>
          </cell>
          <cell r="H730">
            <v>130</v>
          </cell>
          <cell r="I730">
            <v>135</v>
          </cell>
          <cell r="J730">
            <v>55</v>
          </cell>
          <cell r="K730">
            <v>135</v>
          </cell>
          <cell r="L730">
            <v>68</v>
          </cell>
          <cell r="M730">
            <v>588</v>
          </cell>
          <cell r="Q730">
            <v>1.1000000000000001</v>
          </cell>
          <cell r="R730">
            <v>31</v>
          </cell>
          <cell r="S730" t="str">
            <v>Groups of them beat up anything that enters their territory. Each can spit acidic liquid from its mouth.</v>
          </cell>
        </row>
        <row r="731">
          <cell r="A731">
            <v>561</v>
          </cell>
          <cell r="C731" t="str">
            <v>Sigilyph</v>
          </cell>
          <cell r="D731" t="str">
            <v>Standard</v>
          </cell>
          <cell r="E731" t="str">
            <v>psychic</v>
          </cell>
          <cell r="F731" t="str">
            <v>flying</v>
          </cell>
          <cell r="G731">
            <v>72</v>
          </cell>
          <cell r="H731">
            <v>58</v>
          </cell>
          <cell r="I731">
            <v>80</v>
          </cell>
          <cell r="J731">
            <v>103</v>
          </cell>
          <cell r="K731">
            <v>80</v>
          </cell>
          <cell r="L731">
            <v>97</v>
          </cell>
          <cell r="M731">
            <v>490</v>
          </cell>
          <cell r="N731" t="str">
            <v>wonder-skin</v>
          </cell>
          <cell r="O731" t="str">
            <v>magic-guard</v>
          </cell>
          <cell r="P731" t="str">
            <v>tinted-lens</v>
          </cell>
          <cell r="Q731">
            <v>1.4</v>
          </cell>
          <cell r="R731">
            <v>14</v>
          </cell>
          <cell r="S731" t="str">
            <v>They never vary the route they fly, because their memories of guarding an ancient city remain steadfast.</v>
          </cell>
          <cell r="T731" t="str">
            <v>https://raw.githubusercontent.com/PokeAPI/sprites/master/sprites/pokemon/other/official-artwork/561.png</v>
          </cell>
          <cell r="U731" t="str">
            <v>https://raw.githubusercontent.com/PokeAPI/sprites/master/sprites/pokemon/other/official-artwork/shiny/561.png</v>
          </cell>
        </row>
        <row r="732">
          <cell r="A732">
            <v>562</v>
          </cell>
          <cell r="C732" t="str">
            <v>Yamask</v>
          </cell>
          <cell r="D732" t="str">
            <v>Standard</v>
          </cell>
          <cell r="E732" t="str">
            <v>ghost</v>
          </cell>
          <cell r="G732">
            <v>38</v>
          </cell>
          <cell r="H732">
            <v>30</v>
          </cell>
          <cell r="I732">
            <v>85</v>
          </cell>
          <cell r="J732">
            <v>55</v>
          </cell>
          <cell r="K732">
            <v>65</v>
          </cell>
          <cell r="L732">
            <v>30</v>
          </cell>
          <cell r="M732">
            <v>303</v>
          </cell>
          <cell r="N732" t="str">
            <v>mummy</v>
          </cell>
          <cell r="Q732">
            <v>0.5</v>
          </cell>
          <cell r="R732">
            <v>1.5</v>
          </cell>
          <cell r="S732" t="str">
            <v>Each of them carries a mask that used to be its face when it was human. Sometimes they look at it and cry.</v>
          </cell>
          <cell r="T732" t="str">
            <v>https://raw.githubusercontent.com/PokeAPI/sprites/master/sprites/pokemon/other/official-artwork/562.png</v>
          </cell>
          <cell r="U732" t="str">
            <v>https://raw.githubusercontent.com/PokeAPI/sprites/master/sprites/pokemon/other/official-artwork/shiny/562.png</v>
          </cell>
        </row>
        <row r="733">
          <cell r="A733">
            <v>562</v>
          </cell>
          <cell r="C733" t="str">
            <v>Yamask Galar</v>
          </cell>
          <cell r="D733" t="str">
            <v>Regional</v>
          </cell>
          <cell r="E733" t="str">
            <v>ground</v>
          </cell>
          <cell r="F733" t="str">
            <v>ghost</v>
          </cell>
          <cell r="G733">
            <v>38</v>
          </cell>
          <cell r="H733">
            <v>55</v>
          </cell>
          <cell r="I733">
            <v>85</v>
          </cell>
          <cell r="J733">
            <v>30</v>
          </cell>
          <cell r="K733">
            <v>65</v>
          </cell>
          <cell r="L733">
            <v>30</v>
          </cell>
          <cell r="M733">
            <v>303</v>
          </cell>
          <cell r="N733" t="str">
            <v>wandering-spirit</v>
          </cell>
          <cell r="Q733">
            <v>0.5</v>
          </cell>
          <cell r="R733">
            <v>1.5</v>
          </cell>
          <cell r="S733" t="str">
            <v>Each of them carries a mask that used to be its face when it was human. Sometimes they look at it and cry.</v>
          </cell>
          <cell r="T733" t="str">
            <v>https://raw.githubusercontent.com/PokeAPI/sprites/master/sprites/pokemon/other/official-artwork/10179.png</v>
          </cell>
          <cell r="U733" t="str">
            <v>https://raw.githubusercontent.com/PokeAPI/sprites/master/sprites/pokemon/other/official-artwork/shiny/10179.png</v>
          </cell>
        </row>
        <row r="734">
          <cell r="A734">
            <v>563</v>
          </cell>
          <cell r="C734" t="str">
            <v>Cofagrigus</v>
          </cell>
          <cell r="D734" t="str">
            <v>Standard</v>
          </cell>
          <cell r="E734" t="str">
            <v>ghost</v>
          </cell>
          <cell r="G734">
            <v>58</v>
          </cell>
          <cell r="H734">
            <v>50</v>
          </cell>
          <cell r="I734">
            <v>145</v>
          </cell>
          <cell r="J734">
            <v>95</v>
          </cell>
          <cell r="K734">
            <v>105</v>
          </cell>
          <cell r="L734">
            <v>30</v>
          </cell>
          <cell r="M734">
            <v>483</v>
          </cell>
          <cell r="N734" t="str">
            <v>mummy</v>
          </cell>
          <cell r="Q734">
            <v>1.7</v>
          </cell>
          <cell r="R734">
            <v>76.5</v>
          </cell>
          <cell r="S734" t="str">
            <v>It has been said that they swallow those who get too close and turn them into mummies. They like to eat gold nuggets.</v>
          </cell>
          <cell r="T734" t="str">
            <v>https://raw.githubusercontent.com/PokeAPI/sprites/master/sprites/pokemon/other/official-artwork/563.png</v>
          </cell>
          <cell r="U734" t="str">
            <v>https://raw.githubusercontent.com/PokeAPI/sprites/master/sprites/pokemon/other/official-artwork/shiny/563.png</v>
          </cell>
        </row>
        <row r="735">
          <cell r="A735">
            <v>564</v>
          </cell>
          <cell r="C735" t="str">
            <v>Tirtouga</v>
          </cell>
          <cell r="D735" t="str">
            <v>Standard</v>
          </cell>
          <cell r="E735" t="str">
            <v>water</v>
          </cell>
          <cell r="F735" t="str">
            <v>rock</v>
          </cell>
          <cell r="G735">
            <v>54</v>
          </cell>
          <cell r="H735">
            <v>78</v>
          </cell>
          <cell r="I735">
            <v>103</v>
          </cell>
          <cell r="J735">
            <v>53</v>
          </cell>
          <cell r="K735">
            <v>45</v>
          </cell>
          <cell r="L735">
            <v>22</v>
          </cell>
          <cell r="M735">
            <v>355</v>
          </cell>
          <cell r="N735" t="str">
            <v>solid-rock</v>
          </cell>
          <cell r="O735" t="str">
            <v>sturdy</v>
          </cell>
          <cell r="P735" t="str">
            <v>swift-swim</v>
          </cell>
          <cell r="Q735">
            <v>0.7</v>
          </cell>
          <cell r="R735">
            <v>16.5</v>
          </cell>
          <cell r="S735" t="str">
            <v>Restored from a fossil, this Pokémon can dive to depths beyond half a mile.</v>
          </cell>
          <cell r="T735" t="str">
            <v>https://raw.githubusercontent.com/PokeAPI/sprites/master/sprites/pokemon/other/official-artwork/564.png</v>
          </cell>
          <cell r="U735" t="str">
            <v>https://raw.githubusercontent.com/PokeAPI/sprites/master/sprites/pokemon/other/official-artwork/shiny/564.png</v>
          </cell>
        </row>
        <row r="736">
          <cell r="A736">
            <v>565</v>
          </cell>
          <cell r="C736" t="str">
            <v>Carracosta</v>
          </cell>
          <cell r="D736" t="str">
            <v>Standard</v>
          </cell>
          <cell r="E736" t="str">
            <v>water</v>
          </cell>
          <cell r="F736" t="str">
            <v>rock</v>
          </cell>
          <cell r="G736">
            <v>74</v>
          </cell>
          <cell r="H736">
            <v>108</v>
          </cell>
          <cell r="I736">
            <v>133</v>
          </cell>
          <cell r="J736">
            <v>83</v>
          </cell>
          <cell r="K736">
            <v>65</v>
          </cell>
          <cell r="L736">
            <v>32</v>
          </cell>
          <cell r="M736">
            <v>495</v>
          </cell>
          <cell r="N736" t="str">
            <v>solid-rock</v>
          </cell>
          <cell r="O736" t="str">
            <v>sturdy</v>
          </cell>
          <cell r="P736" t="str">
            <v>swift-swim</v>
          </cell>
          <cell r="Q736">
            <v>1.2</v>
          </cell>
          <cell r="R736">
            <v>81</v>
          </cell>
          <cell r="S736" t="str">
            <v>They can live both in the ocean and on land. A slap from one of them is enough to open a hole in the bottom of a tanker.</v>
          </cell>
          <cell r="T736" t="str">
            <v>https://raw.githubusercontent.com/PokeAPI/sprites/master/sprites/pokemon/other/official-artwork/565.png</v>
          </cell>
          <cell r="U736" t="str">
            <v>https://raw.githubusercontent.com/PokeAPI/sprites/master/sprites/pokemon/other/official-artwork/shiny/565.png</v>
          </cell>
        </row>
        <row r="737">
          <cell r="A737">
            <v>566</v>
          </cell>
          <cell r="C737" t="str">
            <v>Archen</v>
          </cell>
          <cell r="D737" t="str">
            <v>Standard</v>
          </cell>
          <cell r="E737" t="str">
            <v>rock</v>
          </cell>
          <cell r="F737" t="str">
            <v>flying</v>
          </cell>
          <cell r="G737">
            <v>55</v>
          </cell>
          <cell r="H737">
            <v>112</v>
          </cell>
          <cell r="I737">
            <v>45</v>
          </cell>
          <cell r="J737">
            <v>74</v>
          </cell>
          <cell r="K737">
            <v>45</v>
          </cell>
          <cell r="L737">
            <v>70</v>
          </cell>
          <cell r="M737">
            <v>401</v>
          </cell>
          <cell r="N737" t="str">
            <v>defeatist</v>
          </cell>
          <cell r="Q737">
            <v>0.5</v>
          </cell>
          <cell r="R737">
            <v>9.5</v>
          </cell>
          <cell r="S737" t="str">
            <v>Said to be an ancestor of bird Pokémon, they were unable to fly and moved about by hopping from one branch to another.</v>
          </cell>
          <cell r="T737" t="str">
            <v>https://raw.githubusercontent.com/PokeAPI/sprites/master/sprites/pokemon/other/official-artwork/566.png</v>
          </cell>
          <cell r="U737" t="str">
            <v>https://raw.githubusercontent.com/PokeAPI/sprites/master/sprites/pokemon/other/official-artwork/shiny/566.png</v>
          </cell>
        </row>
        <row r="738">
          <cell r="A738">
            <v>567</v>
          </cell>
          <cell r="C738" t="str">
            <v>Archeops</v>
          </cell>
          <cell r="D738" t="str">
            <v>Standard</v>
          </cell>
          <cell r="E738" t="str">
            <v>rock</v>
          </cell>
          <cell r="F738" t="str">
            <v>flying</v>
          </cell>
          <cell r="G738">
            <v>75</v>
          </cell>
          <cell r="H738">
            <v>140</v>
          </cell>
          <cell r="I738">
            <v>65</v>
          </cell>
          <cell r="J738">
            <v>112</v>
          </cell>
          <cell r="K738">
            <v>65</v>
          </cell>
          <cell r="L738">
            <v>110</v>
          </cell>
          <cell r="M738">
            <v>567</v>
          </cell>
          <cell r="N738" t="str">
            <v>defeatist</v>
          </cell>
          <cell r="Q738">
            <v>1.4</v>
          </cell>
          <cell r="R738">
            <v>32</v>
          </cell>
          <cell r="S738" t="str">
            <v>They are intelligent and will cooperate to catch prey. From the ground, they use a running start to take flight.</v>
          </cell>
          <cell r="T738" t="str">
            <v>https://raw.githubusercontent.com/PokeAPI/sprites/master/sprites/pokemon/other/official-artwork/567.png</v>
          </cell>
          <cell r="U738" t="str">
            <v>https://raw.githubusercontent.com/PokeAPI/sprites/master/sprites/pokemon/other/official-artwork/shiny/567.png</v>
          </cell>
        </row>
        <row r="739">
          <cell r="A739">
            <v>568</v>
          </cell>
          <cell r="C739" t="str">
            <v>Trubbish</v>
          </cell>
          <cell r="D739" t="str">
            <v>Standard</v>
          </cell>
          <cell r="E739" t="str">
            <v>poison</v>
          </cell>
          <cell r="G739">
            <v>50</v>
          </cell>
          <cell r="H739">
            <v>50</v>
          </cell>
          <cell r="I739">
            <v>62</v>
          </cell>
          <cell r="J739">
            <v>40</v>
          </cell>
          <cell r="K739">
            <v>62</v>
          </cell>
          <cell r="L739">
            <v>65</v>
          </cell>
          <cell r="M739">
            <v>329</v>
          </cell>
          <cell r="N739" t="str">
            <v>stench</v>
          </cell>
          <cell r="O739" t="str">
            <v>sticky-hold</v>
          </cell>
          <cell r="P739" t="str">
            <v>aftermath</v>
          </cell>
          <cell r="Q739">
            <v>0.6</v>
          </cell>
          <cell r="R739">
            <v>31</v>
          </cell>
          <cell r="S739" t="str">
            <v>Inhaling the gas they belch will make you sleep for a week. They prefer unsanitary places.</v>
          </cell>
          <cell r="T739" t="str">
            <v>https://raw.githubusercontent.com/PokeAPI/sprites/master/sprites/pokemon/other/official-artwork/568.png</v>
          </cell>
          <cell r="U739" t="str">
            <v>https://raw.githubusercontent.com/PokeAPI/sprites/master/sprites/pokemon/other/official-artwork/shiny/568.png</v>
          </cell>
        </row>
        <row r="740">
          <cell r="A740">
            <v>569</v>
          </cell>
          <cell r="C740" t="str">
            <v>Garbodor</v>
          </cell>
          <cell r="D740" t="str">
            <v>Standard</v>
          </cell>
          <cell r="E740" t="str">
            <v>poison</v>
          </cell>
          <cell r="G740">
            <v>80</v>
          </cell>
          <cell r="H740">
            <v>95</v>
          </cell>
          <cell r="I740">
            <v>82</v>
          </cell>
          <cell r="J740">
            <v>60</v>
          </cell>
          <cell r="K740">
            <v>82</v>
          </cell>
          <cell r="L740">
            <v>75</v>
          </cell>
          <cell r="M740">
            <v>474</v>
          </cell>
          <cell r="N740" t="str">
            <v>stench</v>
          </cell>
          <cell r="O740" t="str">
            <v>weak-armor</v>
          </cell>
          <cell r="P740" t="str">
            <v>aftermath</v>
          </cell>
          <cell r="Q740">
            <v>1.9</v>
          </cell>
          <cell r="R740">
            <v>107.3</v>
          </cell>
          <cell r="S740" t="str">
            <v>It clenches opponents with its left arm and finishes them off with foul-smelling poison gas belched from its mouth.</v>
          </cell>
          <cell r="T740" t="str">
            <v>https://raw.githubusercontent.com/PokeAPI/sprites/master/sprites/pokemon/other/official-artwork/569.png</v>
          </cell>
          <cell r="U740" t="str">
            <v>https://raw.githubusercontent.com/PokeAPI/sprites/master/sprites/pokemon/other/official-artwork/shiny/569.png</v>
          </cell>
        </row>
        <row r="741">
          <cell r="A741">
            <v>569</v>
          </cell>
          <cell r="C741" t="str">
            <v>Garbodor Gmax</v>
          </cell>
          <cell r="D741" t="str">
            <v>Gigantamax</v>
          </cell>
          <cell r="E741" t="str">
            <v>poison</v>
          </cell>
          <cell r="G741">
            <v>80</v>
          </cell>
          <cell r="H741">
            <v>95</v>
          </cell>
          <cell r="I741">
            <v>82</v>
          </cell>
          <cell r="J741">
            <v>60</v>
          </cell>
          <cell r="K741">
            <v>82</v>
          </cell>
          <cell r="L741">
            <v>75</v>
          </cell>
          <cell r="M741">
            <v>474</v>
          </cell>
          <cell r="N741" t="str">
            <v>stench</v>
          </cell>
          <cell r="O741" t="str">
            <v>weak-armor</v>
          </cell>
          <cell r="P741" t="str">
            <v>aftermath</v>
          </cell>
          <cell r="Q741">
            <v>21</v>
          </cell>
          <cell r="R741">
            <v>1000</v>
          </cell>
          <cell r="S741" t="str">
            <v>It clenches opponents with its left arm and finishes them off with foul-smelling poison gas belched from its mouth.</v>
          </cell>
          <cell r="T741" t="str">
            <v>https://raw.githubusercontent.com/PokeAPI/sprites/master/sprites/pokemon/other/official-artwork/10207.png</v>
          </cell>
          <cell r="U741" t="str">
            <v>https://raw.githubusercontent.com/PokeAPI/sprites/master/sprites/pokemon/other/official-artwork/shiny/10207.png</v>
          </cell>
        </row>
        <row r="742">
          <cell r="A742">
            <v>570</v>
          </cell>
          <cell r="C742" t="str">
            <v>Zorua</v>
          </cell>
          <cell r="D742" t="str">
            <v>Standard</v>
          </cell>
          <cell r="E742" t="str">
            <v>dark</v>
          </cell>
          <cell r="G742">
            <v>40</v>
          </cell>
          <cell r="H742">
            <v>65</v>
          </cell>
          <cell r="I742">
            <v>40</v>
          </cell>
          <cell r="J742">
            <v>80</v>
          </cell>
          <cell r="K742">
            <v>40</v>
          </cell>
          <cell r="L742">
            <v>65</v>
          </cell>
          <cell r="M742">
            <v>330</v>
          </cell>
          <cell r="N742" t="str">
            <v>illusion</v>
          </cell>
          <cell r="Q742">
            <v>0.7</v>
          </cell>
          <cell r="R742">
            <v>12.5</v>
          </cell>
          <cell r="S742" t="str">
            <v>It changes into the forms of others to surprise them. Apparently, it often transforms into a silent child.</v>
          </cell>
          <cell r="T742" t="str">
            <v>https://raw.githubusercontent.com/PokeAPI/sprites/master/sprites/pokemon/other/official-artwork/570.png</v>
          </cell>
          <cell r="U742" t="str">
            <v>https://raw.githubusercontent.com/PokeAPI/sprites/master/sprites/pokemon/other/official-artwork/shiny/570.png</v>
          </cell>
        </row>
        <row r="743">
          <cell r="A743">
            <v>570</v>
          </cell>
          <cell r="C743" t="str">
            <v>Zorua Hisui</v>
          </cell>
          <cell r="D743" t="str">
            <v>Regional</v>
          </cell>
          <cell r="E743" t="str">
            <v>normal</v>
          </cell>
          <cell r="F743" t="str">
            <v>ghost</v>
          </cell>
          <cell r="G743">
            <v>35</v>
          </cell>
          <cell r="H743">
            <v>60</v>
          </cell>
          <cell r="I743">
            <v>40</v>
          </cell>
          <cell r="J743">
            <v>85</v>
          </cell>
          <cell r="K743">
            <v>40</v>
          </cell>
          <cell r="L743">
            <v>70</v>
          </cell>
          <cell r="M743">
            <v>330</v>
          </cell>
          <cell r="N743" t="str">
            <v>illusion</v>
          </cell>
          <cell r="Q743">
            <v>0.7</v>
          </cell>
          <cell r="R743">
            <v>12.5</v>
          </cell>
          <cell r="S743" t="str">
            <v>It changes into the forms of others to surprise them. Apparently, it often transforms into a silent child.</v>
          </cell>
          <cell r="T743" t="str">
            <v>https://raw.githubusercontent.com/PokeAPI/sprites/master/sprites/pokemon/other/official-artwork/10238.png</v>
          </cell>
          <cell r="U743" t="str">
            <v>https://raw.githubusercontent.com/PokeAPI/sprites/master/sprites/pokemon/other/official-artwork/shiny/10238.png</v>
          </cell>
        </row>
        <row r="744">
          <cell r="A744">
            <v>571</v>
          </cell>
          <cell r="C744" t="str">
            <v>Zoroark</v>
          </cell>
          <cell r="D744" t="str">
            <v>Standard</v>
          </cell>
          <cell r="E744" t="str">
            <v>dark</v>
          </cell>
          <cell r="G744">
            <v>60</v>
          </cell>
          <cell r="H744">
            <v>105</v>
          </cell>
          <cell r="I744">
            <v>60</v>
          </cell>
          <cell r="J744">
            <v>120</v>
          </cell>
          <cell r="K744">
            <v>60</v>
          </cell>
          <cell r="L744">
            <v>105</v>
          </cell>
          <cell r="M744">
            <v>510</v>
          </cell>
          <cell r="N744" t="str">
            <v>illusion</v>
          </cell>
          <cell r="Q744">
            <v>1.6</v>
          </cell>
          <cell r="R744">
            <v>81.099999999999994</v>
          </cell>
          <cell r="S744" t="str">
            <v>Bonds between these Pokémon are very strong. It protects the safety of its pack by tricking its opponents.</v>
          </cell>
          <cell r="T744" t="str">
            <v>https://raw.githubusercontent.com/PokeAPI/sprites/master/sprites/pokemon/other/official-artwork/571.png</v>
          </cell>
          <cell r="U744" t="str">
            <v>https://raw.githubusercontent.com/PokeAPI/sprites/master/sprites/pokemon/other/official-artwork/shiny/571.png</v>
          </cell>
        </row>
        <row r="745">
          <cell r="A745">
            <v>571</v>
          </cell>
          <cell r="C745" t="str">
            <v>Zoroark Hisui</v>
          </cell>
          <cell r="D745" t="str">
            <v>Regional</v>
          </cell>
          <cell r="E745" t="str">
            <v>normal</v>
          </cell>
          <cell r="F745" t="str">
            <v>ghost</v>
          </cell>
          <cell r="G745">
            <v>55</v>
          </cell>
          <cell r="H745">
            <v>100</v>
          </cell>
          <cell r="I745">
            <v>60</v>
          </cell>
          <cell r="J745">
            <v>125</v>
          </cell>
          <cell r="K745">
            <v>60</v>
          </cell>
          <cell r="L745">
            <v>110</v>
          </cell>
          <cell r="M745">
            <v>510</v>
          </cell>
          <cell r="N745" t="str">
            <v>illusion</v>
          </cell>
          <cell r="Q745">
            <v>1.6</v>
          </cell>
          <cell r="R745">
            <v>73</v>
          </cell>
          <cell r="S745" t="str">
            <v>Bonds between these Pokémon are very strong. It protects the safety of its pack by tricking its opponents.</v>
          </cell>
          <cell r="T745" t="str">
            <v>https://raw.githubusercontent.com/PokeAPI/sprites/master/sprites/pokemon/other/official-artwork/10239.png</v>
          </cell>
          <cell r="U745" t="str">
            <v>https://raw.githubusercontent.com/PokeAPI/sprites/master/sprites/pokemon/other/official-artwork/shiny/10239.png</v>
          </cell>
        </row>
        <row r="746">
          <cell r="A746">
            <v>572</v>
          </cell>
          <cell r="C746" t="str">
            <v>Minccino</v>
          </cell>
          <cell r="D746" t="str">
            <v>Standard</v>
          </cell>
          <cell r="E746" t="str">
            <v>normal</v>
          </cell>
          <cell r="G746">
            <v>55</v>
          </cell>
          <cell r="H746">
            <v>50</v>
          </cell>
          <cell r="I746">
            <v>40</v>
          </cell>
          <cell r="J746">
            <v>40</v>
          </cell>
          <cell r="K746">
            <v>40</v>
          </cell>
          <cell r="L746">
            <v>75</v>
          </cell>
          <cell r="M746">
            <v>300</v>
          </cell>
          <cell r="N746" t="str">
            <v>cute-charm</v>
          </cell>
          <cell r="O746" t="str">
            <v>technician</v>
          </cell>
          <cell r="P746" t="str">
            <v>skill-link</v>
          </cell>
          <cell r="Q746">
            <v>0.4</v>
          </cell>
          <cell r="R746">
            <v>5.8</v>
          </cell>
          <cell r="S746" t="str">
            <v>They greet one another by rubbing each other with their tails, which are always kept well groomed and clean.</v>
          </cell>
          <cell r="T746" t="str">
            <v>https://raw.githubusercontent.com/PokeAPI/sprites/master/sprites/pokemon/other/official-artwork/572.png</v>
          </cell>
          <cell r="U746" t="str">
            <v>https://raw.githubusercontent.com/PokeAPI/sprites/master/sprites/pokemon/other/official-artwork/shiny/572.png</v>
          </cell>
        </row>
        <row r="747">
          <cell r="A747">
            <v>573</v>
          </cell>
          <cell r="C747" t="str">
            <v>Cinccino</v>
          </cell>
          <cell r="D747" t="str">
            <v>Standard</v>
          </cell>
          <cell r="E747" t="str">
            <v>normal</v>
          </cell>
          <cell r="G747">
            <v>75</v>
          </cell>
          <cell r="H747">
            <v>95</v>
          </cell>
          <cell r="I747">
            <v>60</v>
          </cell>
          <cell r="J747">
            <v>65</v>
          </cell>
          <cell r="K747">
            <v>60</v>
          </cell>
          <cell r="L747">
            <v>115</v>
          </cell>
          <cell r="M747">
            <v>470</v>
          </cell>
          <cell r="N747" t="str">
            <v>cute-charm</v>
          </cell>
          <cell r="O747" t="str">
            <v>technician</v>
          </cell>
          <cell r="P747" t="str">
            <v>skill-link</v>
          </cell>
          <cell r="Q747">
            <v>0.5</v>
          </cell>
          <cell r="R747">
            <v>7.5</v>
          </cell>
          <cell r="S747" t="str">
            <v>Their white fur is coated in a special oil that makes it easy for them to deflect attacks.</v>
          </cell>
          <cell r="T747" t="str">
            <v>https://raw.githubusercontent.com/PokeAPI/sprites/master/sprites/pokemon/other/official-artwork/573.png</v>
          </cell>
          <cell r="U747" t="str">
            <v>https://raw.githubusercontent.com/PokeAPI/sprites/master/sprites/pokemon/other/official-artwork/shiny/573.png</v>
          </cell>
        </row>
        <row r="748">
          <cell r="A748">
            <v>574</v>
          </cell>
          <cell r="C748" t="str">
            <v>Gothita</v>
          </cell>
          <cell r="D748" t="str">
            <v>Standard</v>
          </cell>
          <cell r="E748" t="str">
            <v>psychic</v>
          </cell>
          <cell r="G748">
            <v>45</v>
          </cell>
          <cell r="H748">
            <v>30</v>
          </cell>
          <cell r="I748">
            <v>50</v>
          </cell>
          <cell r="J748">
            <v>55</v>
          </cell>
          <cell r="K748">
            <v>65</v>
          </cell>
          <cell r="L748">
            <v>45</v>
          </cell>
          <cell r="M748">
            <v>290</v>
          </cell>
          <cell r="N748" t="str">
            <v>frisk</v>
          </cell>
          <cell r="O748" t="str">
            <v>competitive</v>
          </cell>
          <cell r="P748" t="str">
            <v>shadow-tag</v>
          </cell>
          <cell r="Q748">
            <v>0.4</v>
          </cell>
          <cell r="R748">
            <v>5.8</v>
          </cell>
          <cell r="S748" t="str">
            <v>Their ribbonlike feelers increase their psychic power. They are always staring at something.</v>
          </cell>
          <cell r="T748" t="str">
            <v>https://raw.githubusercontent.com/PokeAPI/sprites/master/sprites/pokemon/other/official-artwork/574.png</v>
          </cell>
          <cell r="U748" t="str">
            <v>https://raw.githubusercontent.com/PokeAPI/sprites/master/sprites/pokemon/other/official-artwork/shiny/574.png</v>
          </cell>
        </row>
        <row r="749">
          <cell r="A749">
            <v>575</v>
          </cell>
          <cell r="C749" t="str">
            <v>Gothorita</v>
          </cell>
          <cell r="D749" t="str">
            <v>Standard</v>
          </cell>
          <cell r="E749" t="str">
            <v>psychic</v>
          </cell>
          <cell r="G749">
            <v>60</v>
          </cell>
          <cell r="H749">
            <v>45</v>
          </cell>
          <cell r="I749">
            <v>70</v>
          </cell>
          <cell r="J749">
            <v>75</v>
          </cell>
          <cell r="K749">
            <v>85</v>
          </cell>
          <cell r="L749">
            <v>55</v>
          </cell>
          <cell r="M749">
            <v>390</v>
          </cell>
          <cell r="N749" t="str">
            <v>frisk</v>
          </cell>
          <cell r="O749" t="str">
            <v>competitive</v>
          </cell>
          <cell r="P749" t="str">
            <v>shadow-tag</v>
          </cell>
          <cell r="Q749">
            <v>0.7</v>
          </cell>
          <cell r="R749">
            <v>18</v>
          </cell>
          <cell r="S749" t="str">
            <v>They use hypnosis to control people and Pokémon. Tales of Gothorita leading people astray are told in every corner.</v>
          </cell>
          <cell r="T749" t="str">
            <v>https://raw.githubusercontent.com/PokeAPI/sprites/master/sprites/pokemon/other/official-artwork/575.png</v>
          </cell>
          <cell r="U749" t="str">
            <v>https://raw.githubusercontent.com/PokeAPI/sprites/master/sprites/pokemon/other/official-artwork/shiny/575.png</v>
          </cell>
        </row>
        <row r="750">
          <cell r="A750">
            <v>576</v>
          </cell>
          <cell r="C750" t="str">
            <v>Gothitelle</v>
          </cell>
          <cell r="D750" t="str">
            <v>Standard</v>
          </cell>
          <cell r="E750" t="str">
            <v>psychic</v>
          </cell>
          <cell r="G750">
            <v>70</v>
          </cell>
          <cell r="H750">
            <v>55</v>
          </cell>
          <cell r="I750">
            <v>95</v>
          </cell>
          <cell r="J750">
            <v>95</v>
          </cell>
          <cell r="K750">
            <v>110</v>
          </cell>
          <cell r="L750">
            <v>65</v>
          </cell>
          <cell r="M750">
            <v>490</v>
          </cell>
          <cell r="N750" t="str">
            <v>frisk</v>
          </cell>
          <cell r="O750" t="str">
            <v>competitive</v>
          </cell>
          <cell r="P750" t="str">
            <v>shadow-tag</v>
          </cell>
          <cell r="Q750">
            <v>1.5</v>
          </cell>
          <cell r="R750">
            <v>44</v>
          </cell>
          <cell r="S750" t="str">
            <v>Starry skies thousands of light-years away are visible in the space distorted by their intense psychic power.</v>
          </cell>
          <cell r="T750" t="str">
            <v>https://raw.githubusercontent.com/PokeAPI/sprites/master/sprites/pokemon/other/official-artwork/576.png</v>
          </cell>
          <cell r="U750" t="str">
            <v>https://raw.githubusercontent.com/PokeAPI/sprites/master/sprites/pokemon/other/official-artwork/shiny/576.png</v>
          </cell>
        </row>
        <row r="751">
          <cell r="A751">
            <v>577</v>
          </cell>
          <cell r="C751" t="str">
            <v>Solosis</v>
          </cell>
          <cell r="D751" t="str">
            <v>Standard</v>
          </cell>
          <cell r="E751" t="str">
            <v>psychic</v>
          </cell>
          <cell r="G751">
            <v>45</v>
          </cell>
          <cell r="H751">
            <v>30</v>
          </cell>
          <cell r="I751">
            <v>40</v>
          </cell>
          <cell r="J751">
            <v>105</v>
          </cell>
          <cell r="K751">
            <v>50</v>
          </cell>
          <cell r="L751">
            <v>20</v>
          </cell>
          <cell r="M751">
            <v>290</v>
          </cell>
          <cell r="N751" t="str">
            <v>overcoat</v>
          </cell>
          <cell r="O751" t="str">
            <v>magic-guard</v>
          </cell>
          <cell r="P751" t="str">
            <v>regenerator</v>
          </cell>
          <cell r="Q751">
            <v>0.3</v>
          </cell>
          <cell r="R751">
            <v>1</v>
          </cell>
          <cell r="S751" t="str">
            <v>They drive away attackers by unleashing psychic power. They can use telepathy to talk with others.</v>
          </cell>
          <cell r="T751" t="str">
            <v>https://raw.githubusercontent.com/PokeAPI/sprites/master/sprites/pokemon/other/official-artwork/577.png</v>
          </cell>
          <cell r="U751" t="str">
            <v>https://raw.githubusercontent.com/PokeAPI/sprites/master/sprites/pokemon/other/official-artwork/shiny/577.png</v>
          </cell>
        </row>
        <row r="752">
          <cell r="A752">
            <v>578</v>
          </cell>
          <cell r="C752" t="str">
            <v>Duosion</v>
          </cell>
          <cell r="D752" t="str">
            <v>Standard</v>
          </cell>
          <cell r="E752" t="str">
            <v>psychic</v>
          </cell>
          <cell r="G752">
            <v>65</v>
          </cell>
          <cell r="H752">
            <v>40</v>
          </cell>
          <cell r="I752">
            <v>50</v>
          </cell>
          <cell r="J752">
            <v>125</v>
          </cell>
          <cell r="K752">
            <v>60</v>
          </cell>
          <cell r="L752">
            <v>30</v>
          </cell>
          <cell r="M752">
            <v>370</v>
          </cell>
          <cell r="N752" t="str">
            <v>overcoat</v>
          </cell>
          <cell r="O752" t="str">
            <v>magic-guard</v>
          </cell>
          <cell r="P752" t="str">
            <v>regenerator</v>
          </cell>
          <cell r="Q752">
            <v>0.6</v>
          </cell>
          <cell r="R752">
            <v>8</v>
          </cell>
          <cell r="S752" t="str">
            <v>Since they have two divided brains, at times they suddenly try to take two different actions at once.</v>
          </cell>
          <cell r="T752" t="str">
            <v>https://raw.githubusercontent.com/PokeAPI/sprites/master/sprites/pokemon/other/official-artwork/578.png</v>
          </cell>
          <cell r="U752" t="str">
            <v>https://raw.githubusercontent.com/PokeAPI/sprites/master/sprites/pokemon/other/official-artwork/shiny/578.png</v>
          </cell>
        </row>
        <row r="753">
          <cell r="A753">
            <v>579</v>
          </cell>
          <cell r="C753" t="str">
            <v>Reuniclus</v>
          </cell>
          <cell r="D753" t="str">
            <v>Standard</v>
          </cell>
          <cell r="E753" t="str">
            <v>psychic</v>
          </cell>
          <cell r="G753">
            <v>110</v>
          </cell>
          <cell r="H753">
            <v>65</v>
          </cell>
          <cell r="I753">
            <v>75</v>
          </cell>
          <cell r="J753">
            <v>125</v>
          </cell>
          <cell r="K753">
            <v>85</v>
          </cell>
          <cell r="L753">
            <v>30</v>
          </cell>
          <cell r="M753">
            <v>490</v>
          </cell>
          <cell r="N753" t="str">
            <v>overcoat</v>
          </cell>
          <cell r="O753" t="str">
            <v>magic-guard</v>
          </cell>
          <cell r="P753" t="str">
            <v>regenerator</v>
          </cell>
          <cell r="Q753">
            <v>1</v>
          </cell>
          <cell r="R753">
            <v>20.100000000000001</v>
          </cell>
          <cell r="S753" t="str">
            <v>When Reuniclus shake hands, a network forms between their brains, increasing their psychic power.</v>
          </cell>
          <cell r="T753" t="str">
            <v>https://raw.githubusercontent.com/PokeAPI/sprites/master/sprites/pokemon/other/official-artwork/579.png</v>
          </cell>
          <cell r="U753" t="str">
            <v>https://raw.githubusercontent.com/PokeAPI/sprites/master/sprites/pokemon/other/official-artwork/shiny/579.png</v>
          </cell>
        </row>
        <row r="754">
          <cell r="A754">
            <v>580</v>
          </cell>
          <cell r="C754" t="str">
            <v>Ducklett</v>
          </cell>
          <cell r="D754" t="str">
            <v>Standard</v>
          </cell>
          <cell r="E754" t="str">
            <v>water</v>
          </cell>
          <cell r="F754" t="str">
            <v>flying</v>
          </cell>
          <cell r="G754">
            <v>62</v>
          </cell>
          <cell r="H754">
            <v>44</v>
          </cell>
          <cell r="I754">
            <v>50</v>
          </cell>
          <cell r="J754">
            <v>44</v>
          </cell>
          <cell r="K754">
            <v>50</v>
          </cell>
          <cell r="L754">
            <v>55</v>
          </cell>
          <cell r="M754">
            <v>305</v>
          </cell>
          <cell r="N754" t="str">
            <v>keen-eye</v>
          </cell>
          <cell r="O754" t="str">
            <v>big-pecks</v>
          </cell>
          <cell r="P754" t="str">
            <v>hydration</v>
          </cell>
          <cell r="Q754">
            <v>0.5</v>
          </cell>
          <cell r="R754">
            <v>5.5</v>
          </cell>
          <cell r="S754" t="str">
            <v>These bird Pokémon are excellent divers. They swim around in the water eating their favorite food--peat moss.</v>
          </cell>
          <cell r="T754" t="str">
            <v>https://raw.githubusercontent.com/PokeAPI/sprites/master/sprites/pokemon/other/official-artwork/580.png</v>
          </cell>
          <cell r="U754" t="str">
            <v>https://raw.githubusercontent.com/PokeAPI/sprites/master/sprites/pokemon/other/official-artwork/shiny/580.png</v>
          </cell>
        </row>
        <row r="755">
          <cell r="A755">
            <v>581</v>
          </cell>
          <cell r="C755" t="str">
            <v>Swanna</v>
          </cell>
          <cell r="D755" t="str">
            <v>Standard</v>
          </cell>
          <cell r="E755" t="str">
            <v>water</v>
          </cell>
          <cell r="F755" t="str">
            <v>flying</v>
          </cell>
          <cell r="G755">
            <v>75</v>
          </cell>
          <cell r="H755">
            <v>87</v>
          </cell>
          <cell r="I755">
            <v>63</v>
          </cell>
          <cell r="J755">
            <v>87</v>
          </cell>
          <cell r="K755">
            <v>63</v>
          </cell>
          <cell r="L755">
            <v>98</v>
          </cell>
          <cell r="M755">
            <v>473</v>
          </cell>
          <cell r="N755" t="str">
            <v>keen-eye</v>
          </cell>
          <cell r="O755" t="str">
            <v>big-pecks</v>
          </cell>
          <cell r="P755" t="str">
            <v>hydration</v>
          </cell>
          <cell r="Q755">
            <v>1.3</v>
          </cell>
          <cell r="R755">
            <v>24.2</v>
          </cell>
          <cell r="S755" t="str">
            <v>Swanna start to dance at dusk. The one dancing in the middle is the leader of the flock.</v>
          </cell>
          <cell r="T755" t="str">
            <v>https://raw.githubusercontent.com/PokeAPI/sprites/master/sprites/pokemon/other/official-artwork/581.png</v>
          </cell>
          <cell r="U755" t="str">
            <v>https://raw.githubusercontent.com/PokeAPI/sprites/master/sprites/pokemon/other/official-artwork/shiny/581.png</v>
          </cell>
        </row>
        <row r="756">
          <cell r="A756">
            <v>582</v>
          </cell>
          <cell r="C756" t="str">
            <v>Vanillite</v>
          </cell>
          <cell r="D756" t="str">
            <v>Standard</v>
          </cell>
          <cell r="E756" t="str">
            <v>ice</v>
          </cell>
          <cell r="G756">
            <v>36</v>
          </cell>
          <cell r="H756">
            <v>50</v>
          </cell>
          <cell r="I756">
            <v>50</v>
          </cell>
          <cell r="J756">
            <v>65</v>
          </cell>
          <cell r="K756">
            <v>60</v>
          </cell>
          <cell r="L756">
            <v>44</v>
          </cell>
          <cell r="M756">
            <v>305</v>
          </cell>
          <cell r="N756" t="str">
            <v>ice-body</v>
          </cell>
          <cell r="O756" t="str">
            <v>snow-cloak</v>
          </cell>
          <cell r="P756" t="str">
            <v>weak-armor</v>
          </cell>
          <cell r="Q756">
            <v>0.4</v>
          </cell>
          <cell r="R756">
            <v>5.7</v>
          </cell>
          <cell r="S756" t="str">
            <v>The temperature of their breath is -58° F. They create snow crystals and make snow fall in the areas around them.</v>
          </cell>
          <cell r="T756" t="str">
            <v>https://raw.githubusercontent.com/PokeAPI/sprites/master/sprites/pokemon/other/official-artwork/582.png</v>
          </cell>
          <cell r="U756" t="str">
            <v>https://raw.githubusercontent.com/PokeAPI/sprites/master/sprites/pokemon/other/official-artwork/shiny/582.png</v>
          </cell>
        </row>
        <row r="757">
          <cell r="A757">
            <v>583</v>
          </cell>
          <cell r="C757" t="str">
            <v>Vanillish</v>
          </cell>
          <cell r="D757" t="str">
            <v>Standard</v>
          </cell>
          <cell r="E757" t="str">
            <v>ice</v>
          </cell>
          <cell r="G757">
            <v>51</v>
          </cell>
          <cell r="H757">
            <v>65</v>
          </cell>
          <cell r="I757">
            <v>65</v>
          </cell>
          <cell r="J757">
            <v>80</v>
          </cell>
          <cell r="K757">
            <v>75</v>
          </cell>
          <cell r="L757">
            <v>59</v>
          </cell>
          <cell r="M757">
            <v>395</v>
          </cell>
          <cell r="N757" t="str">
            <v>ice-body</v>
          </cell>
          <cell r="O757" t="str">
            <v>snow-cloak</v>
          </cell>
          <cell r="P757" t="str">
            <v>weak-armor</v>
          </cell>
          <cell r="Q757">
            <v>1.1000000000000001</v>
          </cell>
          <cell r="R757">
            <v>41</v>
          </cell>
          <cell r="S757" t="str">
            <v>Snowy mountains are this Pokémon’s habitat. During an ancient ice age, they moved to southern areas.</v>
          </cell>
          <cell r="T757" t="str">
            <v>https://raw.githubusercontent.com/PokeAPI/sprites/master/sprites/pokemon/other/official-artwork/583.png</v>
          </cell>
          <cell r="U757" t="str">
            <v>https://raw.githubusercontent.com/PokeAPI/sprites/master/sprites/pokemon/other/official-artwork/shiny/583.png</v>
          </cell>
        </row>
        <row r="758">
          <cell r="A758">
            <v>584</v>
          </cell>
          <cell r="C758" t="str">
            <v>Vanilluxe</v>
          </cell>
          <cell r="D758" t="str">
            <v>Standard</v>
          </cell>
          <cell r="E758" t="str">
            <v>ice</v>
          </cell>
          <cell r="G758">
            <v>71</v>
          </cell>
          <cell r="H758">
            <v>95</v>
          </cell>
          <cell r="I758">
            <v>85</v>
          </cell>
          <cell r="J758">
            <v>110</v>
          </cell>
          <cell r="K758">
            <v>95</v>
          </cell>
          <cell r="L758">
            <v>79</v>
          </cell>
          <cell r="M758">
            <v>535</v>
          </cell>
          <cell r="N758" t="str">
            <v>ice-body</v>
          </cell>
          <cell r="O758" t="str">
            <v>snow-warning</v>
          </cell>
          <cell r="P758" t="str">
            <v>weak-armor</v>
          </cell>
          <cell r="Q758">
            <v>1.3</v>
          </cell>
          <cell r="R758">
            <v>57.5</v>
          </cell>
          <cell r="S758" t="str">
            <v>Swallowing large amounts of water, they make snow clouds inside their bodies and attack their foes with violent blizzards.</v>
          </cell>
          <cell r="T758" t="str">
            <v>https://raw.githubusercontent.com/PokeAPI/sprites/master/sprites/pokemon/other/official-artwork/584.png</v>
          </cell>
          <cell r="U758" t="str">
            <v>https://raw.githubusercontent.com/PokeAPI/sprites/master/sprites/pokemon/other/official-artwork/shiny/584.png</v>
          </cell>
        </row>
        <row r="759">
          <cell r="A759">
            <v>585</v>
          </cell>
          <cell r="C759" t="str">
            <v>Deerling</v>
          </cell>
          <cell r="D759" t="str">
            <v>Standard</v>
          </cell>
          <cell r="E759" t="str">
            <v>normal</v>
          </cell>
          <cell r="F759" t="str">
            <v>grass</v>
          </cell>
          <cell r="G759">
            <v>60</v>
          </cell>
          <cell r="H759">
            <v>60</v>
          </cell>
          <cell r="I759">
            <v>50</v>
          </cell>
          <cell r="J759">
            <v>40</v>
          </cell>
          <cell r="K759">
            <v>50</v>
          </cell>
          <cell r="L759">
            <v>75</v>
          </cell>
          <cell r="M759">
            <v>335</v>
          </cell>
          <cell r="N759" t="str">
            <v>chlorophyll</v>
          </cell>
          <cell r="O759" t="str">
            <v>sap-sipper</v>
          </cell>
          <cell r="P759" t="str">
            <v>serene-grace</v>
          </cell>
          <cell r="Q759">
            <v>0.6</v>
          </cell>
          <cell r="R759">
            <v>19.5</v>
          </cell>
          <cell r="S759" t="str">
            <v>The color and scent of their fur changes to match the mountain grass. When they sense hostility, they hide in the grass.</v>
          </cell>
          <cell r="T759" t="str">
            <v>https://raw.githubusercontent.com/PokeAPI/sprites/master/sprites/pokemon/other/official-artwork/585.png</v>
          </cell>
          <cell r="U759" t="str">
            <v>https://raw.githubusercontent.com/PokeAPI/sprites/master/sprites/pokemon/other/official-artwork/shiny/585.png</v>
          </cell>
        </row>
        <row r="760">
          <cell r="A760">
            <v>586</v>
          </cell>
          <cell r="C760" t="str">
            <v>Sawsbuck</v>
          </cell>
          <cell r="D760" t="str">
            <v>Standard</v>
          </cell>
          <cell r="E760" t="str">
            <v>normal</v>
          </cell>
          <cell r="F760" t="str">
            <v>grass</v>
          </cell>
          <cell r="G760">
            <v>80</v>
          </cell>
          <cell r="H760">
            <v>100</v>
          </cell>
          <cell r="I760">
            <v>70</v>
          </cell>
          <cell r="J760">
            <v>60</v>
          </cell>
          <cell r="K760">
            <v>70</v>
          </cell>
          <cell r="L760">
            <v>95</v>
          </cell>
          <cell r="M760">
            <v>475</v>
          </cell>
          <cell r="N760" t="str">
            <v>chlorophyll</v>
          </cell>
          <cell r="O760" t="str">
            <v>sap-sipper</v>
          </cell>
          <cell r="P760" t="str">
            <v>serene-grace</v>
          </cell>
          <cell r="Q760">
            <v>1.9</v>
          </cell>
          <cell r="R760">
            <v>92.5</v>
          </cell>
          <cell r="S760" t="str">
            <v>They migrate according to the seasons. People can tell the season by looking at Sawsbuck’s horns.</v>
          </cell>
          <cell r="T760" t="str">
            <v>https://raw.githubusercontent.com/PokeAPI/sprites/master/sprites/pokemon/other/official-artwork/586.png</v>
          </cell>
          <cell r="U760" t="str">
            <v>https://raw.githubusercontent.com/PokeAPI/sprites/master/sprites/pokemon/other/official-artwork/shiny/586.png</v>
          </cell>
        </row>
        <row r="761">
          <cell r="A761">
            <v>587</v>
          </cell>
          <cell r="C761" t="str">
            <v>Emolga</v>
          </cell>
          <cell r="D761" t="str">
            <v>Standard</v>
          </cell>
          <cell r="E761" t="str">
            <v>electric</v>
          </cell>
          <cell r="F761" t="str">
            <v>flying</v>
          </cell>
          <cell r="G761">
            <v>55</v>
          </cell>
          <cell r="H761">
            <v>75</v>
          </cell>
          <cell r="I761">
            <v>60</v>
          </cell>
          <cell r="J761">
            <v>75</v>
          </cell>
          <cell r="K761">
            <v>60</v>
          </cell>
          <cell r="L761">
            <v>103</v>
          </cell>
          <cell r="M761">
            <v>428</v>
          </cell>
          <cell r="N761" t="str">
            <v>static</v>
          </cell>
          <cell r="P761" t="str">
            <v>motor-drive</v>
          </cell>
          <cell r="Q761">
            <v>0.4</v>
          </cell>
          <cell r="R761">
            <v>5</v>
          </cell>
          <cell r="S761" t="str">
            <v>The energy made in its cheeks’ electric pouches is stored inside its membrane and released while it is gliding.</v>
          </cell>
          <cell r="T761" t="str">
            <v>https://raw.githubusercontent.com/PokeAPI/sprites/master/sprites/pokemon/other/official-artwork/587.png</v>
          </cell>
          <cell r="U761" t="str">
            <v>https://raw.githubusercontent.com/PokeAPI/sprites/master/sprites/pokemon/other/official-artwork/shiny/587.png</v>
          </cell>
        </row>
        <row r="762">
          <cell r="A762">
            <v>588</v>
          </cell>
          <cell r="C762" t="str">
            <v>Karrablast</v>
          </cell>
          <cell r="D762" t="str">
            <v>Standard</v>
          </cell>
          <cell r="E762" t="str">
            <v>bug</v>
          </cell>
          <cell r="G762">
            <v>50</v>
          </cell>
          <cell r="H762">
            <v>75</v>
          </cell>
          <cell r="I762">
            <v>45</v>
          </cell>
          <cell r="J762">
            <v>40</v>
          </cell>
          <cell r="K762">
            <v>45</v>
          </cell>
          <cell r="L762">
            <v>60</v>
          </cell>
          <cell r="M762">
            <v>315</v>
          </cell>
          <cell r="N762" t="str">
            <v>swarm</v>
          </cell>
          <cell r="O762" t="str">
            <v>shed-skin</v>
          </cell>
          <cell r="P762" t="str">
            <v>no-guard</v>
          </cell>
          <cell r="Q762">
            <v>0.5</v>
          </cell>
          <cell r="R762">
            <v>5.9</v>
          </cell>
          <cell r="S762" t="str">
            <v>These mysterious Pokémon evolve when they receive electrical stimulation while they are in the same place as Shelmet.</v>
          </cell>
          <cell r="T762" t="str">
            <v>https://raw.githubusercontent.com/PokeAPI/sprites/master/sprites/pokemon/other/official-artwork/588.png</v>
          </cell>
          <cell r="U762" t="str">
            <v>https://raw.githubusercontent.com/PokeAPI/sprites/master/sprites/pokemon/other/official-artwork/shiny/588.png</v>
          </cell>
        </row>
        <row r="763">
          <cell r="A763">
            <v>589</v>
          </cell>
          <cell r="C763" t="str">
            <v>Escavalier</v>
          </cell>
          <cell r="D763" t="str">
            <v>Standard</v>
          </cell>
          <cell r="E763" t="str">
            <v>bug</v>
          </cell>
          <cell r="F763" t="str">
            <v>steel</v>
          </cell>
          <cell r="G763">
            <v>70</v>
          </cell>
          <cell r="H763">
            <v>135</v>
          </cell>
          <cell r="I763">
            <v>105</v>
          </cell>
          <cell r="J763">
            <v>60</v>
          </cell>
          <cell r="K763">
            <v>105</v>
          </cell>
          <cell r="L763">
            <v>20</v>
          </cell>
          <cell r="M763">
            <v>495</v>
          </cell>
          <cell r="N763" t="str">
            <v>swarm</v>
          </cell>
          <cell r="O763" t="str">
            <v>shell-armor</v>
          </cell>
          <cell r="P763" t="str">
            <v>overcoat</v>
          </cell>
          <cell r="Q763">
            <v>1</v>
          </cell>
          <cell r="R763">
            <v>33</v>
          </cell>
          <cell r="S763" t="str">
            <v>They fly around at high speed, striking with their pointed spears. Even when in trouble, they face opponents bravely.</v>
          </cell>
          <cell r="T763" t="str">
            <v>https://raw.githubusercontent.com/PokeAPI/sprites/master/sprites/pokemon/other/official-artwork/589.png</v>
          </cell>
          <cell r="U763" t="str">
            <v>https://raw.githubusercontent.com/PokeAPI/sprites/master/sprites/pokemon/other/official-artwork/shiny/589.png</v>
          </cell>
        </row>
        <row r="764">
          <cell r="A764">
            <v>590</v>
          </cell>
          <cell r="C764" t="str">
            <v>Foongus</v>
          </cell>
          <cell r="D764" t="str">
            <v>Standard</v>
          </cell>
          <cell r="E764" t="str">
            <v>grass</v>
          </cell>
          <cell r="F764" t="str">
            <v>poison</v>
          </cell>
          <cell r="G764">
            <v>69</v>
          </cell>
          <cell r="H764">
            <v>55</v>
          </cell>
          <cell r="I764">
            <v>45</v>
          </cell>
          <cell r="J764">
            <v>55</v>
          </cell>
          <cell r="K764">
            <v>55</v>
          </cell>
          <cell r="L764">
            <v>15</v>
          </cell>
          <cell r="M764">
            <v>294</v>
          </cell>
          <cell r="N764" t="str">
            <v>effect-spore</v>
          </cell>
          <cell r="P764" t="str">
            <v>regenerator</v>
          </cell>
          <cell r="Q764">
            <v>0.2</v>
          </cell>
          <cell r="R764">
            <v>1</v>
          </cell>
          <cell r="S764" t="str">
            <v>It lures people in with its Poké Ball pattern, then releases poison spores. Why it resembles a Poké Ball is unknown.</v>
          </cell>
          <cell r="T764" t="str">
            <v>https://raw.githubusercontent.com/PokeAPI/sprites/master/sprites/pokemon/other/official-artwork/590.png</v>
          </cell>
          <cell r="U764" t="str">
            <v>https://raw.githubusercontent.com/PokeAPI/sprites/master/sprites/pokemon/other/official-artwork/shiny/590.png</v>
          </cell>
        </row>
        <row r="765">
          <cell r="A765">
            <v>591</v>
          </cell>
          <cell r="C765" t="str">
            <v>Amoonguss</v>
          </cell>
          <cell r="D765" t="str">
            <v>Standard</v>
          </cell>
          <cell r="E765" t="str">
            <v>grass</v>
          </cell>
          <cell r="F765" t="str">
            <v>poison</v>
          </cell>
          <cell r="G765">
            <v>114</v>
          </cell>
          <cell r="H765">
            <v>85</v>
          </cell>
          <cell r="I765">
            <v>70</v>
          </cell>
          <cell r="J765">
            <v>85</v>
          </cell>
          <cell r="K765">
            <v>80</v>
          </cell>
          <cell r="L765">
            <v>30</v>
          </cell>
          <cell r="M765">
            <v>464</v>
          </cell>
          <cell r="N765" t="str">
            <v>effect-spore</v>
          </cell>
          <cell r="P765" t="str">
            <v>regenerator</v>
          </cell>
          <cell r="Q765">
            <v>0.6</v>
          </cell>
          <cell r="R765">
            <v>10.5</v>
          </cell>
          <cell r="S765" t="str">
            <v>It lures prey close by dancing and waving its arm caps, which resemble Poké Balls, in a swaying motion.</v>
          </cell>
          <cell r="T765" t="str">
            <v>https://raw.githubusercontent.com/PokeAPI/sprites/master/sprites/pokemon/other/official-artwork/591.png</v>
          </cell>
          <cell r="U765" t="str">
            <v>https://raw.githubusercontent.com/PokeAPI/sprites/master/sprites/pokemon/other/official-artwork/shiny/591.png</v>
          </cell>
        </row>
        <row r="766">
          <cell r="A766">
            <v>592</v>
          </cell>
          <cell r="C766" t="str">
            <v>Frillish</v>
          </cell>
          <cell r="D766" t="str">
            <v>Standard</v>
          </cell>
          <cell r="E766" t="str">
            <v>water</v>
          </cell>
          <cell r="F766" t="str">
            <v>ghost</v>
          </cell>
          <cell r="G766">
            <v>55</v>
          </cell>
          <cell r="H766">
            <v>40</v>
          </cell>
          <cell r="I766">
            <v>50</v>
          </cell>
          <cell r="J766">
            <v>65</v>
          </cell>
          <cell r="K766">
            <v>85</v>
          </cell>
          <cell r="L766">
            <v>40</v>
          </cell>
          <cell r="M766">
            <v>335</v>
          </cell>
          <cell r="N766" t="str">
            <v>water-absorb</v>
          </cell>
          <cell r="O766" t="str">
            <v>cursed-body</v>
          </cell>
          <cell r="P766" t="str">
            <v>damp</v>
          </cell>
          <cell r="Q766">
            <v>1.2</v>
          </cell>
          <cell r="R766">
            <v>33</v>
          </cell>
          <cell r="S766" t="str">
            <v>With its thin, veil-like arms wrapped around the body of its opponent, it sinks to the ocean floor.</v>
          </cell>
          <cell r="T766" t="str">
            <v>https://raw.githubusercontent.com/PokeAPI/sprites/master/sprites/pokemon/other/official-artwork/592.png</v>
          </cell>
          <cell r="U766" t="str">
            <v>https://raw.githubusercontent.com/PokeAPI/sprites/master/sprites/pokemon/other/official-artwork/shiny/592.png</v>
          </cell>
        </row>
        <row r="767">
          <cell r="A767">
            <v>593</v>
          </cell>
          <cell r="C767" t="str">
            <v>Jellicent</v>
          </cell>
          <cell r="D767" t="str">
            <v>Standard</v>
          </cell>
          <cell r="E767" t="str">
            <v>water</v>
          </cell>
          <cell r="F767" t="str">
            <v>ghost</v>
          </cell>
          <cell r="G767">
            <v>100</v>
          </cell>
          <cell r="H767">
            <v>60</v>
          </cell>
          <cell r="I767">
            <v>70</v>
          </cell>
          <cell r="J767">
            <v>85</v>
          </cell>
          <cell r="K767">
            <v>105</v>
          </cell>
          <cell r="L767">
            <v>60</v>
          </cell>
          <cell r="M767">
            <v>480</v>
          </cell>
          <cell r="N767" t="str">
            <v>water-absorb</v>
          </cell>
          <cell r="O767" t="str">
            <v>cursed-body</v>
          </cell>
          <cell r="P767" t="str">
            <v>damp</v>
          </cell>
          <cell r="Q767">
            <v>2.2000000000000002</v>
          </cell>
          <cell r="R767">
            <v>135</v>
          </cell>
          <cell r="S767" t="str">
            <v>The fate of the ships and crew that wander into Jellicent’s habitat: all sunken, all lost, all vanished.</v>
          </cell>
          <cell r="T767" t="str">
            <v>https://raw.githubusercontent.com/PokeAPI/sprites/master/sprites/pokemon/other/official-artwork/593.png</v>
          </cell>
          <cell r="U767" t="str">
            <v>https://raw.githubusercontent.com/PokeAPI/sprites/master/sprites/pokemon/other/official-artwork/shiny/593.png</v>
          </cell>
        </row>
        <row r="768">
          <cell r="A768">
            <v>594</v>
          </cell>
          <cell r="C768" t="str">
            <v>Alomomola</v>
          </cell>
          <cell r="D768" t="str">
            <v>Standard</v>
          </cell>
          <cell r="E768" t="str">
            <v>water</v>
          </cell>
          <cell r="G768">
            <v>165</v>
          </cell>
          <cell r="H768">
            <v>75</v>
          </cell>
          <cell r="I768">
            <v>80</v>
          </cell>
          <cell r="J768">
            <v>40</v>
          </cell>
          <cell r="K768">
            <v>45</v>
          </cell>
          <cell r="L768">
            <v>65</v>
          </cell>
          <cell r="M768">
            <v>470</v>
          </cell>
          <cell r="N768" t="str">
            <v>healer</v>
          </cell>
          <cell r="O768" t="str">
            <v>hydration</v>
          </cell>
          <cell r="P768" t="str">
            <v>regenerator</v>
          </cell>
          <cell r="Q768">
            <v>1.2</v>
          </cell>
          <cell r="R768">
            <v>31.6</v>
          </cell>
          <cell r="S768" t="str">
            <v>The special membrane enveloping Alomomola has the ability to heal wounds.</v>
          </cell>
          <cell r="T768" t="str">
            <v>https://raw.githubusercontent.com/PokeAPI/sprites/master/sprites/pokemon/other/official-artwork/594.png</v>
          </cell>
          <cell r="U768" t="str">
            <v>https://raw.githubusercontent.com/PokeAPI/sprites/master/sprites/pokemon/other/official-artwork/shiny/594.png</v>
          </cell>
        </row>
        <row r="769">
          <cell r="A769">
            <v>595</v>
          </cell>
          <cell r="C769" t="str">
            <v>Joltik</v>
          </cell>
          <cell r="D769" t="str">
            <v>Standard</v>
          </cell>
          <cell r="E769" t="str">
            <v>bug</v>
          </cell>
          <cell r="F769" t="str">
            <v>electric</v>
          </cell>
          <cell r="G769">
            <v>50</v>
          </cell>
          <cell r="H769">
            <v>47</v>
          </cell>
          <cell r="I769">
            <v>50</v>
          </cell>
          <cell r="J769">
            <v>57</v>
          </cell>
          <cell r="K769">
            <v>50</v>
          </cell>
          <cell r="L769">
            <v>65</v>
          </cell>
          <cell r="M769">
            <v>319</v>
          </cell>
          <cell r="N769" t="str">
            <v>compound-eyes</v>
          </cell>
          <cell r="O769" t="str">
            <v>unnerve</v>
          </cell>
          <cell r="P769" t="str">
            <v>swarm</v>
          </cell>
          <cell r="Q769">
            <v>0.1</v>
          </cell>
          <cell r="R769">
            <v>0.6</v>
          </cell>
          <cell r="S769" t="str">
            <v>Joltik that live in cities have learned a technique for sucking electricity from the outlets in houses.</v>
          </cell>
          <cell r="T769" t="str">
            <v>https://raw.githubusercontent.com/PokeAPI/sprites/master/sprites/pokemon/other/official-artwork/595.png</v>
          </cell>
          <cell r="U769" t="str">
            <v>https://raw.githubusercontent.com/PokeAPI/sprites/master/sprites/pokemon/other/official-artwork/shiny/595.png</v>
          </cell>
        </row>
        <row r="770">
          <cell r="A770">
            <v>596</v>
          </cell>
          <cell r="C770" t="str">
            <v>Galvantula</v>
          </cell>
          <cell r="D770" t="str">
            <v>Standard</v>
          </cell>
          <cell r="E770" t="str">
            <v>bug</v>
          </cell>
          <cell r="F770" t="str">
            <v>electric</v>
          </cell>
          <cell r="G770">
            <v>70</v>
          </cell>
          <cell r="H770">
            <v>77</v>
          </cell>
          <cell r="I770">
            <v>60</v>
          </cell>
          <cell r="J770">
            <v>97</v>
          </cell>
          <cell r="K770">
            <v>60</v>
          </cell>
          <cell r="L770">
            <v>108</v>
          </cell>
          <cell r="M770">
            <v>472</v>
          </cell>
          <cell r="N770" t="str">
            <v>compound-eyes</v>
          </cell>
          <cell r="O770" t="str">
            <v>unnerve</v>
          </cell>
          <cell r="P770" t="str">
            <v>swarm</v>
          </cell>
          <cell r="Q770">
            <v>0.8</v>
          </cell>
          <cell r="R770">
            <v>14.3</v>
          </cell>
          <cell r="S770" t="str">
            <v>When attacked, they create an electric barrier by spitting out many electrically charged threads.</v>
          </cell>
          <cell r="T770" t="str">
            <v>https://raw.githubusercontent.com/PokeAPI/sprites/master/sprites/pokemon/other/official-artwork/596.png</v>
          </cell>
          <cell r="U770" t="str">
            <v>https://raw.githubusercontent.com/PokeAPI/sprites/master/sprites/pokemon/other/official-artwork/shiny/596.png</v>
          </cell>
        </row>
        <row r="771">
          <cell r="A771">
            <v>597</v>
          </cell>
          <cell r="C771" t="str">
            <v>Ferroseed</v>
          </cell>
          <cell r="D771" t="str">
            <v>Standard</v>
          </cell>
          <cell r="E771" t="str">
            <v>grass</v>
          </cell>
          <cell r="F771" t="str">
            <v>steel</v>
          </cell>
          <cell r="G771">
            <v>44</v>
          </cell>
          <cell r="H771">
            <v>50</v>
          </cell>
          <cell r="I771">
            <v>91</v>
          </cell>
          <cell r="J771">
            <v>24</v>
          </cell>
          <cell r="K771">
            <v>86</v>
          </cell>
          <cell r="L771">
            <v>10</v>
          </cell>
          <cell r="M771">
            <v>305</v>
          </cell>
          <cell r="N771" t="str">
            <v>iron-barbs</v>
          </cell>
          <cell r="Q771">
            <v>0.6</v>
          </cell>
          <cell r="R771">
            <v>18.8</v>
          </cell>
          <cell r="S771" t="str">
            <v>When threatened, it attacks by shooting a barrage of spikes, which gives it a chance to escape by rolling away.</v>
          </cell>
          <cell r="T771" t="str">
            <v>https://raw.githubusercontent.com/PokeAPI/sprites/master/sprites/pokemon/other/official-artwork/597.png</v>
          </cell>
          <cell r="U771" t="str">
            <v>https://raw.githubusercontent.com/PokeAPI/sprites/master/sprites/pokemon/other/official-artwork/shiny/597.png</v>
          </cell>
        </row>
        <row r="772">
          <cell r="A772">
            <v>598</v>
          </cell>
          <cell r="C772" t="str">
            <v>Ferrothorn</v>
          </cell>
          <cell r="D772" t="str">
            <v>Standard</v>
          </cell>
          <cell r="E772" t="str">
            <v>grass</v>
          </cell>
          <cell r="F772" t="str">
            <v>steel</v>
          </cell>
          <cell r="G772">
            <v>74</v>
          </cell>
          <cell r="H772">
            <v>94</v>
          </cell>
          <cell r="I772">
            <v>131</v>
          </cell>
          <cell r="J772">
            <v>54</v>
          </cell>
          <cell r="K772">
            <v>116</v>
          </cell>
          <cell r="L772">
            <v>20</v>
          </cell>
          <cell r="M772">
            <v>489</v>
          </cell>
          <cell r="N772" t="str">
            <v>iron-barbs</v>
          </cell>
          <cell r="P772" t="str">
            <v>anticipation</v>
          </cell>
          <cell r="Q772">
            <v>1</v>
          </cell>
          <cell r="R772">
            <v>110</v>
          </cell>
          <cell r="S772" t="str">
            <v>It fights by swinging around its three spiky feelers. A hit from these steel spikes can reduce a boulder to rubble.</v>
          </cell>
          <cell r="T772" t="str">
            <v>https://raw.githubusercontent.com/PokeAPI/sprites/master/sprites/pokemon/other/official-artwork/598.png</v>
          </cell>
          <cell r="U772" t="str">
            <v>https://raw.githubusercontent.com/PokeAPI/sprites/master/sprites/pokemon/other/official-artwork/shiny/598.png</v>
          </cell>
        </row>
        <row r="773">
          <cell r="A773">
            <v>599</v>
          </cell>
          <cell r="C773" t="str">
            <v>Klink</v>
          </cell>
          <cell r="D773" t="str">
            <v>Standard</v>
          </cell>
          <cell r="E773" t="str">
            <v>steel</v>
          </cell>
          <cell r="G773">
            <v>40</v>
          </cell>
          <cell r="H773">
            <v>55</v>
          </cell>
          <cell r="I773">
            <v>70</v>
          </cell>
          <cell r="J773">
            <v>45</v>
          </cell>
          <cell r="K773">
            <v>60</v>
          </cell>
          <cell r="L773">
            <v>30</v>
          </cell>
          <cell r="M773">
            <v>300</v>
          </cell>
          <cell r="N773" t="str">
            <v>plus</v>
          </cell>
          <cell r="O773" t="str">
            <v>minus</v>
          </cell>
          <cell r="P773" t="str">
            <v>clear-body</v>
          </cell>
          <cell r="Q773">
            <v>0.3</v>
          </cell>
          <cell r="R773">
            <v>21</v>
          </cell>
          <cell r="S773" t="str">
            <v>The two minigears that mesh together are predetermined. Each will rebound from other minigears without meshing.</v>
          </cell>
          <cell r="T773" t="str">
            <v>https://raw.githubusercontent.com/PokeAPI/sprites/master/sprites/pokemon/other/official-artwork/599.png</v>
          </cell>
          <cell r="U773" t="str">
            <v>https://raw.githubusercontent.com/PokeAPI/sprites/master/sprites/pokemon/other/official-artwork/shiny/599.png</v>
          </cell>
        </row>
        <row r="774">
          <cell r="A774">
            <v>600</v>
          </cell>
          <cell r="C774" t="str">
            <v>Klang</v>
          </cell>
          <cell r="D774" t="str">
            <v>Standard</v>
          </cell>
          <cell r="E774" t="str">
            <v>steel</v>
          </cell>
          <cell r="G774">
            <v>60</v>
          </cell>
          <cell r="H774">
            <v>80</v>
          </cell>
          <cell r="I774">
            <v>95</v>
          </cell>
          <cell r="J774">
            <v>70</v>
          </cell>
          <cell r="K774">
            <v>85</v>
          </cell>
          <cell r="L774">
            <v>50</v>
          </cell>
          <cell r="M774">
            <v>440</v>
          </cell>
          <cell r="N774" t="str">
            <v>plus</v>
          </cell>
          <cell r="O774" t="str">
            <v>minus</v>
          </cell>
          <cell r="P774" t="str">
            <v>clear-body</v>
          </cell>
          <cell r="Q774">
            <v>0.6</v>
          </cell>
          <cell r="R774">
            <v>51</v>
          </cell>
          <cell r="S774" t="str">
            <v>By changing the direction in which it rotates, it communicates its feelings to others. When angry, it rotates faster.</v>
          </cell>
          <cell r="T774" t="str">
            <v>https://raw.githubusercontent.com/PokeAPI/sprites/master/sprites/pokemon/other/official-artwork/600.png</v>
          </cell>
          <cell r="U774" t="str">
            <v>https://raw.githubusercontent.com/PokeAPI/sprites/master/sprites/pokemon/other/official-artwork/shiny/600.png</v>
          </cell>
        </row>
        <row r="775">
          <cell r="A775">
            <v>601</v>
          </cell>
          <cell r="C775" t="str">
            <v>Klinklang</v>
          </cell>
          <cell r="D775" t="str">
            <v>Standard</v>
          </cell>
          <cell r="E775" t="str">
            <v>steel</v>
          </cell>
          <cell r="G775">
            <v>60</v>
          </cell>
          <cell r="H775">
            <v>100</v>
          </cell>
          <cell r="I775">
            <v>115</v>
          </cell>
          <cell r="J775">
            <v>70</v>
          </cell>
          <cell r="K775">
            <v>85</v>
          </cell>
          <cell r="L775">
            <v>90</v>
          </cell>
          <cell r="M775">
            <v>520</v>
          </cell>
          <cell r="N775" t="str">
            <v>plus</v>
          </cell>
          <cell r="O775" t="str">
            <v>minus</v>
          </cell>
          <cell r="P775" t="str">
            <v>clear-body</v>
          </cell>
          <cell r="Q775">
            <v>0.6</v>
          </cell>
          <cell r="R775">
            <v>81</v>
          </cell>
          <cell r="S775" t="str">
            <v>The gear with the red core is rotated at high speed for a rapid energy charge.</v>
          </cell>
          <cell r="T775" t="str">
            <v>https://raw.githubusercontent.com/PokeAPI/sprites/master/sprites/pokemon/other/official-artwork/601.png</v>
          </cell>
          <cell r="U775" t="str">
            <v>https://raw.githubusercontent.com/PokeAPI/sprites/master/sprites/pokemon/other/official-artwork/shiny/601.png</v>
          </cell>
        </row>
        <row r="776">
          <cell r="A776">
            <v>602</v>
          </cell>
          <cell r="C776" t="str">
            <v>Tynamo</v>
          </cell>
          <cell r="D776" t="str">
            <v>Standard</v>
          </cell>
          <cell r="E776" t="str">
            <v>electric</v>
          </cell>
          <cell r="G776">
            <v>35</v>
          </cell>
          <cell r="H776">
            <v>55</v>
          </cell>
          <cell r="I776">
            <v>40</v>
          </cell>
          <cell r="J776">
            <v>45</v>
          </cell>
          <cell r="K776">
            <v>40</v>
          </cell>
          <cell r="L776">
            <v>60</v>
          </cell>
          <cell r="M776">
            <v>275</v>
          </cell>
          <cell r="N776" t="str">
            <v>levitate</v>
          </cell>
          <cell r="Q776">
            <v>0.2</v>
          </cell>
          <cell r="R776">
            <v>0.3</v>
          </cell>
          <cell r="S776" t="str">
            <v>While one alone doesn’t have much power, a chain of many Tynamo can be as powerful as lightning.</v>
          </cell>
          <cell r="T776" t="str">
            <v>https://raw.githubusercontent.com/PokeAPI/sprites/master/sprites/pokemon/other/official-artwork/602.png</v>
          </cell>
          <cell r="U776" t="str">
            <v>https://raw.githubusercontent.com/PokeAPI/sprites/master/sprites/pokemon/other/official-artwork/shiny/602.png</v>
          </cell>
        </row>
        <row r="777">
          <cell r="A777">
            <v>603</v>
          </cell>
          <cell r="C777" t="str">
            <v>Eelektrik</v>
          </cell>
          <cell r="D777" t="str">
            <v>Standard</v>
          </cell>
          <cell r="E777" t="str">
            <v>electric</v>
          </cell>
          <cell r="G777">
            <v>65</v>
          </cell>
          <cell r="H777">
            <v>85</v>
          </cell>
          <cell r="I777">
            <v>70</v>
          </cell>
          <cell r="J777">
            <v>75</v>
          </cell>
          <cell r="K777">
            <v>70</v>
          </cell>
          <cell r="L777">
            <v>40</v>
          </cell>
          <cell r="M777">
            <v>405</v>
          </cell>
          <cell r="N777" t="str">
            <v>levitate</v>
          </cell>
          <cell r="Q777">
            <v>1.2</v>
          </cell>
          <cell r="R777">
            <v>22</v>
          </cell>
          <cell r="S777" t="str">
            <v>They coil around foes and shock them with electricity-generating organs that seem simply to be circular patterns.</v>
          </cell>
          <cell r="T777" t="str">
            <v>https://raw.githubusercontent.com/PokeAPI/sprites/master/sprites/pokemon/other/official-artwork/603.png</v>
          </cell>
          <cell r="U777" t="str">
            <v>https://raw.githubusercontent.com/PokeAPI/sprites/master/sprites/pokemon/other/official-artwork/shiny/603.png</v>
          </cell>
        </row>
        <row r="778">
          <cell r="A778">
            <v>604</v>
          </cell>
          <cell r="C778" t="str">
            <v>Eelektross</v>
          </cell>
          <cell r="D778" t="str">
            <v>Standard</v>
          </cell>
          <cell r="E778" t="str">
            <v>electric</v>
          </cell>
          <cell r="G778">
            <v>85</v>
          </cell>
          <cell r="H778">
            <v>115</v>
          </cell>
          <cell r="I778">
            <v>80</v>
          </cell>
          <cell r="J778">
            <v>105</v>
          </cell>
          <cell r="K778">
            <v>80</v>
          </cell>
          <cell r="L778">
            <v>50</v>
          </cell>
          <cell r="M778">
            <v>515</v>
          </cell>
          <cell r="N778" t="str">
            <v>levitate</v>
          </cell>
          <cell r="Q778">
            <v>2.1</v>
          </cell>
          <cell r="R778">
            <v>80.5</v>
          </cell>
          <cell r="S778" t="str">
            <v>They crawl out of the ocean using their arms. They will attack prey on shore and immediately drag it into the ocean.</v>
          </cell>
          <cell r="T778" t="str">
            <v>https://raw.githubusercontent.com/PokeAPI/sprites/master/sprites/pokemon/other/official-artwork/604.png</v>
          </cell>
          <cell r="U778" t="str">
            <v>https://raw.githubusercontent.com/PokeAPI/sprites/master/sprites/pokemon/other/official-artwork/shiny/604.png</v>
          </cell>
        </row>
        <row r="779">
          <cell r="A779">
            <v>604</v>
          </cell>
          <cell r="C779" t="str">
            <v>Eelektross Mega</v>
          </cell>
          <cell r="D779" t="str">
            <v>Mega</v>
          </cell>
          <cell r="E779" t="str">
            <v>electric</v>
          </cell>
          <cell r="G779">
            <v>85</v>
          </cell>
          <cell r="H779">
            <v>145</v>
          </cell>
          <cell r="I779">
            <v>80</v>
          </cell>
          <cell r="J779">
            <v>135</v>
          </cell>
          <cell r="K779">
            <v>90</v>
          </cell>
          <cell r="L779">
            <v>80</v>
          </cell>
          <cell r="M779">
            <v>615</v>
          </cell>
          <cell r="Q779">
            <v>3</v>
          </cell>
          <cell r="R779">
            <v>180</v>
          </cell>
          <cell r="S779" t="str">
            <v>They crawl out of the ocean using their arms. They will attack prey on shore and immediately drag it into the ocean.</v>
          </cell>
        </row>
        <row r="780">
          <cell r="A780">
            <v>605</v>
          </cell>
          <cell r="C780" t="str">
            <v>Elgyem</v>
          </cell>
          <cell r="D780" t="str">
            <v>Standard</v>
          </cell>
          <cell r="E780" t="str">
            <v>psychic</v>
          </cell>
          <cell r="G780">
            <v>55</v>
          </cell>
          <cell r="H780">
            <v>55</v>
          </cell>
          <cell r="I780">
            <v>55</v>
          </cell>
          <cell r="J780">
            <v>85</v>
          </cell>
          <cell r="K780">
            <v>55</v>
          </cell>
          <cell r="L780">
            <v>30</v>
          </cell>
          <cell r="M780">
            <v>335</v>
          </cell>
          <cell r="N780" t="str">
            <v>telepathy</v>
          </cell>
          <cell r="O780" t="str">
            <v>synchronize</v>
          </cell>
          <cell r="P780" t="str">
            <v>analytic</v>
          </cell>
          <cell r="Q780">
            <v>0.5</v>
          </cell>
          <cell r="R780">
            <v>9</v>
          </cell>
          <cell r="S780" t="str">
            <v>It uses its strong psychic power to squeeze its opponent’s brain, causing unendurable headaches.</v>
          </cell>
          <cell r="T780" t="str">
            <v>https://raw.githubusercontent.com/PokeAPI/sprites/master/sprites/pokemon/other/official-artwork/605.png</v>
          </cell>
          <cell r="U780" t="str">
            <v>https://raw.githubusercontent.com/PokeAPI/sprites/master/sprites/pokemon/other/official-artwork/shiny/605.png</v>
          </cell>
        </row>
        <row r="781">
          <cell r="A781">
            <v>606</v>
          </cell>
          <cell r="C781" t="str">
            <v>Beheeyem</v>
          </cell>
          <cell r="D781" t="str">
            <v>Standard</v>
          </cell>
          <cell r="E781" t="str">
            <v>psychic</v>
          </cell>
          <cell r="G781">
            <v>75</v>
          </cell>
          <cell r="H781">
            <v>75</v>
          </cell>
          <cell r="I781">
            <v>75</v>
          </cell>
          <cell r="J781">
            <v>125</v>
          </cell>
          <cell r="K781">
            <v>95</v>
          </cell>
          <cell r="L781">
            <v>40</v>
          </cell>
          <cell r="M781">
            <v>485</v>
          </cell>
          <cell r="N781" t="str">
            <v>telepathy</v>
          </cell>
          <cell r="O781" t="str">
            <v>synchronize</v>
          </cell>
          <cell r="P781" t="str">
            <v>analytic</v>
          </cell>
          <cell r="Q781">
            <v>1</v>
          </cell>
          <cell r="R781">
            <v>34.5</v>
          </cell>
          <cell r="S781" t="str">
            <v>It can manipulate an opponent’s memory. Apparently, it communicates by flashing its three different-colored fingers.</v>
          </cell>
          <cell r="T781" t="str">
            <v>https://raw.githubusercontent.com/PokeAPI/sprites/master/sprites/pokemon/other/official-artwork/606.png</v>
          </cell>
          <cell r="U781" t="str">
            <v>https://raw.githubusercontent.com/PokeAPI/sprites/master/sprites/pokemon/other/official-artwork/shiny/606.png</v>
          </cell>
        </row>
        <row r="782">
          <cell r="A782">
            <v>607</v>
          </cell>
          <cell r="C782" t="str">
            <v>Litwick</v>
          </cell>
          <cell r="D782" t="str">
            <v>Standard</v>
          </cell>
          <cell r="E782" t="str">
            <v>ghost</v>
          </cell>
          <cell r="F782" t="str">
            <v>fire</v>
          </cell>
          <cell r="G782">
            <v>50</v>
          </cell>
          <cell r="H782">
            <v>30</v>
          </cell>
          <cell r="I782">
            <v>55</v>
          </cell>
          <cell r="J782">
            <v>65</v>
          </cell>
          <cell r="K782">
            <v>55</v>
          </cell>
          <cell r="L782">
            <v>20</v>
          </cell>
          <cell r="M782">
            <v>275</v>
          </cell>
          <cell r="N782" t="str">
            <v>flash-fire</v>
          </cell>
          <cell r="O782" t="str">
            <v>flame-body</v>
          </cell>
          <cell r="P782" t="str">
            <v>infiltrator</v>
          </cell>
          <cell r="Q782">
            <v>0.3</v>
          </cell>
          <cell r="R782">
            <v>3.1</v>
          </cell>
          <cell r="S782" t="str">
            <v>Litwick shines a light that absorbs the life energy of people and Pokémon, which becomes the fuel that it burns.</v>
          </cell>
          <cell r="T782" t="str">
            <v>https://raw.githubusercontent.com/PokeAPI/sprites/master/sprites/pokemon/other/official-artwork/607.png</v>
          </cell>
          <cell r="U782" t="str">
            <v>https://raw.githubusercontent.com/PokeAPI/sprites/master/sprites/pokemon/other/official-artwork/shiny/607.png</v>
          </cell>
        </row>
        <row r="783">
          <cell r="A783">
            <v>608</v>
          </cell>
          <cell r="C783" t="str">
            <v>Lampent</v>
          </cell>
          <cell r="D783" t="str">
            <v>Standard</v>
          </cell>
          <cell r="E783" t="str">
            <v>ghost</v>
          </cell>
          <cell r="F783" t="str">
            <v>fire</v>
          </cell>
          <cell r="G783">
            <v>60</v>
          </cell>
          <cell r="H783">
            <v>40</v>
          </cell>
          <cell r="I783">
            <v>60</v>
          </cell>
          <cell r="J783">
            <v>95</v>
          </cell>
          <cell r="K783">
            <v>60</v>
          </cell>
          <cell r="L783">
            <v>55</v>
          </cell>
          <cell r="M783">
            <v>370</v>
          </cell>
          <cell r="N783" t="str">
            <v>flash-fire</v>
          </cell>
          <cell r="O783" t="str">
            <v>flame-body</v>
          </cell>
          <cell r="P783" t="str">
            <v>infiltrator</v>
          </cell>
          <cell r="Q783">
            <v>0.6</v>
          </cell>
          <cell r="R783">
            <v>13</v>
          </cell>
          <cell r="S783" t="str">
            <v>This ominous Pokémon is feared. Through cities it wanders, searching for the spirits of the fallen.</v>
          </cell>
          <cell r="T783" t="str">
            <v>https://raw.githubusercontent.com/PokeAPI/sprites/master/sprites/pokemon/other/official-artwork/608.png</v>
          </cell>
          <cell r="U783" t="str">
            <v>https://raw.githubusercontent.com/PokeAPI/sprites/master/sprites/pokemon/other/official-artwork/shiny/608.png</v>
          </cell>
        </row>
        <row r="784">
          <cell r="A784">
            <v>609</v>
          </cell>
          <cell r="C784" t="str">
            <v>Chandelure</v>
          </cell>
          <cell r="D784" t="str">
            <v>Standard</v>
          </cell>
          <cell r="E784" t="str">
            <v>ghost</v>
          </cell>
          <cell r="F784" t="str">
            <v>fire</v>
          </cell>
          <cell r="G784">
            <v>60</v>
          </cell>
          <cell r="H784">
            <v>55</v>
          </cell>
          <cell r="I784">
            <v>90</v>
          </cell>
          <cell r="J784">
            <v>145</v>
          </cell>
          <cell r="K784">
            <v>90</v>
          </cell>
          <cell r="L784">
            <v>80</v>
          </cell>
          <cell r="M784">
            <v>520</v>
          </cell>
          <cell r="N784" t="str">
            <v>flash-fire</v>
          </cell>
          <cell r="O784" t="str">
            <v>flame-body</v>
          </cell>
          <cell r="P784" t="str">
            <v>infiltrator</v>
          </cell>
          <cell r="Q784">
            <v>1</v>
          </cell>
          <cell r="R784">
            <v>34.299999999999997</v>
          </cell>
          <cell r="S784" t="str">
            <v>It absorbs a spirit, which it then burns. By waving the flames on its arms, it puts its foes into a hypnotic trance.</v>
          </cell>
          <cell r="T784" t="str">
            <v>https://raw.githubusercontent.com/PokeAPI/sprites/master/sprites/pokemon/other/official-artwork/609.png</v>
          </cell>
          <cell r="U784" t="str">
            <v>https://raw.githubusercontent.com/PokeAPI/sprites/master/sprites/pokemon/other/official-artwork/shiny/609.png</v>
          </cell>
        </row>
        <row r="785">
          <cell r="A785">
            <v>609</v>
          </cell>
          <cell r="C785" t="str">
            <v>Chandelure Mega</v>
          </cell>
          <cell r="D785" t="str">
            <v>Mega</v>
          </cell>
          <cell r="E785" t="str">
            <v>ghost</v>
          </cell>
          <cell r="F785" t="str">
            <v>fire</v>
          </cell>
          <cell r="G785">
            <v>60</v>
          </cell>
          <cell r="H785">
            <v>75</v>
          </cell>
          <cell r="I785">
            <v>110</v>
          </cell>
          <cell r="J785">
            <v>175</v>
          </cell>
          <cell r="K785">
            <v>110</v>
          </cell>
          <cell r="L785">
            <v>90</v>
          </cell>
          <cell r="M785">
            <v>620</v>
          </cell>
          <cell r="Q785">
            <v>2.5</v>
          </cell>
          <cell r="R785">
            <v>69.599999999999994</v>
          </cell>
          <cell r="S785" t="str">
            <v>It absorbs a spirit, which it then burns. By waving the flames on its arms, it puts its foes into a hypnotic trance.</v>
          </cell>
        </row>
        <row r="786">
          <cell r="A786">
            <v>610</v>
          </cell>
          <cell r="C786" t="str">
            <v>Axew</v>
          </cell>
          <cell r="D786" t="str">
            <v>Standard</v>
          </cell>
          <cell r="E786" t="str">
            <v>dragon</v>
          </cell>
          <cell r="G786">
            <v>46</v>
          </cell>
          <cell r="H786">
            <v>87</v>
          </cell>
          <cell r="I786">
            <v>60</v>
          </cell>
          <cell r="J786">
            <v>30</v>
          </cell>
          <cell r="K786">
            <v>40</v>
          </cell>
          <cell r="L786">
            <v>57</v>
          </cell>
          <cell r="M786">
            <v>320</v>
          </cell>
          <cell r="N786" t="str">
            <v>rivalry</v>
          </cell>
          <cell r="O786" t="str">
            <v>mold-breaker</v>
          </cell>
          <cell r="P786" t="str">
            <v>unnerve</v>
          </cell>
          <cell r="Q786">
            <v>0.6</v>
          </cell>
          <cell r="R786">
            <v>18</v>
          </cell>
          <cell r="S786" t="str">
            <v>They use their tusks to crush the berries they eat. Repeated regrowth makes their tusks strong and sharp.</v>
          </cell>
          <cell r="T786" t="str">
            <v>https://raw.githubusercontent.com/PokeAPI/sprites/master/sprites/pokemon/other/official-artwork/610.png</v>
          </cell>
          <cell r="U786" t="str">
            <v>https://raw.githubusercontent.com/PokeAPI/sprites/master/sprites/pokemon/other/official-artwork/shiny/610.png</v>
          </cell>
        </row>
        <row r="787">
          <cell r="A787">
            <v>611</v>
          </cell>
          <cell r="C787" t="str">
            <v>Fraxure</v>
          </cell>
          <cell r="D787" t="str">
            <v>Standard</v>
          </cell>
          <cell r="E787" t="str">
            <v>dragon</v>
          </cell>
          <cell r="G787">
            <v>66</v>
          </cell>
          <cell r="H787">
            <v>117</v>
          </cell>
          <cell r="I787">
            <v>70</v>
          </cell>
          <cell r="J787">
            <v>40</v>
          </cell>
          <cell r="K787">
            <v>50</v>
          </cell>
          <cell r="L787">
            <v>67</v>
          </cell>
          <cell r="M787">
            <v>410</v>
          </cell>
          <cell r="N787" t="str">
            <v>rivalry</v>
          </cell>
          <cell r="O787" t="str">
            <v>mold-breaker</v>
          </cell>
          <cell r="P787" t="str">
            <v>unnerve</v>
          </cell>
          <cell r="Q787">
            <v>1</v>
          </cell>
          <cell r="R787">
            <v>36</v>
          </cell>
          <cell r="S787" t="str">
            <v>Since a broken tusk will not grow back, they diligently sharpen their tusks on river rocks after they’ve been fighting.</v>
          </cell>
          <cell r="T787" t="str">
            <v>https://raw.githubusercontent.com/PokeAPI/sprites/master/sprites/pokemon/other/official-artwork/611.png</v>
          </cell>
          <cell r="U787" t="str">
            <v>https://raw.githubusercontent.com/PokeAPI/sprites/master/sprites/pokemon/other/official-artwork/shiny/611.png</v>
          </cell>
        </row>
        <row r="788">
          <cell r="A788">
            <v>612</v>
          </cell>
          <cell r="C788" t="str">
            <v>Haxorus</v>
          </cell>
          <cell r="D788" t="str">
            <v>Standard</v>
          </cell>
          <cell r="E788" t="str">
            <v>dragon</v>
          </cell>
          <cell r="G788">
            <v>76</v>
          </cell>
          <cell r="H788">
            <v>147</v>
          </cell>
          <cell r="I788">
            <v>90</v>
          </cell>
          <cell r="J788">
            <v>60</v>
          </cell>
          <cell r="K788">
            <v>70</v>
          </cell>
          <cell r="L788">
            <v>97</v>
          </cell>
          <cell r="M788">
            <v>540</v>
          </cell>
          <cell r="N788" t="str">
            <v>rivalry</v>
          </cell>
          <cell r="O788" t="str">
            <v>mold-breaker</v>
          </cell>
          <cell r="P788" t="str">
            <v>unnerve</v>
          </cell>
          <cell r="Q788">
            <v>1.8</v>
          </cell>
          <cell r="R788">
            <v>105.5</v>
          </cell>
          <cell r="S788" t="str">
            <v>They are kind but can be relentless when defending territory. They challenge foes with tusks that can cut steel.</v>
          </cell>
          <cell r="T788" t="str">
            <v>https://raw.githubusercontent.com/PokeAPI/sprites/master/sprites/pokemon/other/official-artwork/612.png</v>
          </cell>
          <cell r="U788" t="str">
            <v>https://raw.githubusercontent.com/PokeAPI/sprites/master/sprites/pokemon/other/official-artwork/shiny/612.png</v>
          </cell>
        </row>
        <row r="789">
          <cell r="A789">
            <v>613</v>
          </cell>
          <cell r="C789" t="str">
            <v>Cubchoo</v>
          </cell>
          <cell r="D789" t="str">
            <v>Standard</v>
          </cell>
          <cell r="E789" t="str">
            <v>ice</v>
          </cell>
          <cell r="G789">
            <v>55</v>
          </cell>
          <cell r="H789">
            <v>70</v>
          </cell>
          <cell r="I789">
            <v>40</v>
          </cell>
          <cell r="J789">
            <v>60</v>
          </cell>
          <cell r="K789">
            <v>40</v>
          </cell>
          <cell r="L789">
            <v>40</v>
          </cell>
          <cell r="M789">
            <v>305</v>
          </cell>
          <cell r="N789" t="str">
            <v>snow-cloak</v>
          </cell>
          <cell r="O789" t="str">
            <v>slush-rush</v>
          </cell>
          <cell r="P789" t="str">
            <v>rattled</v>
          </cell>
          <cell r="Q789">
            <v>0.5</v>
          </cell>
          <cell r="R789">
            <v>8.5</v>
          </cell>
          <cell r="S789" t="str">
            <v>When it is not feeling well, its mucus gets watery and the power of its Ice-type moves decreases.</v>
          </cell>
          <cell r="T789" t="str">
            <v>https://raw.githubusercontent.com/PokeAPI/sprites/master/sprites/pokemon/other/official-artwork/613.png</v>
          </cell>
          <cell r="U789" t="str">
            <v>https://raw.githubusercontent.com/PokeAPI/sprites/master/sprites/pokemon/other/official-artwork/shiny/613.png</v>
          </cell>
        </row>
        <row r="790">
          <cell r="A790">
            <v>614</v>
          </cell>
          <cell r="C790" t="str">
            <v>Beartic</v>
          </cell>
          <cell r="D790" t="str">
            <v>Standard</v>
          </cell>
          <cell r="E790" t="str">
            <v>ice</v>
          </cell>
          <cell r="G790">
            <v>95</v>
          </cell>
          <cell r="H790">
            <v>130</v>
          </cell>
          <cell r="I790">
            <v>80</v>
          </cell>
          <cell r="J790">
            <v>70</v>
          </cell>
          <cell r="K790">
            <v>80</v>
          </cell>
          <cell r="L790">
            <v>50</v>
          </cell>
          <cell r="M790">
            <v>505</v>
          </cell>
          <cell r="N790" t="str">
            <v>snow-cloak</v>
          </cell>
          <cell r="O790" t="str">
            <v>slush-rush</v>
          </cell>
          <cell r="P790" t="str">
            <v>swift-swim</v>
          </cell>
          <cell r="Q790">
            <v>2.6</v>
          </cell>
          <cell r="R790">
            <v>260</v>
          </cell>
          <cell r="S790" t="str">
            <v>It can make its breath freeze at will. Very able in the water, it swims around in northern seas and catches prey.</v>
          </cell>
          <cell r="T790" t="str">
            <v>https://raw.githubusercontent.com/PokeAPI/sprites/master/sprites/pokemon/other/official-artwork/614.png</v>
          </cell>
          <cell r="U790" t="str">
            <v>https://raw.githubusercontent.com/PokeAPI/sprites/master/sprites/pokemon/other/official-artwork/shiny/614.png</v>
          </cell>
        </row>
        <row r="791">
          <cell r="A791">
            <v>615</v>
          </cell>
          <cell r="C791" t="str">
            <v>Cryogonal</v>
          </cell>
          <cell r="D791" t="str">
            <v>Standard</v>
          </cell>
          <cell r="E791" t="str">
            <v>ice</v>
          </cell>
          <cell r="G791">
            <v>80</v>
          </cell>
          <cell r="H791">
            <v>50</v>
          </cell>
          <cell r="I791">
            <v>50</v>
          </cell>
          <cell r="J791">
            <v>95</v>
          </cell>
          <cell r="K791">
            <v>135</v>
          </cell>
          <cell r="L791">
            <v>105</v>
          </cell>
          <cell r="M791">
            <v>515</v>
          </cell>
          <cell r="N791" t="str">
            <v>levitate</v>
          </cell>
          <cell r="Q791">
            <v>1.1000000000000001</v>
          </cell>
          <cell r="R791">
            <v>148</v>
          </cell>
          <cell r="S791" t="str">
            <v>When its body temperature goes up, it turns into steam and vanishes. When its temperature lowers, it returns to ice.</v>
          </cell>
          <cell r="T791" t="str">
            <v>https://raw.githubusercontent.com/PokeAPI/sprites/master/sprites/pokemon/other/official-artwork/615.png</v>
          </cell>
          <cell r="U791" t="str">
            <v>https://raw.githubusercontent.com/PokeAPI/sprites/master/sprites/pokemon/other/official-artwork/shiny/615.png</v>
          </cell>
        </row>
        <row r="792">
          <cell r="A792">
            <v>616</v>
          </cell>
          <cell r="C792" t="str">
            <v>Shelmet</v>
          </cell>
          <cell r="D792" t="str">
            <v>Standard</v>
          </cell>
          <cell r="E792" t="str">
            <v>bug</v>
          </cell>
          <cell r="G792">
            <v>50</v>
          </cell>
          <cell r="H792">
            <v>40</v>
          </cell>
          <cell r="I792">
            <v>85</v>
          </cell>
          <cell r="J792">
            <v>40</v>
          </cell>
          <cell r="K792">
            <v>65</v>
          </cell>
          <cell r="L792">
            <v>25</v>
          </cell>
          <cell r="M792">
            <v>305</v>
          </cell>
          <cell r="N792" t="str">
            <v>hydration</v>
          </cell>
          <cell r="O792" t="str">
            <v>shell-armor</v>
          </cell>
          <cell r="P792" t="str">
            <v>overcoat</v>
          </cell>
          <cell r="Q792">
            <v>0.4</v>
          </cell>
          <cell r="R792">
            <v>7.7</v>
          </cell>
          <cell r="S792" t="str">
            <v>When attacked, it defends itself by closing the lid of its shell. It can spit a sticky, poisonous liquid.</v>
          </cell>
          <cell r="T792" t="str">
            <v>https://raw.githubusercontent.com/PokeAPI/sprites/master/sprites/pokemon/other/official-artwork/616.png</v>
          </cell>
          <cell r="U792" t="str">
            <v>https://raw.githubusercontent.com/PokeAPI/sprites/master/sprites/pokemon/other/official-artwork/shiny/616.png</v>
          </cell>
        </row>
        <row r="793">
          <cell r="A793">
            <v>617</v>
          </cell>
          <cell r="C793" t="str">
            <v>Accelgor</v>
          </cell>
          <cell r="D793" t="str">
            <v>Standard</v>
          </cell>
          <cell r="E793" t="str">
            <v>bug</v>
          </cell>
          <cell r="G793">
            <v>80</v>
          </cell>
          <cell r="H793">
            <v>70</v>
          </cell>
          <cell r="I793">
            <v>40</v>
          </cell>
          <cell r="J793">
            <v>100</v>
          </cell>
          <cell r="K793">
            <v>60</v>
          </cell>
          <cell r="L793">
            <v>145</v>
          </cell>
          <cell r="M793">
            <v>495</v>
          </cell>
          <cell r="N793" t="str">
            <v>hydration</v>
          </cell>
          <cell r="O793" t="str">
            <v>sticky-hold</v>
          </cell>
          <cell r="P793" t="str">
            <v>unburden</v>
          </cell>
          <cell r="Q793">
            <v>0.8</v>
          </cell>
          <cell r="R793">
            <v>25.3</v>
          </cell>
          <cell r="S793" t="str">
            <v>When its body dries out, it weakens. So, to prevent dehydration, it wraps itself in many layers of thin membrane.</v>
          </cell>
          <cell r="T793" t="str">
            <v>https://raw.githubusercontent.com/PokeAPI/sprites/master/sprites/pokemon/other/official-artwork/617.png</v>
          </cell>
          <cell r="U793" t="str">
            <v>https://raw.githubusercontent.com/PokeAPI/sprites/master/sprites/pokemon/other/official-artwork/shiny/617.png</v>
          </cell>
        </row>
        <row r="794">
          <cell r="A794">
            <v>618</v>
          </cell>
          <cell r="C794" t="str">
            <v>Stunfisk</v>
          </cell>
          <cell r="D794" t="str">
            <v>Standard</v>
          </cell>
          <cell r="E794" t="str">
            <v>ground</v>
          </cell>
          <cell r="F794" t="str">
            <v>electric</v>
          </cell>
          <cell r="G794">
            <v>109</v>
          </cell>
          <cell r="H794">
            <v>66</v>
          </cell>
          <cell r="I794">
            <v>84</v>
          </cell>
          <cell r="J794">
            <v>81</v>
          </cell>
          <cell r="K794">
            <v>99</v>
          </cell>
          <cell r="L794">
            <v>32</v>
          </cell>
          <cell r="M794">
            <v>471</v>
          </cell>
          <cell r="N794" t="str">
            <v>static</v>
          </cell>
          <cell r="O794" t="str">
            <v>limber</v>
          </cell>
          <cell r="P794" t="str">
            <v>sand-veil</v>
          </cell>
          <cell r="Q794">
            <v>0.7</v>
          </cell>
          <cell r="R794">
            <v>11</v>
          </cell>
          <cell r="S794" t="str">
            <v>Its skin is very hard, so it is unhurt even if stepped on by sumo wrestlers. It smiles when transmitting electricity.</v>
          </cell>
          <cell r="T794" t="str">
            <v>https://raw.githubusercontent.com/PokeAPI/sprites/master/sprites/pokemon/other/official-artwork/618.png</v>
          </cell>
          <cell r="U794" t="str">
            <v>https://raw.githubusercontent.com/PokeAPI/sprites/master/sprites/pokemon/other/official-artwork/shiny/618.png</v>
          </cell>
        </row>
        <row r="795">
          <cell r="A795">
            <v>618</v>
          </cell>
          <cell r="C795" t="str">
            <v>Stunfisk Galar</v>
          </cell>
          <cell r="D795" t="str">
            <v>Regional</v>
          </cell>
          <cell r="E795" t="str">
            <v>ground</v>
          </cell>
          <cell r="F795" t="str">
            <v>steel</v>
          </cell>
          <cell r="G795">
            <v>109</v>
          </cell>
          <cell r="H795">
            <v>81</v>
          </cell>
          <cell r="I795">
            <v>99</v>
          </cell>
          <cell r="J795">
            <v>66</v>
          </cell>
          <cell r="K795">
            <v>84</v>
          </cell>
          <cell r="L795">
            <v>32</v>
          </cell>
          <cell r="M795">
            <v>471</v>
          </cell>
          <cell r="N795" t="str">
            <v>mimicry</v>
          </cell>
          <cell r="Q795">
            <v>0.7</v>
          </cell>
          <cell r="R795">
            <v>20.5</v>
          </cell>
          <cell r="S795" t="str">
            <v>Its skin is very hard, so it is unhurt even if stepped on by sumo wrestlers. It smiles when transmitting electricity.</v>
          </cell>
          <cell r="T795" t="str">
            <v>https://raw.githubusercontent.com/PokeAPI/sprites/master/sprites/pokemon/other/official-artwork/10180.png</v>
          </cell>
          <cell r="U795" t="str">
            <v>https://raw.githubusercontent.com/PokeAPI/sprites/master/sprites/pokemon/other/official-artwork/shiny/10180.png</v>
          </cell>
        </row>
        <row r="796">
          <cell r="A796">
            <v>619</v>
          </cell>
          <cell r="C796" t="str">
            <v>Mienfoo</v>
          </cell>
          <cell r="D796" t="str">
            <v>Standard</v>
          </cell>
          <cell r="E796" t="str">
            <v>fighting</v>
          </cell>
          <cell r="G796">
            <v>45</v>
          </cell>
          <cell r="H796">
            <v>85</v>
          </cell>
          <cell r="I796">
            <v>50</v>
          </cell>
          <cell r="J796">
            <v>55</v>
          </cell>
          <cell r="K796">
            <v>50</v>
          </cell>
          <cell r="L796">
            <v>65</v>
          </cell>
          <cell r="M796">
            <v>350</v>
          </cell>
          <cell r="N796" t="str">
            <v>inner-focus</v>
          </cell>
          <cell r="O796" t="str">
            <v>regenerator</v>
          </cell>
          <cell r="P796" t="str">
            <v>reckless</v>
          </cell>
          <cell r="Q796">
            <v>0.9</v>
          </cell>
          <cell r="R796">
            <v>20</v>
          </cell>
          <cell r="S796" t="str">
            <v>In fights, they dominate with onslaughts of flowing, continuous attacks. With their sharp claws, they cut enemies.</v>
          </cell>
          <cell r="T796" t="str">
            <v>https://raw.githubusercontent.com/PokeAPI/sprites/master/sprites/pokemon/other/official-artwork/619.png</v>
          </cell>
          <cell r="U796" t="str">
            <v>https://raw.githubusercontent.com/PokeAPI/sprites/master/sprites/pokemon/other/official-artwork/shiny/619.png</v>
          </cell>
        </row>
        <row r="797">
          <cell r="A797">
            <v>620</v>
          </cell>
          <cell r="C797" t="str">
            <v>Mienshao</v>
          </cell>
          <cell r="D797" t="str">
            <v>Standard</v>
          </cell>
          <cell r="E797" t="str">
            <v>fighting</v>
          </cell>
          <cell r="G797">
            <v>65</v>
          </cell>
          <cell r="H797">
            <v>125</v>
          </cell>
          <cell r="I797">
            <v>60</v>
          </cell>
          <cell r="J797">
            <v>95</v>
          </cell>
          <cell r="K797">
            <v>60</v>
          </cell>
          <cell r="L797">
            <v>105</v>
          </cell>
          <cell r="M797">
            <v>510</v>
          </cell>
          <cell r="N797" t="str">
            <v>inner-focus</v>
          </cell>
          <cell r="O797" t="str">
            <v>regenerator</v>
          </cell>
          <cell r="P797" t="str">
            <v>reckless</v>
          </cell>
          <cell r="Q797">
            <v>1.4</v>
          </cell>
          <cell r="R797">
            <v>35.5</v>
          </cell>
          <cell r="S797" t="str">
            <v>It wields the fur on its arms like a whip. Its arm attacks come with such rapidity that they cannot even be seen.</v>
          </cell>
          <cell r="T797" t="str">
            <v>https://raw.githubusercontent.com/PokeAPI/sprites/master/sprites/pokemon/other/official-artwork/620.png</v>
          </cell>
          <cell r="U797" t="str">
            <v>https://raw.githubusercontent.com/PokeAPI/sprites/master/sprites/pokemon/other/official-artwork/shiny/620.png</v>
          </cell>
        </row>
        <row r="798">
          <cell r="A798">
            <v>621</v>
          </cell>
          <cell r="C798" t="str">
            <v>Druddigon</v>
          </cell>
          <cell r="D798" t="str">
            <v>Standard</v>
          </cell>
          <cell r="E798" t="str">
            <v>dragon</v>
          </cell>
          <cell r="G798">
            <v>77</v>
          </cell>
          <cell r="H798">
            <v>120</v>
          </cell>
          <cell r="I798">
            <v>90</v>
          </cell>
          <cell r="J798">
            <v>60</v>
          </cell>
          <cell r="K798">
            <v>90</v>
          </cell>
          <cell r="L798">
            <v>48</v>
          </cell>
          <cell r="M798">
            <v>485</v>
          </cell>
          <cell r="N798" t="str">
            <v>rough-skin</v>
          </cell>
          <cell r="O798" t="str">
            <v>sheer-force</v>
          </cell>
          <cell r="P798" t="str">
            <v>mold-breaker</v>
          </cell>
          <cell r="Q798">
            <v>1.6</v>
          </cell>
          <cell r="R798">
            <v>139</v>
          </cell>
          <cell r="S798" t="str">
            <v>It warms its body by absorbing sunlight with its wings. When its body temperature falls, it can no longer move.</v>
          </cell>
          <cell r="T798" t="str">
            <v>https://raw.githubusercontent.com/PokeAPI/sprites/master/sprites/pokemon/other/official-artwork/621.png</v>
          </cell>
          <cell r="U798" t="str">
            <v>https://raw.githubusercontent.com/PokeAPI/sprites/master/sprites/pokemon/other/official-artwork/shiny/621.png</v>
          </cell>
        </row>
        <row r="799">
          <cell r="A799">
            <v>622</v>
          </cell>
          <cell r="C799" t="str">
            <v>Golett</v>
          </cell>
          <cell r="D799" t="str">
            <v>Standard</v>
          </cell>
          <cell r="E799" t="str">
            <v>ground</v>
          </cell>
          <cell r="F799" t="str">
            <v>ghost</v>
          </cell>
          <cell r="G799">
            <v>59</v>
          </cell>
          <cell r="H799">
            <v>74</v>
          </cell>
          <cell r="I799">
            <v>50</v>
          </cell>
          <cell r="J799">
            <v>35</v>
          </cell>
          <cell r="K799">
            <v>50</v>
          </cell>
          <cell r="L799">
            <v>35</v>
          </cell>
          <cell r="M799">
            <v>303</v>
          </cell>
          <cell r="N799" t="str">
            <v>iron-fist</v>
          </cell>
          <cell r="O799" t="str">
            <v>klutz</v>
          </cell>
          <cell r="P799" t="str">
            <v>no-guard</v>
          </cell>
          <cell r="Q799">
            <v>1</v>
          </cell>
          <cell r="R799">
            <v>92</v>
          </cell>
          <cell r="S799" t="str">
            <v>The energy that burns inside it enables it to move, but no one has yet been able to identify this energy.</v>
          </cell>
          <cell r="T799" t="str">
            <v>https://raw.githubusercontent.com/PokeAPI/sprites/master/sprites/pokemon/other/official-artwork/622.png</v>
          </cell>
          <cell r="U799" t="str">
            <v>https://raw.githubusercontent.com/PokeAPI/sprites/master/sprites/pokemon/other/official-artwork/shiny/622.png</v>
          </cell>
        </row>
        <row r="800">
          <cell r="A800">
            <v>623</v>
          </cell>
          <cell r="C800" t="str">
            <v>Golurk</v>
          </cell>
          <cell r="D800" t="str">
            <v>Standard</v>
          </cell>
          <cell r="E800" t="str">
            <v>ground</v>
          </cell>
          <cell r="F800" t="str">
            <v>ghost</v>
          </cell>
          <cell r="G800">
            <v>89</v>
          </cell>
          <cell r="H800">
            <v>124</v>
          </cell>
          <cell r="I800">
            <v>80</v>
          </cell>
          <cell r="J800">
            <v>55</v>
          </cell>
          <cell r="K800">
            <v>80</v>
          </cell>
          <cell r="L800">
            <v>55</v>
          </cell>
          <cell r="M800">
            <v>483</v>
          </cell>
          <cell r="N800" t="str">
            <v>iron-fist</v>
          </cell>
          <cell r="O800" t="str">
            <v>klutz</v>
          </cell>
          <cell r="P800" t="str">
            <v>no-guard</v>
          </cell>
          <cell r="Q800">
            <v>2.8</v>
          </cell>
          <cell r="R800">
            <v>330</v>
          </cell>
          <cell r="S800" t="str">
            <v>It flies across the sky at Mach speeds. Removing the seal on its chest makes its internal energy go out of control.</v>
          </cell>
          <cell r="T800" t="str">
            <v>https://raw.githubusercontent.com/PokeAPI/sprites/master/sprites/pokemon/other/official-artwork/623.png</v>
          </cell>
          <cell r="U800" t="str">
            <v>https://raw.githubusercontent.com/PokeAPI/sprites/master/sprites/pokemon/other/official-artwork/shiny/623.png</v>
          </cell>
        </row>
        <row r="801">
          <cell r="A801">
            <v>623</v>
          </cell>
          <cell r="C801" t="str">
            <v>Golurk Mega</v>
          </cell>
          <cell r="D801" t="str">
            <v>Mega</v>
          </cell>
          <cell r="E801" t="str">
            <v>ground</v>
          </cell>
          <cell r="F801" t="str">
            <v>ghost</v>
          </cell>
          <cell r="G801">
            <v>89</v>
          </cell>
          <cell r="H801">
            <v>159</v>
          </cell>
          <cell r="I801">
            <v>105</v>
          </cell>
          <cell r="J801">
            <v>70</v>
          </cell>
          <cell r="K801">
            <v>105</v>
          </cell>
          <cell r="L801">
            <v>55</v>
          </cell>
          <cell r="M801">
            <v>583</v>
          </cell>
          <cell r="Q801">
            <v>4</v>
          </cell>
          <cell r="R801">
            <v>330</v>
          </cell>
          <cell r="S801" t="str">
            <v>It flies across the sky at Mach speeds. Removing the seal on its chest makes its internal energy go out of control.</v>
          </cell>
        </row>
        <row r="802">
          <cell r="A802">
            <v>624</v>
          </cell>
          <cell r="C802" t="str">
            <v>Pawniard</v>
          </cell>
          <cell r="D802" t="str">
            <v>Standard</v>
          </cell>
          <cell r="E802" t="str">
            <v>dark</v>
          </cell>
          <cell r="F802" t="str">
            <v>steel</v>
          </cell>
          <cell r="G802">
            <v>45</v>
          </cell>
          <cell r="H802">
            <v>85</v>
          </cell>
          <cell r="I802">
            <v>70</v>
          </cell>
          <cell r="J802">
            <v>40</v>
          </cell>
          <cell r="K802">
            <v>40</v>
          </cell>
          <cell r="L802">
            <v>60</v>
          </cell>
          <cell r="M802">
            <v>340</v>
          </cell>
          <cell r="N802" t="str">
            <v>defiant</v>
          </cell>
          <cell r="O802" t="str">
            <v>inner-focus</v>
          </cell>
          <cell r="P802" t="str">
            <v>pressure</v>
          </cell>
          <cell r="Q802">
            <v>0.5</v>
          </cell>
          <cell r="R802">
            <v>10.199999999999999</v>
          </cell>
          <cell r="S802" t="str">
            <v>Blades comprise this Pokémon’s entire body. If battling dulls the blades, it sharpens them on stones by the river.</v>
          </cell>
          <cell r="T802" t="str">
            <v>https://raw.githubusercontent.com/PokeAPI/sprites/master/sprites/pokemon/other/official-artwork/624.png</v>
          </cell>
          <cell r="U802" t="str">
            <v>https://raw.githubusercontent.com/PokeAPI/sprites/master/sprites/pokemon/other/official-artwork/shiny/624.png</v>
          </cell>
        </row>
        <row r="803">
          <cell r="A803">
            <v>625</v>
          </cell>
          <cell r="C803" t="str">
            <v>Bisharp</v>
          </cell>
          <cell r="D803" t="str">
            <v>Standard</v>
          </cell>
          <cell r="E803" t="str">
            <v>dark</v>
          </cell>
          <cell r="F803" t="str">
            <v>steel</v>
          </cell>
          <cell r="G803">
            <v>65</v>
          </cell>
          <cell r="H803">
            <v>125</v>
          </cell>
          <cell r="I803">
            <v>100</v>
          </cell>
          <cell r="J803">
            <v>60</v>
          </cell>
          <cell r="K803">
            <v>70</v>
          </cell>
          <cell r="L803">
            <v>70</v>
          </cell>
          <cell r="M803">
            <v>490</v>
          </cell>
          <cell r="N803" t="str">
            <v>defiant</v>
          </cell>
          <cell r="O803" t="str">
            <v>inner-focus</v>
          </cell>
          <cell r="P803" t="str">
            <v>pressure</v>
          </cell>
          <cell r="Q803">
            <v>1.6</v>
          </cell>
          <cell r="R803">
            <v>70</v>
          </cell>
          <cell r="S803" t="str">
            <v>It leads a group of Pawniard. It battles to become the boss, but will be driven from the group if it loses.</v>
          </cell>
          <cell r="T803" t="str">
            <v>https://raw.githubusercontent.com/PokeAPI/sprites/master/sprites/pokemon/other/official-artwork/625.png</v>
          </cell>
          <cell r="U803" t="str">
            <v>https://raw.githubusercontent.com/PokeAPI/sprites/master/sprites/pokemon/other/official-artwork/shiny/625.png</v>
          </cell>
        </row>
        <row r="804">
          <cell r="A804">
            <v>626</v>
          </cell>
          <cell r="C804" t="str">
            <v>Bouffalant</v>
          </cell>
          <cell r="D804" t="str">
            <v>Standard</v>
          </cell>
          <cell r="E804" t="str">
            <v>normal</v>
          </cell>
          <cell r="G804">
            <v>95</v>
          </cell>
          <cell r="H804">
            <v>110</v>
          </cell>
          <cell r="I804">
            <v>95</v>
          </cell>
          <cell r="J804">
            <v>40</v>
          </cell>
          <cell r="K804">
            <v>95</v>
          </cell>
          <cell r="L804">
            <v>55</v>
          </cell>
          <cell r="M804">
            <v>490</v>
          </cell>
          <cell r="N804" t="str">
            <v>reckless</v>
          </cell>
          <cell r="O804" t="str">
            <v>sap-sipper</v>
          </cell>
          <cell r="P804" t="str">
            <v>soundproof</v>
          </cell>
          <cell r="Q804">
            <v>1.6</v>
          </cell>
          <cell r="R804">
            <v>94.6</v>
          </cell>
          <cell r="S804" t="str">
            <v>Their fluffy fur absorbs damage, even if they strike foes with a fierce headbutt.</v>
          </cell>
          <cell r="T804" t="str">
            <v>https://raw.githubusercontent.com/PokeAPI/sprites/master/sprites/pokemon/other/official-artwork/626.png</v>
          </cell>
          <cell r="U804" t="str">
            <v>https://raw.githubusercontent.com/PokeAPI/sprites/master/sprites/pokemon/other/official-artwork/shiny/626.png</v>
          </cell>
        </row>
        <row r="805">
          <cell r="A805">
            <v>627</v>
          </cell>
          <cell r="C805" t="str">
            <v>Rufflet</v>
          </cell>
          <cell r="D805" t="str">
            <v>Standard</v>
          </cell>
          <cell r="E805" t="str">
            <v>normal</v>
          </cell>
          <cell r="F805" t="str">
            <v>flying</v>
          </cell>
          <cell r="G805">
            <v>70</v>
          </cell>
          <cell r="H805">
            <v>83</v>
          </cell>
          <cell r="I805">
            <v>50</v>
          </cell>
          <cell r="J805">
            <v>37</v>
          </cell>
          <cell r="K805">
            <v>50</v>
          </cell>
          <cell r="L805">
            <v>60</v>
          </cell>
          <cell r="M805">
            <v>350</v>
          </cell>
          <cell r="N805" t="str">
            <v>keen-eye</v>
          </cell>
          <cell r="O805" t="str">
            <v>sheer-force</v>
          </cell>
          <cell r="P805" t="str">
            <v>hustle</v>
          </cell>
          <cell r="Q805">
            <v>0.5</v>
          </cell>
          <cell r="R805">
            <v>10.5</v>
          </cell>
          <cell r="S805" t="str">
            <v>They crush berries with their talons. They bravely stand up to any opponent, no matter how strong it is.</v>
          </cell>
          <cell r="T805" t="str">
            <v>https://raw.githubusercontent.com/PokeAPI/sprites/master/sprites/pokemon/other/official-artwork/627.png</v>
          </cell>
          <cell r="U805" t="str">
            <v>https://raw.githubusercontent.com/PokeAPI/sprites/master/sprites/pokemon/other/official-artwork/shiny/627.png</v>
          </cell>
        </row>
        <row r="806">
          <cell r="A806">
            <v>628</v>
          </cell>
          <cell r="C806" t="str">
            <v>Braviary</v>
          </cell>
          <cell r="D806" t="str">
            <v>Standard</v>
          </cell>
          <cell r="E806" t="str">
            <v>normal</v>
          </cell>
          <cell r="F806" t="str">
            <v>flying</v>
          </cell>
          <cell r="G806">
            <v>100</v>
          </cell>
          <cell r="H806">
            <v>123</v>
          </cell>
          <cell r="I806">
            <v>75</v>
          </cell>
          <cell r="J806">
            <v>57</v>
          </cell>
          <cell r="K806">
            <v>75</v>
          </cell>
          <cell r="L806">
            <v>80</v>
          </cell>
          <cell r="M806">
            <v>510</v>
          </cell>
          <cell r="N806" t="str">
            <v>keen-eye</v>
          </cell>
          <cell r="O806" t="str">
            <v>sheer-force</v>
          </cell>
          <cell r="P806" t="str">
            <v>defiant</v>
          </cell>
          <cell r="Q806">
            <v>1.5</v>
          </cell>
          <cell r="R806">
            <v>41</v>
          </cell>
          <cell r="S806" t="str">
            <v>They fight for their friends without any thought about danger to themselves. One can carry a car while flying.</v>
          </cell>
          <cell r="T806" t="str">
            <v>https://raw.githubusercontent.com/PokeAPI/sprites/master/sprites/pokemon/other/official-artwork/628.png</v>
          </cell>
          <cell r="U806" t="str">
            <v>https://raw.githubusercontent.com/PokeAPI/sprites/master/sprites/pokemon/other/official-artwork/shiny/628.png</v>
          </cell>
        </row>
        <row r="807">
          <cell r="A807">
            <v>628</v>
          </cell>
          <cell r="C807" t="str">
            <v>Braviary Hisui</v>
          </cell>
          <cell r="D807" t="str">
            <v>Regional</v>
          </cell>
          <cell r="E807" t="str">
            <v>psychic</v>
          </cell>
          <cell r="F807" t="str">
            <v>flying</v>
          </cell>
          <cell r="G807">
            <v>110</v>
          </cell>
          <cell r="H807">
            <v>83</v>
          </cell>
          <cell r="I807">
            <v>70</v>
          </cell>
          <cell r="J807">
            <v>112</v>
          </cell>
          <cell r="K807">
            <v>70</v>
          </cell>
          <cell r="L807">
            <v>65</v>
          </cell>
          <cell r="M807">
            <v>510</v>
          </cell>
          <cell r="N807" t="str">
            <v>keen-eye</v>
          </cell>
          <cell r="O807" t="str">
            <v>sheer-force</v>
          </cell>
          <cell r="P807" t="str">
            <v>tinted-lens</v>
          </cell>
          <cell r="Q807">
            <v>1.7</v>
          </cell>
          <cell r="R807">
            <v>43.4</v>
          </cell>
          <cell r="S807" t="str">
            <v>They fight for their friends without any thought about danger to themselves. One can carry a car while flying.</v>
          </cell>
          <cell r="T807" t="str">
            <v>https://raw.githubusercontent.com/PokeAPI/sprites/master/sprites/pokemon/other/official-artwork/10240.png</v>
          </cell>
          <cell r="U807" t="str">
            <v>https://raw.githubusercontent.com/PokeAPI/sprites/master/sprites/pokemon/other/official-artwork/shiny/10240.png</v>
          </cell>
        </row>
        <row r="808">
          <cell r="A808">
            <v>629</v>
          </cell>
          <cell r="C808" t="str">
            <v>Vullaby</v>
          </cell>
          <cell r="D808" t="str">
            <v>Standard</v>
          </cell>
          <cell r="E808" t="str">
            <v>dark</v>
          </cell>
          <cell r="F808" t="str">
            <v>flying</v>
          </cell>
          <cell r="G808">
            <v>70</v>
          </cell>
          <cell r="H808">
            <v>55</v>
          </cell>
          <cell r="I808">
            <v>75</v>
          </cell>
          <cell r="J808">
            <v>45</v>
          </cell>
          <cell r="K808">
            <v>65</v>
          </cell>
          <cell r="L808">
            <v>60</v>
          </cell>
          <cell r="M808">
            <v>370</v>
          </cell>
          <cell r="N808" t="str">
            <v>big-pecks</v>
          </cell>
          <cell r="O808" t="str">
            <v>overcoat</v>
          </cell>
          <cell r="P808" t="str">
            <v>weak-armor</v>
          </cell>
          <cell r="Q808">
            <v>0.5</v>
          </cell>
          <cell r="R808">
            <v>9</v>
          </cell>
          <cell r="S808" t="str">
            <v>Their wings are too tiny to allow them to fly. They guard their posteriors with bones that were gathered by Mandibuzz.</v>
          </cell>
          <cell r="T808" t="str">
            <v>https://raw.githubusercontent.com/PokeAPI/sprites/master/sprites/pokemon/other/official-artwork/629.png</v>
          </cell>
          <cell r="U808" t="str">
            <v>https://raw.githubusercontent.com/PokeAPI/sprites/master/sprites/pokemon/other/official-artwork/shiny/629.png</v>
          </cell>
        </row>
        <row r="809">
          <cell r="A809">
            <v>630</v>
          </cell>
          <cell r="C809" t="str">
            <v>Mandibuzz</v>
          </cell>
          <cell r="D809" t="str">
            <v>Standard</v>
          </cell>
          <cell r="E809" t="str">
            <v>dark</v>
          </cell>
          <cell r="F809" t="str">
            <v>flying</v>
          </cell>
          <cell r="G809">
            <v>110</v>
          </cell>
          <cell r="H809">
            <v>65</v>
          </cell>
          <cell r="I809">
            <v>105</v>
          </cell>
          <cell r="J809">
            <v>55</v>
          </cell>
          <cell r="K809">
            <v>95</v>
          </cell>
          <cell r="L809">
            <v>80</v>
          </cell>
          <cell r="M809">
            <v>510</v>
          </cell>
          <cell r="N809" t="str">
            <v>big-pecks</v>
          </cell>
          <cell r="O809" t="str">
            <v>overcoat</v>
          </cell>
          <cell r="P809" t="str">
            <v>weak-armor</v>
          </cell>
          <cell r="Q809">
            <v>1.2</v>
          </cell>
          <cell r="R809">
            <v>39.5</v>
          </cell>
          <cell r="S809" t="str">
            <v>It makes a nest out of bones it finds. It grabs weakened prey in its talons and hauls it to its nest of bones.</v>
          </cell>
          <cell r="T809" t="str">
            <v>https://raw.githubusercontent.com/PokeAPI/sprites/master/sprites/pokemon/other/official-artwork/630.png</v>
          </cell>
          <cell r="U809" t="str">
            <v>https://raw.githubusercontent.com/PokeAPI/sprites/master/sprites/pokemon/other/official-artwork/shiny/630.png</v>
          </cell>
        </row>
        <row r="810">
          <cell r="A810">
            <v>631</v>
          </cell>
          <cell r="C810" t="str">
            <v>Heatmor</v>
          </cell>
          <cell r="D810" t="str">
            <v>Standard</v>
          </cell>
          <cell r="E810" t="str">
            <v>fire</v>
          </cell>
          <cell r="G810">
            <v>85</v>
          </cell>
          <cell r="H810">
            <v>97</v>
          </cell>
          <cell r="I810">
            <v>66</v>
          </cell>
          <cell r="J810">
            <v>105</v>
          </cell>
          <cell r="K810">
            <v>66</v>
          </cell>
          <cell r="L810">
            <v>65</v>
          </cell>
          <cell r="M810">
            <v>484</v>
          </cell>
          <cell r="N810" t="str">
            <v>gluttony</v>
          </cell>
          <cell r="O810" t="str">
            <v>flash-fire</v>
          </cell>
          <cell r="P810" t="str">
            <v>white-smoke</v>
          </cell>
          <cell r="Q810">
            <v>1.4</v>
          </cell>
          <cell r="R810">
            <v>58</v>
          </cell>
          <cell r="S810" t="str">
            <v>It breathes through a hole in its tail while it burns with an internal fire. Durant is its prey.</v>
          </cell>
          <cell r="T810" t="str">
            <v>https://raw.githubusercontent.com/PokeAPI/sprites/master/sprites/pokemon/other/official-artwork/631.png</v>
          </cell>
          <cell r="U810" t="str">
            <v>https://raw.githubusercontent.com/PokeAPI/sprites/master/sprites/pokemon/other/official-artwork/shiny/631.png</v>
          </cell>
        </row>
        <row r="811">
          <cell r="A811">
            <v>632</v>
          </cell>
          <cell r="C811" t="str">
            <v>Durant</v>
          </cell>
          <cell r="D811" t="str">
            <v>Standard</v>
          </cell>
          <cell r="E811" t="str">
            <v>bug</v>
          </cell>
          <cell r="F811" t="str">
            <v>steel</v>
          </cell>
          <cell r="G811">
            <v>58</v>
          </cell>
          <cell r="H811">
            <v>109</v>
          </cell>
          <cell r="I811">
            <v>112</v>
          </cell>
          <cell r="J811">
            <v>48</v>
          </cell>
          <cell r="K811">
            <v>48</v>
          </cell>
          <cell r="L811">
            <v>109</v>
          </cell>
          <cell r="M811">
            <v>484</v>
          </cell>
          <cell r="N811" t="str">
            <v>swarm</v>
          </cell>
          <cell r="O811" t="str">
            <v>hustle</v>
          </cell>
          <cell r="P811" t="str">
            <v>truant</v>
          </cell>
          <cell r="Q811">
            <v>0.3</v>
          </cell>
          <cell r="R811">
            <v>33</v>
          </cell>
          <cell r="S811" t="str">
            <v>They attack in groups, covering themselves in steel armor to protect themselves from Heatmor.</v>
          </cell>
          <cell r="T811" t="str">
            <v>https://raw.githubusercontent.com/PokeAPI/sprites/master/sprites/pokemon/other/official-artwork/632.png</v>
          </cell>
          <cell r="U811" t="str">
            <v>https://raw.githubusercontent.com/PokeAPI/sprites/master/sprites/pokemon/other/official-artwork/shiny/632.png</v>
          </cell>
        </row>
        <row r="812">
          <cell r="A812">
            <v>633</v>
          </cell>
          <cell r="C812" t="str">
            <v>Deino</v>
          </cell>
          <cell r="D812" t="str">
            <v>Standard</v>
          </cell>
          <cell r="E812" t="str">
            <v>dark</v>
          </cell>
          <cell r="F812" t="str">
            <v>dragon</v>
          </cell>
          <cell r="G812">
            <v>52</v>
          </cell>
          <cell r="H812">
            <v>65</v>
          </cell>
          <cell r="I812">
            <v>50</v>
          </cell>
          <cell r="J812">
            <v>45</v>
          </cell>
          <cell r="K812">
            <v>50</v>
          </cell>
          <cell r="L812">
            <v>38</v>
          </cell>
          <cell r="M812">
            <v>300</v>
          </cell>
          <cell r="N812" t="str">
            <v>hustle</v>
          </cell>
          <cell r="Q812">
            <v>0.8</v>
          </cell>
          <cell r="R812">
            <v>17.3</v>
          </cell>
          <cell r="S812" t="str">
            <v>It tends to bite everything, and it is not a picky eater. Approaching it carelessly is dangerous.</v>
          </cell>
          <cell r="T812" t="str">
            <v>https://raw.githubusercontent.com/PokeAPI/sprites/master/sprites/pokemon/other/official-artwork/633.png</v>
          </cell>
          <cell r="U812" t="str">
            <v>https://raw.githubusercontent.com/PokeAPI/sprites/master/sprites/pokemon/other/official-artwork/shiny/633.png</v>
          </cell>
        </row>
        <row r="813">
          <cell r="A813">
            <v>634</v>
          </cell>
          <cell r="C813" t="str">
            <v>Zweilous</v>
          </cell>
          <cell r="D813" t="str">
            <v>Standard</v>
          </cell>
          <cell r="E813" t="str">
            <v>dark</v>
          </cell>
          <cell r="F813" t="str">
            <v>dragon</v>
          </cell>
          <cell r="G813">
            <v>72</v>
          </cell>
          <cell r="H813">
            <v>85</v>
          </cell>
          <cell r="I813">
            <v>70</v>
          </cell>
          <cell r="J813">
            <v>65</v>
          </cell>
          <cell r="K813">
            <v>70</v>
          </cell>
          <cell r="L813">
            <v>58</v>
          </cell>
          <cell r="M813">
            <v>420</v>
          </cell>
          <cell r="N813" t="str">
            <v>hustle</v>
          </cell>
          <cell r="Q813">
            <v>1.4</v>
          </cell>
          <cell r="R813">
            <v>50</v>
          </cell>
          <cell r="S813" t="str">
            <v>After it has eaten up all the food in its territory, it moves to another area. Its two heads do not get along.</v>
          </cell>
          <cell r="T813" t="str">
            <v>https://raw.githubusercontent.com/PokeAPI/sprites/master/sprites/pokemon/other/official-artwork/634.png</v>
          </cell>
          <cell r="U813" t="str">
            <v>https://raw.githubusercontent.com/PokeAPI/sprites/master/sprites/pokemon/other/official-artwork/shiny/634.png</v>
          </cell>
        </row>
        <row r="814">
          <cell r="A814">
            <v>635</v>
          </cell>
          <cell r="C814" t="str">
            <v>Hydreigon</v>
          </cell>
          <cell r="D814" t="str">
            <v>Standard</v>
          </cell>
          <cell r="E814" t="str">
            <v>dark</v>
          </cell>
          <cell r="F814" t="str">
            <v>dragon</v>
          </cell>
          <cell r="G814">
            <v>92</v>
          </cell>
          <cell r="H814">
            <v>105</v>
          </cell>
          <cell r="I814">
            <v>90</v>
          </cell>
          <cell r="J814">
            <v>125</v>
          </cell>
          <cell r="K814">
            <v>90</v>
          </cell>
          <cell r="L814">
            <v>98</v>
          </cell>
          <cell r="M814">
            <v>600</v>
          </cell>
          <cell r="N814" t="str">
            <v>levitate</v>
          </cell>
          <cell r="Q814">
            <v>1.8</v>
          </cell>
          <cell r="R814">
            <v>160</v>
          </cell>
          <cell r="S814" t="str">
            <v>This brutal Pokémon travels the skies on its six wings. Anything that moves seems like a foe to it, triggering its attack.</v>
          </cell>
          <cell r="T814" t="str">
            <v>https://raw.githubusercontent.com/PokeAPI/sprites/master/sprites/pokemon/other/official-artwork/635.png</v>
          </cell>
          <cell r="U814" t="str">
            <v>https://raw.githubusercontent.com/PokeAPI/sprites/master/sprites/pokemon/other/official-artwork/shiny/635.png</v>
          </cell>
        </row>
        <row r="815">
          <cell r="A815">
            <v>636</v>
          </cell>
          <cell r="C815" t="str">
            <v>Larvesta</v>
          </cell>
          <cell r="D815" t="str">
            <v>Standard</v>
          </cell>
          <cell r="E815" t="str">
            <v>bug</v>
          </cell>
          <cell r="F815" t="str">
            <v>fire</v>
          </cell>
          <cell r="G815">
            <v>55</v>
          </cell>
          <cell r="H815">
            <v>85</v>
          </cell>
          <cell r="I815">
            <v>55</v>
          </cell>
          <cell r="J815">
            <v>50</v>
          </cell>
          <cell r="K815">
            <v>55</v>
          </cell>
          <cell r="L815">
            <v>60</v>
          </cell>
          <cell r="M815">
            <v>360</v>
          </cell>
          <cell r="N815" t="str">
            <v>flame-body</v>
          </cell>
          <cell r="P815" t="str">
            <v>swarm</v>
          </cell>
          <cell r="Q815">
            <v>1.1000000000000001</v>
          </cell>
          <cell r="R815">
            <v>28.8</v>
          </cell>
          <cell r="S815" t="str">
            <v>This Pokémon was believed to have been born from the sun. When it evolves, its entire body is engulfed in flames.</v>
          </cell>
          <cell r="T815" t="str">
            <v>https://raw.githubusercontent.com/PokeAPI/sprites/master/sprites/pokemon/other/official-artwork/636.png</v>
          </cell>
          <cell r="U815" t="str">
            <v>https://raw.githubusercontent.com/PokeAPI/sprites/master/sprites/pokemon/other/official-artwork/shiny/636.png</v>
          </cell>
        </row>
        <row r="816">
          <cell r="A816">
            <v>637</v>
          </cell>
          <cell r="C816" t="str">
            <v>Volcarona</v>
          </cell>
          <cell r="D816" t="str">
            <v>Standard</v>
          </cell>
          <cell r="E816" t="str">
            <v>bug</v>
          </cell>
          <cell r="F816" t="str">
            <v>fire</v>
          </cell>
          <cell r="G816">
            <v>85</v>
          </cell>
          <cell r="H816">
            <v>60</v>
          </cell>
          <cell r="I816">
            <v>65</v>
          </cell>
          <cell r="J816">
            <v>135</v>
          </cell>
          <cell r="K816">
            <v>105</v>
          </cell>
          <cell r="L816">
            <v>100</v>
          </cell>
          <cell r="M816">
            <v>550</v>
          </cell>
          <cell r="N816" t="str">
            <v>flame-body</v>
          </cell>
          <cell r="P816" t="str">
            <v>swarm</v>
          </cell>
          <cell r="Q816">
            <v>1.6</v>
          </cell>
          <cell r="R816">
            <v>46</v>
          </cell>
          <cell r="S816" t="str">
            <v>When volcanic ash darkened the atmosphere, it is said that Volcarona’s fire provided a replacement for the sun.</v>
          </cell>
          <cell r="T816" t="str">
            <v>https://raw.githubusercontent.com/PokeAPI/sprites/master/sprites/pokemon/other/official-artwork/637.png</v>
          </cell>
          <cell r="U816" t="str">
            <v>https://raw.githubusercontent.com/PokeAPI/sprites/master/sprites/pokemon/other/official-artwork/shiny/637.png</v>
          </cell>
        </row>
        <row r="817">
          <cell r="A817">
            <v>638</v>
          </cell>
          <cell r="C817" t="str">
            <v>Cobalion</v>
          </cell>
          <cell r="D817" t="str">
            <v>Standard</v>
          </cell>
          <cell r="E817" t="str">
            <v>steel</v>
          </cell>
          <cell r="F817" t="str">
            <v>fighting</v>
          </cell>
          <cell r="G817">
            <v>91</v>
          </cell>
          <cell r="H817">
            <v>90</v>
          </cell>
          <cell r="I817">
            <v>129</v>
          </cell>
          <cell r="J817">
            <v>90</v>
          </cell>
          <cell r="K817">
            <v>72</v>
          </cell>
          <cell r="L817">
            <v>108</v>
          </cell>
          <cell r="M817">
            <v>580</v>
          </cell>
          <cell r="N817" t="str">
            <v>justified</v>
          </cell>
          <cell r="Q817">
            <v>2.1</v>
          </cell>
          <cell r="R817">
            <v>250</v>
          </cell>
          <cell r="S817" t="str">
            <v>This legendary Pokémon battled against humans to protect Pokémon. Its personality is calm and composed.</v>
          </cell>
          <cell r="T817" t="str">
            <v>https://raw.githubusercontent.com/PokeAPI/sprites/master/sprites/pokemon/other/official-artwork/638.png</v>
          </cell>
          <cell r="U817" t="str">
            <v>https://raw.githubusercontent.com/PokeAPI/sprites/master/sprites/pokemon/other/official-artwork/shiny/638.png</v>
          </cell>
        </row>
        <row r="818">
          <cell r="A818">
            <v>639</v>
          </cell>
          <cell r="C818" t="str">
            <v>Terrakion</v>
          </cell>
          <cell r="D818" t="str">
            <v>Standard</v>
          </cell>
          <cell r="E818" t="str">
            <v>rock</v>
          </cell>
          <cell r="F818" t="str">
            <v>fighting</v>
          </cell>
          <cell r="G818">
            <v>91</v>
          </cell>
          <cell r="H818">
            <v>129</v>
          </cell>
          <cell r="I818">
            <v>90</v>
          </cell>
          <cell r="J818">
            <v>72</v>
          </cell>
          <cell r="K818">
            <v>90</v>
          </cell>
          <cell r="L818">
            <v>108</v>
          </cell>
          <cell r="M818">
            <v>580</v>
          </cell>
          <cell r="N818" t="str">
            <v>justified</v>
          </cell>
          <cell r="Q818">
            <v>1.9</v>
          </cell>
          <cell r="R818">
            <v>260</v>
          </cell>
          <cell r="S818" t="str">
            <v>This Pokémon came to the defense of Pokémon that had lost their homes in a war among humans.</v>
          </cell>
          <cell r="T818" t="str">
            <v>https://raw.githubusercontent.com/PokeAPI/sprites/master/sprites/pokemon/other/official-artwork/639.png</v>
          </cell>
          <cell r="U818" t="str">
            <v>https://raw.githubusercontent.com/PokeAPI/sprites/master/sprites/pokemon/other/official-artwork/shiny/639.png</v>
          </cell>
        </row>
        <row r="819">
          <cell r="A819">
            <v>640</v>
          </cell>
          <cell r="C819" t="str">
            <v>Virizion</v>
          </cell>
          <cell r="D819" t="str">
            <v>Standard</v>
          </cell>
          <cell r="E819" t="str">
            <v>grass</v>
          </cell>
          <cell r="F819" t="str">
            <v>fighting</v>
          </cell>
          <cell r="G819">
            <v>91</v>
          </cell>
          <cell r="H819">
            <v>90</v>
          </cell>
          <cell r="I819">
            <v>72</v>
          </cell>
          <cell r="J819">
            <v>90</v>
          </cell>
          <cell r="K819">
            <v>129</v>
          </cell>
          <cell r="L819">
            <v>108</v>
          </cell>
          <cell r="M819">
            <v>580</v>
          </cell>
          <cell r="N819" t="str">
            <v>justified</v>
          </cell>
          <cell r="Q819">
            <v>2</v>
          </cell>
          <cell r="R819">
            <v>200</v>
          </cell>
          <cell r="S819" t="str">
            <v>This Pokémon fought humans in order to protect its friends. Legends about it continue to be passed down.</v>
          </cell>
          <cell r="T819" t="str">
            <v>https://raw.githubusercontent.com/PokeAPI/sprites/master/sprites/pokemon/other/official-artwork/640.png</v>
          </cell>
          <cell r="U819" t="str">
            <v>https://raw.githubusercontent.com/PokeAPI/sprites/master/sprites/pokemon/other/official-artwork/shiny/640.png</v>
          </cell>
        </row>
        <row r="820">
          <cell r="A820">
            <v>641</v>
          </cell>
          <cell r="C820" t="str">
            <v>Tornadus Incarnate</v>
          </cell>
          <cell r="D820" t="str">
            <v>Other</v>
          </cell>
          <cell r="E820" t="str">
            <v>flying</v>
          </cell>
          <cell r="G820">
            <v>79</v>
          </cell>
          <cell r="H820">
            <v>115</v>
          </cell>
          <cell r="I820">
            <v>70</v>
          </cell>
          <cell r="J820">
            <v>125</v>
          </cell>
          <cell r="K820">
            <v>80</v>
          </cell>
          <cell r="L820">
            <v>111</v>
          </cell>
          <cell r="M820">
            <v>580</v>
          </cell>
          <cell r="N820" t="str">
            <v>prankster</v>
          </cell>
          <cell r="P820" t="str">
            <v>defiant</v>
          </cell>
          <cell r="Q820">
            <v>1.5</v>
          </cell>
          <cell r="R820">
            <v>63</v>
          </cell>
          <cell r="S820" t="str">
            <v>The lower half of its body is wrapped in a cloud of energy. It zooms through the sky at 200 mph.</v>
          </cell>
          <cell r="T820" t="str">
            <v>https://raw.githubusercontent.com/PokeAPI/sprites/master/sprites/pokemon/other/official-artwork/641.png</v>
          </cell>
          <cell r="U820" t="str">
            <v>https://raw.githubusercontent.com/PokeAPI/sprites/master/sprites/pokemon/other/official-artwork/shiny/641.png</v>
          </cell>
        </row>
        <row r="821">
          <cell r="A821">
            <v>641</v>
          </cell>
          <cell r="C821" t="str">
            <v>Tornadus Therian</v>
          </cell>
          <cell r="D821" t="str">
            <v>Other</v>
          </cell>
          <cell r="E821" t="str">
            <v>flying</v>
          </cell>
          <cell r="G821">
            <v>79</v>
          </cell>
          <cell r="H821">
            <v>100</v>
          </cell>
          <cell r="I821">
            <v>80</v>
          </cell>
          <cell r="J821">
            <v>110</v>
          </cell>
          <cell r="K821">
            <v>90</v>
          </cell>
          <cell r="L821">
            <v>121</v>
          </cell>
          <cell r="M821">
            <v>580</v>
          </cell>
          <cell r="N821" t="str">
            <v>regenerator</v>
          </cell>
          <cell r="Q821">
            <v>1.4</v>
          </cell>
          <cell r="R821">
            <v>63</v>
          </cell>
          <cell r="S821" t="str">
            <v>The lower half of its body is wrapped in a cloud of energy. It zooms through the sky at 200 mph.</v>
          </cell>
          <cell r="T821" t="str">
            <v>https://raw.githubusercontent.com/PokeAPI/sprites/master/sprites/pokemon/other/official-artwork/10019.png</v>
          </cell>
          <cell r="U821" t="str">
            <v>https://raw.githubusercontent.com/PokeAPI/sprites/master/sprites/pokemon/other/official-artwork/shiny/10019.png</v>
          </cell>
        </row>
        <row r="822">
          <cell r="A822">
            <v>642</v>
          </cell>
          <cell r="C822" t="str">
            <v>Thundurus Incarnate</v>
          </cell>
          <cell r="D822" t="str">
            <v>Other</v>
          </cell>
          <cell r="E822" t="str">
            <v>electric</v>
          </cell>
          <cell r="F822" t="str">
            <v>flying</v>
          </cell>
          <cell r="G822">
            <v>79</v>
          </cell>
          <cell r="H822">
            <v>115</v>
          </cell>
          <cell r="I822">
            <v>70</v>
          </cell>
          <cell r="J822">
            <v>125</v>
          </cell>
          <cell r="K822">
            <v>80</v>
          </cell>
          <cell r="L822">
            <v>111</v>
          </cell>
          <cell r="M822">
            <v>580</v>
          </cell>
          <cell r="N822" t="str">
            <v>prankster</v>
          </cell>
          <cell r="P822" t="str">
            <v>defiant</v>
          </cell>
          <cell r="Q822">
            <v>1.5</v>
          </cell>
          <cell r="R822">
            <v>61</v>
          </cell>
          <cell r="S822" t="str">
            <v>Countless charred remains mar the landscape of places through which Thundurus has passed.</v>
          </cell>
          <cell r="T822" t="str">
            <v>https://raw.githubusercontent.com/PokeAPI/sprites/master/sprites/pokemon/other/official-artwork/642.png</v>
          </cell>
          <cell r="U822" t="str">
            <v>https://raw.githubusercontent.com/PokeAPI/sprites/master/sprites/pokemon/other/official-artwork/shiny/642.png</v>
          </cell>
        </row>
        <row r="823">
          <cell r="A823">
            <v>642</v>
          </cell>
          <cell r="C823" t="str">
            <v>Thundurus Therian</v>
          </cell>
          <cell r="D823" t="str">
            <v>Other</v>
          </cell>
          <cell r="E823" t="str">
            <v>electric</v>
          </cell>
          <cell r="F823" t="str">
            <v>flying</v>
          </cell>
          <cell r="G823">
            <v>79</v>
          </cell>
          <cell r="H823">
            <v>105</v>
          </cell>
          <cell r="I823">
            <v>70</v>
          </cell>
          <cell r="J823">
            <v>145</v>
          </cell>
          <cell r="K823">
            <v>80</v>
          </cell>
          <cell r="L823">
            <v>101</v>
          </cell>
          <cell r="M823">
            <v>580</v>
          </cell>
          <cell r="N823" t="str">
            <v>volt-absorb</v>
          </cell>
          <cell r="Q823">
            <v>3</v>
          </cell>
          <cell r="R823">
            <v>61</v>
          </cell>
          <cell r="S823" t="str">
            <v>Countless charred remains mar the landscape of places through which Thundurus has passed.</v>
          </cell>
          <cell r="T823" t="str">
            <v>https://raw.githubusercontent.com/PokeAPI/sprites/master/sprites/pokemon/other/official-artwork/10020.png</v>
          </cell>
          <cell r="U823" t="str">
            <v>https://raw.githubusercontent.com/PokeAPI/sprites/master/sprites/pokemon/other/official-artwork/shiny/10020.png</v>
          </cell>
        </row>
        <row r="824">
          <cell r="A824">
            <v>643</v>
          </cell>
          <cell r="C824" t="str">
            <v>Reshiram</v>
          </cell>
          <cell r="D824" t="str">
            <v>Standard</v>
          </cell>
          <cell r="E824" t="str">
            <v>dragon</v>
          </cell>
          <cell r="F824" t="str">
            <v>fire</v>
          </cell>
          <cell r="G824">
            <v>100</v>
          </cell>
          <cell r="H824">
            <v>120</v>
          </cell>
          <cell r="I824">
            <v>100</v>
          </cell>
          <cell r="J824">
            <v>150</v>
          </cell>
          <cell r="K824">
            <v>120</v>
          </cell>
          <cell r="L824">
            <v>90</v>
          </cell>
          <cell r="M824">
            <v>680</v>
          </cell>
          <cell r="N824" t="str">
            <v>turboblaze</v>
          </cell>
          <cell r="Q824">
            <v>3.2</v>
          </cell>
          <cell r="R824">
            <v>330</v>
          </cell>
          <cell r="S824" t="str">
            <v>This Pokémon appears in legends. It sends flames into the air from its tail, burning up everything around it.</v>
          </cell>
          <cell r="T824" t="str">
            <v>https://raw.githubusercontent.com/PokeAPI/sprites/master/sprites/pokemon/other/official-artwork/643.png</v>
          </cell>
          <cell r="U824" t="str">
            <v>https://raw.githubusercontent.com/PokeAPI/sprites/master/sprites/pokemon/other/official-artwork/shiny/643.png</v>
          </cell>
        </row>
        <row r="825">
          <cell r="A825">
            <v>644</v>
          </cell>
          <cell r="C825" t="str">
            <v>Zekrom</v>
          </cell>
          <cell r="D825" t="str">
            <v>Standard</v>
          </cell>
          <cell r="E825" t="str">
            <v>dragon</v>
          </cell>
          <cell r="F825" t="str">
            <v>electric</v>
          </cell>
          <cell r="G825">
            <v>100</v>
          </cell>
          <cell r="H825">
            <v>150</v>
          </cell>
          <cell r="I825">
            <v>120</v>
          </cell>
          <cell r="J825">
            <v>120</v>
          </cell>
          <cell r="K825">
            <v>100</v>
          </cell>
          <cell r="L825">
            <v>90</v>
          </cell>
          <cell r="M825">
            <v>680</v>
          </cell>
          <cell r="N825" t="str">
            <v>teravolt</v>
          </cell>
          <cell r="Q825">
            <v>2.9</v>
          </cell>
          <cell r="R825">
            <v>345</v>
          </cell>
          <cell r="S825" t="str">
            <v>Concealing itself in lightning clouds, it flies throughout the Unova region. It creates electricity in its tail.</v>
          </cell>
          <cell r="T825" t="str">
            <v>https://raw.githubusercontent.com/PokeAPI/sprites/master/sprites/pokemon/other/official-artwork/644.png</v>
          </cell>
          <cell r="U825" t="str">
            <v>https://raw.githubusercontent.com/PokeAPI/sprites/master/sprites/pokemon/other/official-artwork/shiny/644.png</v>
          </cell>
        </row>
        <row r="826">
          <cell r="A826">
            <v>645</v>
          </cell>
          <cell r="C826" t="str">
            <v>Landorus Incarnate</v>
          </cell>
          <cell r="D826" t="str">
            <v>Other</v>
          </cell>
          <cell r="E826" t="str">
            <v>ground</v>
          </cell>
          <cell r="F826" t="str">
            <v>flying</v>
          </cell>
          <cell r="G826">
            <v>89</v>
          </cell>
          <cell r="H826">
            <v>125</v>
          </cell>
          <cell r="I826">
            <v>90</v>
          </cell>
          <cell r="J826">
            <v>115</v>
          </cell>
          <cell r="K826">
            <v>80</v>
          </cell>
          <cell r="L826">
            <v>101</v>
          </cell>
          <cell r="M826">
            <v>600</v>
          </cell>
          <cell r="N826" t="str">
            <v>sand-force</v>
          </cell>
          <cell r="P826" t="str">
            <v>sheer-force</v>
          </cell>
          <cell r="Q826">
            <v>1.5</v>
          </cell>
          <cell r="R826">
            <v>68</v>
          </cell>
          <cell r="S826" t="str">
            <v>Lands visited by Landorus grant such bountiful crops that it has been hailed as “The Guardian of the Fields.”</v>
          </cell>
          <cell r="T826" t="str">
            <v>https://raw.githubusercontent.com/PokeAPI/sprites/master/sprites/pokemon/other/official-artwork/645.png</v>
          </cell>
          <cell r="U826" t="str">
            <v>https://raw.githubusercontent.com/PokeAPI/sprites/master/sprites/pokemon/other/official-artwork/shiny/645.png</v>
          </cell>
        </row>
        <row r="827">
          <cell r="A827">
            <v>645</v>
          </cell>
          <cell r="C827" t="str">
            <v>Landorus Therian</v>
          </cell>
          <cell r="D827" t="str">
            <v>Other</v>
          </cell>
          <cell r="E827" t="str">
            <v>ground</v>
          </cell>
          <cell r="F827" t="str">
            <v>flying</v>
          </cell>
          <cell r="G827">
            <v>89</v>
          </cell>
          <cell r="H827">
            <v>145</v>
          </cell>
          <cell r="I827">
            <v>90</v>
          </cell>
          <cell r="J827">
            <v>105</v>
          </cell>
          <cell r="K827">
            <v>80</v>
          </cell>
          <cell r="L827">
            <v>91</v>
          </cell>
          <cell r="M827">
            <v>600</v>
          </cell>
          <cell r="N827" t="str">
            <v>intimidate</v>
          </cell>
          <cell r="Q827">
            <v>1.3</v>
          </cell>
          <cell r="R827">
            <v>68</v>
          </cell>
          <cell r="S827" t="str">
            <v>Lands visited by Landorus grant such bountiful crops that it has been hailed as “The Guardian of the Fields.”</v>
          </cell>
          <cell r="T827" t="str">
            <v>https://raw.githubusercontent.com/PokeAPI/sprites/master/sprites/pokemon/other/official-artwork/10021.png</v>
          </cell>
          <cell r="U827" t="str">
            <v>https://raw.githubusercontent.com/PokeAPI/sprites/master/sprites/pokemon/other/official-artwork/shiny/10021.png</v>
          </cell>
        </row>
        <row r="828">
          <cell r="A828">
            <v>646</v>
          </cell>
          <cell r="C828" t="str">
            <v>Kyurem</v>
          </cell>
          <cell r="D828" t="str">
            <v>Standard</v>
          </cell>
          <cell r="E828" t="str">
            <v>dragon</v>
          </cell>
          <cell r="F828" t="str">
            <v>ice</v>
          </cell>
          <cell r="G828">
            <v>125</v>
          </cell>
          <cell r="H828">
            <v>130</v>
          </cell>
          <cell r="I828">
            <v>90</v>
          </cell>
          <cell r="J828">
            <v>130</v>
          </cell>
          <cell r="K828">
            <v>90</v>
          </cell>
          <cell r="L828">
            <v>95</v>
          </cell>
          <cell r="M828">
            <v>660</v>
          </cell>
          <cell r="N828" t="str">
            <v>pressure</v>
          </cell>
          <cell r="Q828">
            <v>3</v>
          </cell>
          <cell r="R828">
            <v>325</v>
          </cell>
          <cell r="S828" t="str">
            <v>It generates a powerful, freezing energy inside itself, but its body became frozen when the energy leaked out.</v>
          </cell>
          <cell r="T828" t="str">
            <v>https://raw.githubusercontent.com/PokeAPI/sprites/master/sprites/pokemon/other/official-artwork/646.png</v>
          </cell>
          <cell r="U828" t="str">
            <v>https://raw.githubusercontent.com/PokeAPI/sprites/master/sprites/pokemon/other/official-artwork/shiny/646.png</v>
          </cell>
        </row>
        <row r="829">
          <cell r="A829">
            <v>646</v>
          </cell>
          <cell r="C829" t="str">
            <v>Kyurem Black</v>
          </cell>
          <cell r="D829" t="str">
            <v>Other</v>
          </cell>
          <cell r="E829" t="str">
            <v>dragon</v>
          </cell>
          <cell r="F829" t="str">
            <v>ice</v>
          </cell>
          <cell r="G829">
            <v>125</v>
          </cell>
          <cell r="H829">
            <v>170</v>
          </cell>
          <cell r="I829">
            <v>100</v>
          </cell>
          <cell r="J829">
            <v>120</v>
          </cell>
          <cell r="K829">
            <v>90</v>
          </cell>
          <cell r="L829">
            <v>95</v>
          </cell>
          <cell r="M829">
            <v>700</v>
          </cell>
          <cell r="N829" t="str">
            <v>teravolt</v>
          </cell>
          <cell r="Q829">
            <v>3.3</v>
          </cell>
          <cell r="R829">
            <v>325</v>
          </cell>
          <cell r="S829" t="str">
            <v>It generates a powerful, freezing energy inside itself, but its body became frozen when the energy leaked out.</v>
          </cell>
          <cell r="T829" t="str">
            <v>https://raw.githubusercontent.com/PokeAPI/sprites/master/sprites/pokemon/other/official-artwork/10022.png</v>
          </cell>
          <cell r="U829" t="str">
            <v>https://raw.githubusercontent.com/PokeAPI/sprites/master/sprites/pokemon/other/official-artwork/shiny/10022.png</v>
          </cell>
        </row>
        <row r="830">
          <cell r="A830">
            <v>646</v>
          </cell>
          <cell r="C830" t="str">
            <v>Kyurem White</v>
          </cell>
          <cell r="D830" t="str">
            <v>Other</v>
          </cell>
          <cell r="E830" t="str">
            <v>dragon</v>
          </cell>
          <cell r="F830" t="str">
            <v>ice</v>
          </cell>
          <cell r="G830">
            <v>125</v>
          </cell>
          <cell r="H830">
            <v>120</v>
          </cell>
          <cell r="I830">
            <v>90</v>
          </cell>
          <cell r="J830">
            <v>170</v>
          </cell>
          <cell r="K830">
            <v>100</v>
          </cell>
          <cell r="L830">
            <v>95</v>
          </cell>
          <cell r="M830">
            <v>700</v>
          </cell>
          <cell r="N830" t="str">
            <v>turboblaze</v>
          </cell>
          <cell r="Q830">
            <v>3.6</v>
          </cell>
          <cell r="R830">
            <v>325</v>
          </cell>
          <cell r="S830" t="str">
            <v>It generates a powerful, freezing energy inside itself, but its body became frozen when the energy leaked out.</v>
          </cell>
          <cell r="T830" t="str">
            <v>https://raw.githubusercontent.com/PokeAPI/sprites/master/sprites/pokemon/other/official-artwork/10023.png</v>
          </cell>
          <cell r="U830" t="str">
            <v>https://raw.githubusercontent.com/PokeAPI/sprites/master/sprites/pokemon/other/official-artwork/shiny/10023.png</v>
          </cell>
        </row>
        <row r="831">
          <cell r="A831">
            <v>647</v>
          </cell>
          <cell r="C831" t="str">
            <v>Keldeo Ordinary</v>
          </cell>
          <cell r="D831" t="str">
            <v>Other</v>
          </cell>
          <cell r="E831" t="str">
            <v>water</v>
          </cell>
          <cell r="F831" t="str">
            <v>fighting</v>
          </cell>
          <cell r="G831">
            <v>91</v>
          </cell>
          <cell r="H831">
            <v>72</v>
          </cell>
          <cell r="I831">
            <v>90</v>
          </cell>
          <cell r="J831">
            <v>129</v>
          </cell>
          <cell r="K831">
            <v>90</v>
          </cell>
          <cell r="L831">
            <v>108</v>
          </cell>
          <cell r="M831">
            <v>580</v>
          </cell>
          <cell r="N831" t="str">
            <v>justified</v>
          </cell>
          <cell r="Q831">
            <v>1.4</v>
          </cell>
          <cell r="R831">
            <v>48.5</v>
          </cell>
          <cell r="S831" t="str">
            <v>By blasting water from its hooves, it can glide across water. It excels at using leg moves while battling.</v>
          </cell>
          <cell r="T831" t="str">
            <v>https://raw.githubusercontent.com/PokeAPI/sprites/master/sprites/pokemon/other/official-artwork/647.png</v>
          </cell>
          <cell r="U831" t="str">
            <v>https://raw.githubusercontent.com/PokeAPI/sprites/master/sprites/pokemon/other/official-artwork/shiny/647.png</v>
          </cell>
        </row>
        <row r="832">
          <cell r="A832">
            <v>647</v>
          </cell>
          <cell r="C832" t="str">
            <v>Keldeo Resolute</v>
          </cell>
          <cell r="D832" t="str">
            <v>Other</v>
          </cell>
          <cell r="E832" t="str">
            <v>water</v>
          </cell>
          <cell r="F832" t="str">
            <v>fighting</v>
          </cell>
          <cell r="G832">
            <v>91</v>
          </cell>
          <cell r="H832">
            <v>72</v>
          </cell>
          <cell r="I832">
            <v>90</v>
          </cell>
          <cell r="J832">
            <v>129</v>
          </cell>
          <cell r="K832">
            <v>90</v>
          </cell>
          <cell r="L832">
            <v>108</v>
          </cell>
          <cell r="M832">
            <v>580</v>
          </cell>
          <cell r="N832" t="str">
            <v>justified</v>
          </cell>
          <cell r="Q832">
            <v>1.4</v>
          </cell>
          <cell r="R832">
            <v>48.5</v>
          </cell>
          <cell r="S832" t="str">
            <v>By blasting water from its hooves, it can glide across water. It excels at using leg moves while battling.</v>
          </cell>
          <cell r="T832" t="str">
            <v>https://raw.githubusercontent.com/PokeAPI/sprites/master/sprites/pokemon/other/official-artwork/10024.png</v>
          </cell>
          <cell r="U832" t="str">
            <v>https://raw.githubusercontent.com/PokeAPI/sprites/master/sprites/pokemon/other/official-artwork/shiny/10024.png</v>
          </cell>
        </row>
        <row r="833">
          <cell r="A833">
            <v>648</v>
          </cell>
          <cell r="C833" t="str">
            <v>Meloetta Aria</v>
          </cell>
          <cell r="D833" t="str">
            <v>Other</v>
          </cell>
          <cell r="E833" t="str">
            <v>normal</v>
          </cell>
          <cell r="F833" t="str">
            <v>psychic</v>
          </cell>
          <cell r="G833">
            <v>100</v>
          </cell>
          <cell r="H833">
            <v>77</v>
          </cell>
          <cell r="I833">
            <v>77</v>
          </cell>
          <cell r="J833">
            <v>128</v>
          </cell>
          <cell r="K833">
            <v>128</v>
          </cell>
          <cell r="L833">
            <v>90</v>
          </cell>
          <cell r="M833">
            <v>600</v>
          </cell>
          <cell r="N833" t="str">
            <v>serene-grace</v>
          </cell>
          <cell r="Q833">
            <v>0.6</v>
          </cell>
          <cell r="R833">
            <v>6.5</v>
          </cell>
          <cell r="S833" t="str">
            <v>Its melodies are sung with a special vocalization method that can control the feelings of those who hear it.</v>
          </cell>
          <cell r="T833" t="str">
            <v>https://raw.githubusercontent.com/PokeAPI/sprites/master/sprites/pokemon/other/official-artwork/648.png</v>
          </cell>
          <cell r="U833" t="str">
            <v>https://raw.githubusercontent.com/PokeAPI/sprites/master/sprites/pokemon/other/official-artwork/shiny/648.png</v>
          </cell>
        </row>
        <row r="834">
          <cell r="A834">
            <v>648</v>
          </cell>
          <cell r="C834" t="str">
            <v>Meloetta Pirouette</v>
          </cell>
          <cell r="D834" t="str">
            <v>Other</v>
          </cell>
          <cell r="E834" t="str">
            <v>normal</v>
          </cell>
          <cell r="F834" t="str">
            <v>fighting</v>
          </cell>
          <cell r="G834">
            <v>100</v>
          </cell>
          <cell r="H834">
            <v>128</v>
          </cell>
          <cell r="I834">
            <v>90</v>
          </cell>
          <cell r="J834">
            <v>77</v>
          </cell>
          <cell r="K834">
            <v>77</v>
          </cell>
          <cell r="L834">
            <v>128</v>
          </cell>
          <cell r="M834">
            <v>600</v>
          </cell>
          <cell r="N834" t="str">
            <v>serene-grace</v>
          </cell>
          <cell r="Q834">
            <v>0.6</v>
          </cell>
          <cell r="R834">
            <v>6.5</v>
          </cell>
          <cell r="S834" t="str">
            <v>Its melodies are sung with a special vocalization method that can control the feelings of those who hear it.</v>
          </cell>
          <cell r="T834" t="str">
            <v>https://raw.githubusercontent.com/PokeAPI/sprites/master/sprites/pokemon/other/official-artwork/10018.png</v>
          </cell>
          <cell r="U834" t="str">
            <v>https://raw.githubusercontent.com/PokeAPI/sprites/master/sprites/pokemon/other/official-artwork/shiny/10018.png</v>
          </cell>
        </row>
        <row r="835">
          <cell r="A835">
            <v>649</v>
          </cell>
          <cell r="C835" t="str">
            <v>Genesect</v>
          </cell>
          <cell r="D835" t="str">
            <v>Standard</v>
          </cell>
          <cell r="E835" t="str">
            <v>bug</v>
          </cell>
          <cell r="F835" t="str">
            <v>steel</v>
          </cell>
          <cell r="G835">
            <v>71</v>
          </cell>
          <cell r="H835">
            <v>120</v>
          </cell>
          <cell r="I835">
            <v>95</v>
          </cell>
          <cell r="J835">
            <v>120</v>
          </cell>
          <cell r="K835">
            <v>95</v>
          </cell>
          <cell r="L835">
            <v>99</v>
          </cell>
          <cell r="M835">
            <v>600</v>
          </cell>
          <cell r="N835" t="str">
            <v>download</v>
          </cell>
          <cell r="Q835">
            <v>1.5</v>
          </cell>
          <cell r="R835">
            <v>82.5</v>
          </cell>
          <cell r="S835" t="str">
            <v>Over 300 million years ago, it was feared as the strongest of hunters. It has been modified by Team Plasma.</v>
          </cell>
          <cell r="T835" t="str">
            <v>https://raw.githubusercontent.com/PokeAPI/sprites/master/sprites/pokemon/other/official-artwork/649.png</v>
          </cell>
          <cell r="U835" t="str">
            <v>https://raw.githubusercontent.com/PokeAPI/sprites/master/sprites/pokemon/other/official-artwork/shiny/649.png</v>
          </cell>
        </row>
        <row r="836">
          <cell r="A836">
            <v>650</v>
          </cell>
          <cell r="C836" t="str">
            <v>Chespin</v>
          </cell>
          <cell r="D836" t="str">
            <v>Standard</v>
          </cell>
          <cell r="E836" t="str">
            <v>grass</v>
          </cell>
          <cell r="G836">
            <v>56</v>
          </cell>
          <cell r="H836">
            <v>61</v>
          </cell>
          <cell r="I836">
            <v>65</v>
          </cell>
          <cell r="J836">
            <v>48</v>
          </cell>
          <cell r="K836">
            <v>45</v>
          </cell>
          <cell r="L836">
            <v>38</v>
          </cell>
          <cell r="M836">
            <v>313</v>
          </cell>
          <cell r="N836" t="str">
            <v>overgrow</v>
          </cell>
          <cell r="P836" t="str">
            <v>bulletproof</v>
          </cell>
          <cell r="Q836">
            <v>0.4</v>
          </cell>
          <cell r="R836">
            <v>9</v>
          </cell>
          <cell r="S836" t="str">
            <v>The quills on its head are usually soft. When it flexes them, the points become so hard and sharp that they can pierce rock.</v>
          </cell>
          <cell r="T836" t="str">
            <v>https://raw.githubusercontent.com/PokeAPI/sprites/master/sprites/pokemon/other/official-artwork/650.png</v>
          </cell>
          <cell r="U836" t="str">
            <v>https://raw.githubusercontent.com/PokeAPI/sprites/master/sprites/pokemon/other/official-artwork/shiny/650.png</v>
          </cell>
        </row>
        <row r="837">
          <cell r="A837">
            <v>651</v>
          </cell>
          <cell r="C837" t="str">
            <v>Quilladin</v>
          </cell>
          <cell r="D837" t="str">
            <v>Standard</v>
          </cell>
          <cell r="E837" t="str">
            <v>grass</v>
          </cell>
          <cell r="G837">
            <v>61</v>
          </cell>
          <cell r="H837">
            <v>78</v>
          </cell>
          <cell r="I837">
            <v>95</v>
          </cell>
          <cell r="J837">
            <v>56</v>
          </cell>
          <cell r="K837">
            <v>58</v>
          </cell>
          <cell r="L837">
            <v>57</v>
          </cell>
          <cell r="M837">
            <v>405</v>
          </cell>
          <cell r="N837" t="str">
            <v>overgrow</v>
          </cell>
          <cell r="P837" t="str">
            <v>bulletproof</v>
          </cell>
          <cell r="Q837">
            <v>0.7</v>
          </cell>
          <cell r="R837">
            <v>29</v>
          </cell>
          <cell r="S837" t="str">
            <v>It relies on its sturdy shell to deflect predators’ attacks. It counterattacks with its sharp quills.</v>
          </cell>
          <cell r="T837" t="str">
            <v>https://raw.githubusercontent.com/PokeAPI/sprites/master/sprites/pokemon/other/official-artwork/651.png</v>
          </cell>
          <cell r="U837" t="str">
            <v>https://raw.githubusercontent.com/PokeAPI/sprites/master/sprites/pokemon/other/official-artwork/shiny/651.png</v>
          </cell>
        </row>
        <row r="838">
          <cell r="A838">
            <v>652</v>
          </cell>
          <cell r="C838" t="str">
            <v>Chesnaught</v>
          </cell>
          <cell r="D838" t="str">
            <v>Standard</v>
          </cell>
          <cell r="E838" t="str">
            <v>grass</v>
          </cell>
          <cell r="F838" t="str">
            <v>fighting</v>
          </cell>
          <cell r="G838">
            <v>88</v>
          </cell>
          <cell r="H838">
            <v>107</v>
          </cell>
          <cell r="I838">
            <v>122</v>
          </cell>
          <cell r="J838">
            <v>74</v>
          </cell>
          <cell r="K838">
            <v>75</v>
          </cell>
          <cell r="L838">
            <v>64</v>
          </cell>
          <cell r="M838">
            <v>530</v>
          </cell>
          <cell r="N838" t="str">
            <v>overgrow</v>
          </cell>
          <cell r="P838" t="str">
            <v>bulletproof</v>
          </cell>
          <cell r="Q838">
            <v>1.6</v>
          </cell>
          <cell r="R838">
            <v>90</v>
          </cell>
          <cell r="S838" t="str">
            <v>Its Tackle is forceful enough to flip a 50-ton tank. It shields its allies from danger with its own body.</v>
          </cell>
          <cell r="T838" t="str">
            <v>https://raw.githubusercontent.com/PokeAPI/sprites/master/sprites/pokemon/other/official-artwork/652.png</v>
          </cell>
          <cell r="U838" t="str">
            <v>https://raw.githubusercontent.com/PokeAPI/sprites/master/sprites/pokemon/other/official-artwork/shiny/652.png</v>
          </cell>
        </row>
        <row r="839">
          <cell r="A839">
            <v>652</v>
          </cell>
          <cell r="C839" t="str">
            <v>Chesnaught Mega</v>
          </cell>
          <cell r="D839" t="str">
            <v>Mega</v>
          </cell>
          <cell r="E839" t="str">
            <v>grass</v>
          </cell>
          <cell r="F839" t="str">
            <v>fighting</v>
          </cell>
          <cell r="G839">
            <v>88</v>
          </cell>
          <cell r="H839">
            <v>137</v>
          </cell>
          <cell r="I839">
            <v>172</v>
          </cell>
          <cell r="J839">
            <v>74</v>
          </cell>
          <cell r="K839">
            <v>115</v>
          </cell>
          <cell r="L839">
            <v>44</v>
          </cell>
          <cell r="M839">
            <v>630</v>
          </cell>
          <cell r="Q839">
            <v>1.6</v>
          </cell>
          <cell r="R839">
            <v>90</v>
          </cell>
          <cell r="S839" t="str">
            <v>Its Tackle is forceful enough to flip a 50-ton tank. It shields its allies from danger with its own body.</v>
          </cell>
        </row>
        <row r="840">
          <cell r="A840">
            <v>653</v>
          </cell>
          <cell r="C840" t="str">
            <v>Fennekin</v>
          </cell>
          <cell r="D840" t="str">
            <v>Standard</v>
          </cell>
          <cell r="E840" t="str">
            <v>fire</v>
          </cell>
          <cell r="G840">
            <v>40</v>
          </cell>
          <cell r="H840">
            <v>45</v>
          </cell>
          <cell r="I840">
            <v>40</v>
          </cell>
          <cell r="J840">
            <v>62</v>
          </cell>
          <cell r="K840">
            <v>60</v>
          </cell>
          <cell r="L840">
            <v>60</v>
          </cell>
          <cell r="M840">
            <v>307</v>
          </cell>
          <cell r="N840" t="str">
            <v>blaze</v>
          </cell>
          <cell r="P840" t="str">
            <v>magician</v>
          </cell>
          <cell r="Q840">
            <v>0.4</v>
          </cell>
          <cell r="R840">
            <v>9.4</v>
          </cell>
          <cell r="S840" t="str">
            <v>Eating a twig fills it with energy, and its roomy ears give vent to air hotter than 390 degrees Fahrenheit.</v>
          </cell>
          <cell r="T840" t="str">
            <v>https://raw.githubusercontent.com/PokeAPI/sprites/master/sprites/pokemon/other/official-artwork/653.png</v>
          </cell>
          <cell r="U840" t="str">
            <v>https://raw.githubusercontent.com/PokeAPI/sprites/master/sprites/pokemon/other/official-artwork/shiny/653.png</v>
          </cell>
        </row>
        <row r="841">
          <cell r="A841">
            <v>654</v>
          </cell>
          <cell r="C841" t="str">
            <v>Braixen</v>
          </cell>
          <cell r="D841" t="str">
            <v>Standard</v>
          </cell>
          <cell r="E841" t="str">
            <v>fire</v>
          </cell>
          <cell r="G841">
            <v>59</v>
          </cell>
          <cell r="H841">
            <v>59</v>
          </cell>
          <cell r="I841">
            <v>58</v>
          </cell>
          <cell r="J841">
            <v>90</v>
          </cell>
          <cell r="K841">
            <v>70</v>
          </cell>
          <cell r="L841">
            <v>73</v>
          </cell>
          <cell r="M841">
            <v>409</v>
          </cell>
          <cell r="N841" t="str">
            <v>blaze</v>
          </cell>
          <cell r="P841" t="str">
            <v>magician</v>
          </cell>
          <cell r="Q841">
            <v>1</v>
          </cell>
          <cell r="R841">
            <v>14.5</v>
          </cell>
          <cell r="S841" t="str">
            <v>It has a twig stuck in its tail. With friction from its tail fur, it sets the twig on fire and launches into battle.</v>
          </cell>
          <cell r="T841" t="str">
            <v>https://raw.githubusercontent.com/PokeAPI/sprites/master/sprites/pokemon/other/official-artwork/654.png</v>
          </cell>
          <cell r="U841" t="str">
            <v>https://raw.githubusercontent.com/PokeAPI/sprites/master/sprites/pokemon/other/official-artwork/shiny/654.png</v>
          </cell>
        </row>
        <row r="842">
          <cell r="A842">
            <v>655</v>
          </cell>
          <cell r="C842" t="str">
            <v>Delphox</v>
          </cell>
          <cell r="D842" t="str">
            <v>Standard</v>
          </cell>
          <cell r="E842" t="str">
            <v>fire</v>
          </cell>
          <cell r="F842" t="str">
            <v>psychic</v>
          </cell>
          <cell r="G842">
            <v>75</v>
          </cell>
          <cell r="H842">
            <v>69</v>
          </cell>
          <cell r="I842">
            <v>72</v>
          </cell>
          <cell r="J842">
            <v>114</v>
          </cell>
          <cell r="K842">
            <v>100</v>
          </cell>
          <cell r="L842">
            <v>104</v>
          </cell>
          <cell r="M842">
            <v>534</v>
          </cell>
          <cell r="N842" t="str">
            <v>blaze</v>
          </cell>
          <cell r="P842" t="str">
            <v>magician</v>
          </cell>
          <cell r="Q842">
            <v>1.5</v>
          </cell>
          <cell r="R842">
            <v>39</v>
          </cell>
          <cell r="S842" t="str">
            <v>It gazes into the flame at the tip of its branch to achieve a focused state, which allows it to see into the future.</v>
          </cell>
          <cell r="T842" t="str">
            <v>https://raw.githubusercontent.com/PokeAPI/sprites/master/sprites/pokemon/other/official-artwork/655.png</v>
          </cell>
          <cell r="U842" t="str">
            <v>https://raw.githubusercontent.com/PokeAPI/sprites/master/sprites/pokemon/other/official-artwork/shiny/655.png</v>
          </cell>
        </row>
        <row r="843">
          <cell r="A843">
            <v>655</v>
          </cell>
          <cell r="C843" t="str">
            <v>Delphox Mega</v>
          </cell>
          <cell r="D843" t="str">
            <v>Mega</v>
          </cell>
          <cell r="E843" t="str">
            <v>fire</v>
          </cell>
          <cell r="F843" t="str">
            <v>psychic</v>
          </cell>
          <cell r="G843">
            <v>75</v>
          </cell>
          <cell r="H843">
            <v>69</v>
          </cell>
          <cell r="I843">
            <v>72</v>
          </cell>
          <cell r="J843">
            <v>159</v>
          </cell>
          <cell r="K843">
            <v>125</v>
          </cell>
          <cell r="L843">
            <v>134</v>
          </cell>
          <cell r="M843">
            <v>634</v>
          </cell>
          <cell r="Q843">
            <v>1.5</v>
          </cell>
          <cell r="R843">
            <v>39</v>
          </cell>
          <cell r="S843" t="str">
            <v>It gazes into the flame at the tip of its branch to achieve a focused state, which allows it to see into the future.</v>
          </cell>
        </row>
        <row r="844">
          <cell r="A844">
            <v>656</v>
          </cell>
          <cell r="C844" t="str">
            <v>Froakie</v>
          </cell>
          <cell r="D844" t="str">
            <v>Standard</v>
          </cell>
          <cell r="E844" t="str">
            <v>water</v>
          </cell>
          <cell r="G844">
            <v>41</v>
          </cell>
          <cell r="H844">
            <v>56</v>
          </cell>
          <cell r="I844">
            <v>40</v>
          </cell>
          <cell r="J844">
            <v>62</v>
          </cell>
          <cell r="K844">
            <v>44</v>
          </cell>
          <cell r="L844">
            <v>71</v>
          </cell>
          <cell r="M844">
            <v>314</v>
          </cell>
          <cell r="N844" t="str">
            <v>torrent</v>
          </cell>
          <cell r="P844" t="str">
            <v>protean</v>
          </cell>
          <cell r="Q844">
            <v>0.3</v>
          </cell>
          <cell r="R844">
            <v>7</v>
          </cell>
          <cell r="S844" t="str">
            <v>It secretes flexible bubbles from its chest and back. The bubbles reduce the damage it would otherwise take when attacked.</v>
          </cell>
          <cell r="T844" t="str">
            <v>https://raw.githubusercontent.com/PokeAPI/sprites/master/sprites/pokemon/other/official-artwork/656.png</v>
          </cell>
          <cell r="U844" t="str">
            <v>https://raw.githubusercontent.com/PokeAPI/sprites/master/sprites/pokemon/other/official-artwork/shiny/656.png</v>
          </cell>
        </row>
        <row r="845">
          <cell r="A845">
            <v>657</v>
          </cell>
          <cell r="C845" t="str">
            <v>Frogadier</v>
          </cell>
          <cell r="D845" t="str">
            <v>Standard</v>
          </cell>
          <cell r="E845" t="str">
            <v>water</v>
          </cell>
          <cell r="G845">
            <v>54</v>
          </cell>
          <cell r="H845">
            <v>63</v>
          </cell>
          <cell r="I845">
            <v>52</v>
          </cell>
          <cell r="J845">
            <v>83</v>
          </cell>
          <cell r="K845">
            <v>56</v>
          </cell>
          <cell r="L845">
            <v>97</v>
          </cell>
          <cell r="M845">
            <v>405</v>
          </cell>
          <cell r="N845" t="str">
            <v>torrent</v>
          </cell>
          <cell r="P845" t="str">
            <v>protean</v>
          </cell>
          <cell r="Q845">
            <v>0.6</v>
          </cell>
          <cell r="R845">
            <v>10.9</v>
          </cell>
          <cell r="S845" t="str">
            <v>It can throw bubble-covered pebbles with precise control, hitting empty cans up to a hundred feet away.</v>
          </cell>
          <cell r="T845" t="str">
            <v>https://raw.githubusercontent.com/PokeAPI/sprites/master/sprites/pokemon/other/official-artwork/657.png</v>
          </cell>
          <cell r="U845" t="str">
            <v>https://raw.githubusercontent.com/PokeAPI/sprites/master/sprites/pokemon/other/official-artwork/shiny/657.png</v>
          </cell>
        </row>
        <row r="846">
          <cell r="A846">
            <v>658</v>
          </cell>
          <cell r="C846" t="str">
            <v>Greninja</v>
          </cell>
          <cell r="D846" t="str">
            <v>Standard</v>
          </cell>
          <cell r="E846" t="str">
            <v>water</v>
          </cell>
          <cell r="F846" t="str">
            <v>dark</v>
          </cell>
          <cell r="G846">
            <v>72</v>
          </cell>
          <cell r="H846">
            <v>95</v>
          </cell>
          <cell r="I846">
            <v>67</v>
          </cell>
          <cell r="J846">
            <v>103</v>
          </cell>
          <cell r="K846">
            <v>71</v>
          </cell>
          <cell r="L846">
            <v>122</v>
          </cell>
          <cell r="M846">
            <v>530</v>
          </cell>
          <cell r="N846" t="str">
            <v>torrent</v>
          </cell>
          <cell r="P846" t="str">
            <v>protean</v>
          </cell>
          <cell r="Q846">
            <v>1.5</v>
          </cell>
          <cell r="R846">
            <v>40</v>
          </cell>
          <cell r="S846" t="str">
            <v>It creates throwing stars out of compressed water. When it spins them and throws them at high speed, these stars can split metal in two.</v>
          </cell>
          <cell r="T846" t="str">
            <v>https://raw.githubusercontent.com/PokeAPI/sprites/master/sprites/pokemon/other/official-artwork/658.png</v>
          </cell>
          <cell r="U846" t="str">
            <v>https://raw.githubusercontent.com/PokeAPI/sprites/master/sprites/pokemon/other/official-artwork/shiny/658.png</v>
          </cell>
        </row>
        <row r="847">
          <cell r="A847">
            <v>658</v>
          </cell>
          <cell r="C847" t="str">
            <v>Greninja Ash</v>
          </cell>
          <cell r="D847" t="str">
            <v>Other</v>
          </cell>
          <cell r="E847" t="str">
            <v>water</v>
          </cell>
          <cell r="F847" t="str">
            <v>dark</v>
          </cell>
          <cell r="G847">
            <v>72</v>
          </cell>
          <cell r="H847">
            <v>145</v>
          </cell>
          <cell r="I847">
            <v>67</v>
          </cell>
          <cell r="J847">
            <v>153</v>
          </cell>
          <cell r="K847">
            <v>71</v>
          </cell>
          <cell r="L847">
            <v>132</v>
          </cell>
          <cell r="M847">
            <v>640</v>
          </cell>
          <cell r="N847" t="str">
            <v>battle-bond</v>
          </cell>
          <cell r="Q847">
            <v>1.5</v>
          </cell>
          <cell r="R847">
            <v>40</v>
          </cell>
          <cell r="S847" t="str">
            <v>It creates throwing stars out of compressed water. When it spins them and throws them at high speed, these stars can split metal in two.</v>
          </cell>
          <cell r="T847" t="str">
            <v>https://raw.githubusercontent.com/PokeAPI/sprites/master/sprites/pokemon/other/official-artwork/10117.png</v>
          </cell>
          <cell r="U847" t="str">
            <v>https://raw.githubusercontent.com/PokeAPI/sprites/master/sprites/pokemon/other/official-artwork/shiny/10117.png</v>
          </cell>
        </row>
        <row r="848">
          <cell r="A848">
            <v>658</v>
          </cell>
          <cell r="C848" t="str">
            <v>Greninja Battle Bond</v>
          </cell>
          <cell r="D848" t="str">
            <v>Other</v>
          </cell>
          <cell r="E848" t="str">
            <v>water</v>
          </cell>
          <cell r="F848" t="str">
            <v>dark</v>
          </cell>
          <cell r="G848">
            <v>72</v>
          </cell>
          <cell r="H848">
            <v>95</v>
          </cell>
          <cell r="I848">
            <v>67</v>
          </cell>
          <cell r="J848">
            <v>103</v>
          </cell>
          <cell r="K848">
            <v>71</v>
          </cell>
          <cell r="L848">
            <v>122</v>
          </cell>
          <cell r="M848">
            <v>530</v>
          </cell>
          <cell r="N848" t="str">
            <v>battle-bond</v>
          </cell>
          <cell r="Q848">
            <v>1.5</v>
          </cell>
          <cell r="R848">
            <v>40</v>
          </cell>
          <cell r="S848" t="str">
            <v>It creates throwing stars out of compressed water. When it spins them and throws them at high speed, these stars can split metal in two.</v>
          </cell>
          <cell r="T848" t="str">
            <v>https://raw.githubusercontent.com/PokeAPI/sprites/master/sprites/pokemon/other/official-artwork/10116.png</v>
          </cell>
          <cell r="U848" t="str">
            <v>https://raw.githubusercontent.com/PokeAPI/sprites/master/sprites/pokemon/shiny/10116.png</v>
          </cell>
        </row>
        <row r="849">
          <cell r="A849">
            <v>658</v>
          </cell>
          <cell r="C849" t="str">
            <v>Greninja Mega</v>
          </cell>
          <cell r="D849" t="str">
            <v>Mega</v>
          </cell>
          <cell r="E849" t="str">
            <v>water</v>
          </cell>
          <cell r="F849" t="str">
            <v>dark</v>
          </cell>
          <cell r="G849">
            <v>72</v>
          </cell>
          <cell r="H849">
            <v>125</v>
          </cell>
          <cell r="I849">
            <v>77</v>
          </cell>
          <cell r="J849">
            <v>133</v>
          </cell>
          <cell r="K849">
            <v>81</v>
          </cell>
          <cell r="L849">
            <v>142</v>
          </cell>
          <cell r="M849">
            <v>630</v>
          </cell>
          <cell r="Q849">
            <v>1.5</v>
          </cell>
          <cell r="R849">
            <v>40</v>
          </cell>
          <cell r="S849" t="str">
            <v>It creates throwing stars out of compressed water. When it spins them and throws them at high speed, these stars can split metal in two.</v>
          </cell>
        </row>
        <row r="850">
          <cell r="A850">
            <v>659</v>
          </cell>
          <cell r="C850" t="str">
            <v>Bunnelby</v>
          </cell>
          <cell r="D850" t="str">
            <v>Standard</v>
          </cell>
          <cell r="E850" t="str">
            <v>normal</v>
          </cell>
          <cell r="G850">
            <v>38</v>
          </cell>
          <cell r="H850">
            <v>36</v>
          </cell>
          <cell r="I850">
            <v>38</v>
          </cell>
          <cell r="J850">
            <v>32</v>
          </cell>
          <cell r="K850">
            <v>36</v>
          </cell>
          <cell r="L850">
            <v>57</v>
          </cell>
          <cell r="M850">
            <v>237</v>
          </cell>
          <cell r="N850" t="str">
            <v>pickup</v>
          </cell>
          <cell r="O850" t="str">
            <v>cheek-pouch</v>
          </cell>
          <cell r="P850" t="str">
            <v>huge-power</v>
          </cell>
          <cell r="Q850">
            <v>0.4</v>
          </cell>
          <cell r="R850">
            <v>5</v>
          </cell>
          <cell r="S850" t="str">
            <v>They use their large ears to dig burrows. They will dig the whole night through.</v>
          </cell>
          <cell r="T850" t="str">
            <v>https://raw.githubusercontent.com/PokeAPI/sprites/master/sprites/pokemon/other/official-artwork/659.png</v>
          </cell>
          <cell r="U850" t="str">
            <v>https://raw.githubusercontent.com/PokeAPI/sprites/master/sprites/pokemon/other/official-artwork/shiny/659.png</v>
          </cell>
        </row>
        <row r="851">
          <cell r="A851">
            <v>660</v>
          </cell>
          <cell r="C851" t="str">
            <v>Diggersby</v>
          </cell>
          <cell r="D851" t="str">
            <v>Standard</v>
          </cell>
          <cell r="E851" t="str">
            <v>normal</v>
          </cell>
          <cell r="F851" t="str">
            <v>ground</v>
          </cell>
          <cell r="G851">
            <v>85</v>
          </cell>
          <cell r="H851">
            <v>56</v>
          </cell>
          <cell r="I851">
            <v>77</v>
          </cell>
          <cell r="J851">
            <v>50</v>
          </cell>
          <cell r="K851">
            <v>77</v>
          </cell>
          <cell r="L851">
            <v>78</v>
          </cell>
          <cell r="M851">
            <v>423</v>
          </cell>
          <cell r="N851" t="str">
            <v>pickup</v>
          </cell>
          <cell r="O851" t="str">
            <v>cheek-pouch</v>
          </cell>
          <cell r="P851" t="str">
            <v>huge-power</v>
          </cell>
          <cell r="Q851">
            <v>1</v>
          </cell>
          <cell r="R851">
            <v>42.4</v>
          </cell>
          <cell r="S851" t="str">
            <v>With their powerful ears, they can heft boulders of a ton or more with ease. They can be a big help at construction sites.</v>
          </cell>
          <cell r="T851" t="str">
            <v>https://raw.githubusercontent.com/PokeAPI/sprites/master/sprites/pokemon/other/official-artwork/660.png</v>
          </cell>
          <cell r="U851" t="str">
            <v>https://raw.githubusercontent.com/PokeAPI/sprites/master/sprites/pokemon/other/official-artwork/shiny/660.png</v>
          </cell>
        </row>
        <row r="852">
          <cell r="A852">
            <v>661</v>
          </cell>
          <cell r="C852" t="str">
            <v>Fletchling</v>
          </cell>
          <cell r="D852" t="str">
            <v>Standard</v>
          </cell>
          <cell r="E852" t="str">
            <v>normal</v>
          </cell>
          <cell r="F852" t="str">
            <v>flying</v>
          </cell>
          <cell r="G852">
            <v>45</v>
          </cell>
          <cell r="H852">
            <v>50</v>
          </cell>
          <cell r="I852">
            <v>43</v>
          </cell>
          <cell r="J852">
            <v>40</v>
          </cell>
          <cell r="K852">
            <v>38</v>
          </cell>
          <cell r="L852">
            <v>62</v>
          </cell>
          <cell r="M852">
            <v>278</v>
          </cell>
          <cell r="N852" t="str">
            <v>big-pecks</v>
          </cell>
          <cell r="P852" t="str">
            <v>gale-wings</v>
          </cell>
          <cell r="Q852">
            <v>0.3</v>
          </cell>
          <cell r="R852">
            <v>1.7</v>
          </cell>
          <cell r="S852" t="str">
            <v>These friendly Pokémon send signals to one another with beautiful chirps and tail-feather movements.</v>
          </cell>
          <cell r="T852" t="str">
            <v>https://raw.githubusercontent.com/PokeAPI/sprites/master/sprites/pokemon/other/official-artwork/661.png</v>
          </cell>
          <cell r="U852" t="str">
            <v>https://raw.githubusercontent.com/PokeAPI/sprites/master/sprites/pokemon/other/official-artwork/shiny/661.png</v>
          </cell>
        </row>
        <row r="853">
          <cell r="A853">
            <v>662</v>
          </cell>
          <cell r="C853" t="str">
            <v>Fletchinder</v>
          </cell>
          <cell r="D853" t="str">
            <v>Standard</v>
          </cell>
          <cell r="E853" t="str">
            <v>fire</v>
          </cell>
          <cell r="F853" t="str">
            <v>flying</v>
          </cell>
          <cell r="G853">
            <v>62</v>
          </cell>
          <cell r="H853">
            <v>73</v>
          </cell>
          <cell r="I853">
            <v>55</v>
          </cell>
          <cell r="J853">
            <v>56</v>
          </cell>
          <cell r="K853">
            <v>52</v>
          </cell>
          <cell r="L853">
            <v>84</v>
          </cell>
          <cell r="M853">
            <v>382</v>
          </cell>
          <cell r="N853" t="str">
            <v>flame-body</v>
          </cell>
          <cell r="P853" t="str">
            <v>gale-wings</v>
          </cell>
          <cell r="Q853">
            <v>0.7</v>
          </cell>
          <cell r="R853">
            <v>16</v>
          </cell>
          <cell r="S853" t="str">
            <v>From its beak, it expels embers that set the tall grass on fire. Then it pounces on the bewildered prey that pop out of the grass.</v>
          </cell>
          <cell r="T853" t="str">
            <v>https://raw.githubusercontent.com/PokeAPI/sprites/master/sprites/pokemon/other/official-artwork/662.png</v>
          </cell>
          <cell r="U853" t="str">
            <v>https://raw.githubusercontent.com/PokeAPI/sprites/master/sprites/pokemon/other/official-artwork/shiny/662.png</v>
          </cell>
        </row>
        <row r="854">
          <cell r="A854">
            <v>663</v>
          </cell>
          <cell r="C854" t="str">
            <v>Talonflame</v>
          </cell>
          <cell r="D854" t="str">
            <v>Standard</v>
          </cell>
          <cell r="E854" t="str">
            <v>fire</v>
          </cell>
          <cell r="F854" t="str">
            <v>flying</v>
          </cell>
          <cell r="G854">
            <v>78</v>
          </cell>
          <cell r="H854">
            <v>81</v>
          </cell>
          <cell r="I854">
            <v>71</v>
          </cell>
          <cell r="J854">
            <v>74</v>
          </cell>
          <cell r="K854">
            <v>69</v>
          </cell>
          <cell r="L854">
            <v>126</v>
          </cell>
          <cell r="M854">
            <v>499</v>
          </cell>
          <cell r="N854" t="str">
            <v>flame-body</v>
          </cell>
          <cell r="P854" t="str">
            <v>gale-wings</v>
          </cell>
          <cell r="Q854">
            <v>1.2</v>
          </cell>
          <cell r="R854">
            <v>24.5</v>
          </cell>
          <cell r="S854" t="str">
            <v>In the fever of an exciting battle, it showers embers from the gaps between its feathers and takes to the air.</v>
          </cell>
          <cell r="T854" t="str">
            <v>https://raw.githubusercontent.com/PokeAPI/sprites/master/sprites/pokemon/other/official-artwork/663.png</v>
          </cell>
          <cell r="U854" t="str">
            <v>https://raw.githubusercontent.com/PokeAPI/sprites/master/sprites/pokemon/other/official-artwork/shiny/663.png</v>
          </cell>
        </row>
        <row r="855">
          <cell r="A855">
            <v>664</v>
          </cell>
          <cell r="C855" t="str">
            <v>Scatterbug</v>
          </cell>
          <cell r="D855" t="str">
            <v>Standard</v>
          </cell>
          <cell r="E855" t="str">
            <v>bug</v>
          </cell>
          <cell r="G855">
            <v>38</v>
          </cell>
          <cell r="H855">
            <v>35</v>
          </cell>
          <cell r="I855">
            <v>40</v>
          </cell>
          <cell r="J855">
            <v>27</v>
          </cell>
          <cell r="K855">
            <v>25</v>
          </cell>
          <cell r="L855">
            <v>35</v>
          </cell>
          <cell r="M855">
            <v>200</v>
          </cell>
          <cell r="N855" t="str">
            <v>shield-dust</v>
          </cell>
          <cell r="O855" t="str">
            <v>compound-eyes</v>
          </cell>
          <cell r="P855" t="str">
            <v>friend-guard</v>
          </cell>
          <cell r="Q855">
            <v>0.3</v>
          </cell>
          <cell r="R855">
            <v>2.5</v>
          </cell>
          <cell r="S855" t="str">
            <v>When under attack from bird Pokémon, it spews a poisonous black powder that causes paralysis on contact.</v>
          </cell>
          <cell r="T855" t="str">
            <v>https://raw.githubusercontent.com/PokeAPI/sprites/master/sprites/pokemon/other/official-artwork/664.png</v>
          </cell>
          <cell r="U855" t="str">
            <v>https://raw.githubusercontent.com/PokeAPI/sprites/master/sprites/pokemon/other/official-artwork/shiny/664.png</v>
          </cell>
        </row>
        <row r="856">
          <cell r="A856">
            <v>665</v>
          </cell>
          <cell r="C856" t="str">
            <v>Spewpa</v>
          </cell>
          <cell r="D856" t="str">
            <v>Standard</v>
          </cell>
          <cell r="E856" t="str">
            <v>bug</v>
          </cell>
          <cell r="G856">
            <v>45</v>
          </cell>
          <cell r="H856">
            <v>22</v>
          </cell>
          <cell r="I856">
            <v>60</v>
          </cell>
          <cell r="J856">
            <v>27</v>
          </cell>
          <cell r="K856">
            <v>30</v>
          </cell>
          <cell r="L856">
            <v>29</v>
          </cell>
          <cell r="M856">
            <v>213</v>
          </cell>
          <cell r="N856" t="str">
            <v>shed-skin</v>
          </cell>
          <cell r="P856" t="str">
            <v>friend-guard</v>
          </cell>
          <cell r="Q856">
            <v>0.3</v>
          </cell>
          <cell r="R856">
            <v>8.4</v>
          </cell>
          <cell r="S856" t="str">
            <v>It lives hidden within thicket shadows. When predators attack, it quickly bristles the fur covering its body in an effort to threaten them.</v>
          </cell>
          <cell r="T856" t="str">
            <v>https://raw.githubusercontent.com/PokeAPI/sprites/master/sprites/pokemon/other/official-artwork/665.png</v>
          </cell>
          <cell r="U856" t="str">
            <v>https://raw.githubusercontent.com/PokeAPI/sprites/master/sprites/pokemon/other/official-artwork/shiny/665.png</v>
          </cell>
        </row>
        <row r="857">
          <cell r="A857">
            <v>666</v>
          </cell>
          <cell r="C857" t="str">
            <v>Vivillon</v>
          </cell>
          <cell r="D857" t="str">
            <v>Standard</v>
          </cell>
          <cell r="E857" t="str">
            <v>bug</v>
          </cell>
          <cell r="F857" t="str">
            <v>flying</v>
          </cell>
          <cell r="G857">
            <v>80</v>
          </cell>
          <cell r="H857">
            <v>52</v>
          </cell>
          <cell r="I857">
            <v>50</v>
          </cell>
          <cell r="J857">
            <v>90</v>
          </cell>
          <cell r="K857">
            <v>50</v>
          </cell>
          <cell r="L857">
            <v>89</v>
          </cell>
          <cell r="M857">
            <v>411</v>
          </cell>
          <cell r="N857" t="str">
            <v>shield-dust</v>
          </cell>
          <cell r="O857" t="str">
            <v>compound-eyes</v>
          </cell>
          <cell r="P857" t="str">
            <v>friend-guard</v>
          </cell>
          <cell r="Q857">
            <v>1.2</v>
          </cell>
          <cell r="R857">
            <v>17</v>
          </cell>
          <cell r="S857" t="str">
            <v>Vivillon with many different patterns are found all over the world. These patterns are affected by the climate of their habitat.</v>
          </cell>
          <cell r="T857" t="str">
            <v>https://raw.githubusercontent.com/PokeAPI/sprites/master/sprites/pokemon/other/official-artwork/666.png</v>
          </cell>
          <cell r="U857" t="str">
            <v>https://raw.githubusercontent.com/PokeAPI/sprites/master/sprites/pokemon/other/official-artwork/shiny/666.png</v>
          </cell>
        </row>
        <row r="858">
          <cell r="A858">
            <v>667</v>
          </cell>
          <cell r="C858" t="str">
            <v>Litleo</v>
          </cell>
          <cell r="D858" t="str">
            <v>Standard</v>
          </cell>
          <cell r="E858" t="str">
            <v>fire</v>
          </cell>
          <cell r="F858" t="str">
            <v>normal</v>
          </cell>
          <cell r="G858">
            <v>62</v>
          </cell>
          <cell r="H858">
            <v>50</v>
          </cell>
          <cell r="I858">
            <v>58</v>
          </cell>
          <cell r="J858">
            <v>73</v>
          </cell>
          <cell r="K858">
            <v>54</v>
          </cell>
          <cell r="L858">
            <v>72</v>
          </cell>
          <cell r="M858">
            <v>369</v>
          </cell>
          <cell r="N858" t="str">
            <v>rivalry</v>
          </cell>
          <cell r="O858" t="str">
            <v>unnerve</v>
          </cell>
          <cell r="P858" t="str">
            <v>moxie</v>
          </cell>
          <cell r="Q858">
            <v>0.6</v>
          </cell>
          <cell r="R858">
            <v>13.5</v>
          </cell>
          <cell r="S858" t="str">
            <v>The stronger the opponent it faces, the more heat surges from its mane and the more power flows through its body.</v>
          </cell>
          <cell r="T858" t="str">
            <v>https://raw.githubusercontent.com/PokeAPI/sprites/master/sprites/pokemon/other/official-artwork/667.png</v>
          </cell>
          <cell r="U858" t="str">
            <v>https://raw.githubusercontent.com/PokeAPI/sprites/master/sprites/pokemon/other/official-artwork/shiny/667.png</v>
          </cell>
        </row>
        <row r="859">
          <cell r="A859">
            <v>668</v>
          </cell>
          <cell r="C859" t="str">
            <v>Pyroar</v>
          </cell>
          <cell r="D859" t="str">
            <v>Standard</v>
          </cell>
          <cell r="E859" t="str">
            <v>fire</v>
          </cell>
          <cell r="F859" t="str">
            <v>normal</v>
          </cell>
          <cell r="G859">
            <v>86</v>
          </cell>
          <cell r="H859">
            <v>68</v>
          </cell>
          <cell r="I859">
            <v>72</v>
          </cell>
          <cell r="J859">
            <v>109</v>
          </cell>
          <cell r="K859">
            <v>66</v>
          </cell>
          <cell r="L859">
            <v>106</v>
          </cell>
          <cell r="M859">
            <v>507</v>
          </cell>
          <cell r="N859" t="str">
            <v>rivalry</v>
          </cell>
          <cell r="O859" t="str">
            <v>unnerve</v>
          </cell>
          <cell r="P859" t="str">
            <v>moxie</v>
          </cell>
          <cell r="Q859">
            <v>1.5</v>
          </cell>
          <cell r="R859">
            <v>81.5</v>
          </cell>
          <cell r="S859" t="str">
            <v>The male with the largest mane of fire is the leader of the pride.</v>
          </cell>
          <cell r="T859" t="str">
            <v>https://raw.githubusercontent.com/PokeAPI/sprites/master/sprites/pokemon/other/official-artwork/668.png</v>
          </cell>
          <cell r="U859" t="str">
            <v>https://raw.githubusercontent.com/PokeAPI/sprites/master/sprites/pokemon/other/official-artwork/shiny/668.png</v>
          </cell>
        </row>
        <row r="860">
          <cell r="A860">
            <v>668</v>
          </cell>
          <cell r="C860" t="str">
            <v>Pyroar Mega</v>
          </cell>
          <cell r="D860" t="str">
            <v>Mega</v>
          </cell>
          <cell r="E860" t="str">
            <v>fire</v>
          </cell>
          <cell r="F860" t="str">
            <v>normal</v>
          </cell>
          <cell r="G860">
            <v>86</v>
          </cell>
          <cell r="H860">
            <v>88</v>
          </cell>
          <cell r="I860">
            <v>92</v>
          </cell>
          <cell r="J860">
            <v>129</v>
          </cell>
          <cell r="K860">
            <v>86</v>
          </cell>
          <cell r="L860">
            <v>126</v>
          </cell>
          <cell r="M860">
            <v>607</v>
          </cell>
          <cell r="Q860">
            <v>1.5</v>
          </cell>
          <cell r="R860">
            <v>93.3</v>
          </cell>
          <cell r="S860" t="str">
            <v>The male with the largest mane of fire is the leader of the pride.</v>
          </cell>
        </row>
        <row r="861">
          <cell r="A861">
            <v>669</v>
          </cell>
          <cell r="C861" t="str">
            <v>Flabebe</v>
          </cell>
          <cell r="D861" t="str">
            <v>Standard</v>
          </cell>
          <cell r="E861" t="str">
            <v>fairy</v>
          </cell>
          <cell r="G861">
            <v>44</v>
          </cell>
          <cell r="H861">
            <v>38</v>
          </cell>
          <cell r="I861">
            <v>39</v>
          </cell>
          <cell r="J861">
            <v>61</v>
          </cell>
          <cell r="K861">
            <v>79</v>
          </cell>
          <cell r="L861">
            <v>42</v>
          </cell>
          <cell r="M861">
            <v>303</v>
          </cell>
          <cell r="N861" t="str">
            <v>flower-veil</v>
          </cell>
          <cell r="P861" t="str">
            <v>symbiosis</v>
          </cell>
          <cell r="Q861">
            <v>0.1</v>
          </cell>
          <cell r="R861">
            <v>0.1</v>
          </cell>
          <cell r="S861" t="str">
            <v>It draws out and controls the hidden power of flowers. The flower Flabébé holds is most likely part of its body.</v>
          </cell>
          <cell r="T861" t="str">
            <v>https://raw.githubusercontent.com/PokeAPI/sprites/master/sprites/pokemon/other/official-artwork/669.png</v>
          </cell>
          <cell r="U861" t="str">
            <v>https://raw.githubusercontent.com/PokeAPI/sprites/master/sprites/pokemon/other/official-artwork/shiny/669.png</v>
          </cell>
        </row>
        <row r="862">
          <cell r="A862">
            <v>670</v>
          </cell>
          <cell r="C862" t="str">
            <v>Floette</v>
          </cell>
          <cell r="D862" t="str">
            <v>Standard</v>
          </cell>
          <cell r="E862" t="str">
            <v>fairy</v>
          </cell>
          <cell r="G862">
            <v>54</v>
          </cell>
          <cell r="H862">
            <v>45</v>
          </cell>
          <cell r="I862">
            <v>47</v>
          </cell>
          <cell r="J862">
            <v>75</v>
          </cell>
          <cell r="K862">
            <v>98</v>
          </cell>
          <cell r="L862">
            <v>52</v>
          </cell>
          <cell r="M862">
            <v>371</v>
          </cell>
          <cell r="N862" t="str">
            <v>flower-veil</v>
          </cell>
          <cell r="P862" t="str">
            <v>symbiosis</v>
          </cell>
          <cell r="Q862">
            <v>0.2</v>
          </cell>
          <cell r="R862">
            <v>0.9</v>
          </cell>
          <cell r="S862" t="str">
            <v>It flutters around fields of flowers and cares for flowers that are starting to wilt. It draws out the hidden power of flowers to battle.</v>
          </cell>
          <cell r="T862" t="str">
            <v>https://raw.githubusercontent.com/PokeAPI/sprites/master/sprites/pokemon/other/official-artwork/670.png</v>
          </cell>
          <cell r="U862" t="str">
            <v>https://raw.githubusercontent.com/PokeAPI/sprites/master/sprites/pokemon/other/official-artwork/shiny/670.png</v>
          </cell>
        </row>
        <row r="863">
          <cell r="A863">
            <v>670</v>
          </cell>
          <cell r="C863" t="str">
            <v>Floette Eternal</v>
          </cell>
          <cell r="D863" t="str">
            <v>Other</v>
          </cell>
          <cell r="E863" t="str">
            <v>fairy</v>
          </cell>
          <cell r="G863">
            <v>74</v>
          </cell>
          <cell r="H863">
            <v>65</v>
          </cell>
          <cell r="I863">
            <v>67</v>
          </cell>
          <cell r="J863">
            <v>125</v>
          </cell>
          <cell r="K863">
            <v>128</v>
          </cell>
          <cell r="L863">
            <v>92</v>
          </cell>
          <cell r="M863">
            <v>551</v>
          </cell>
          <cell r="N863" t="str">
            <v>flower-veil</v>
          </cell>
          <cell r="P863" t="str">
            <v>symbiosis</v>
          </cell>
          <cell r="Q863">
            <v>0.2</v>
          </cell>
          <cell r="R863">
            <v>0.9</v>
          </cell>
          <cell r="S863" t="str">
            <v>It flutters around fields of flowers and cares for flowers that are starting to wilt. It draws out the hidden power of flowers to battle.</v>
          </cell>
          <cell r="T863" t="str">
            <v>https://raw.githubusercontent.com/PokeAPI/sprites/master/sprites/pokemon/other/official-artwork/10061.png</v>
          </cell>
          <cell r="U863" t="str">
            <v>https://raw.githubusercontent.com/PokeAPI/sprites/master/sprites/pokemon/other/official-artwork/shiny/10061.png</v>
          </cell>
        </row>
        <row r="864">
          <cell r="A864">
            <v>670</v>
          </cell>
          <cell r="C864" t="str">
            <v>Floette Mega</v>
          </cell>
          <cell r="D864" t="str">
            <v>Mega</v>
          </cell>
          <cell r="E864" t="str">
            <v>fairy</v>
          </cell>
          <cell r="G864">
            <v>74</v>
          </cell>
          <cell r="H864">
            <v>85</v>
          </cell>
          <cell r="I864">
            <v>87</v>
          </cell>
          <cell r="J864">
            <v>155</v>
          </cell>
          <cell r="K864">
            <v>148</v>
          </cell>
          <cell r="L864">
            <v>102</v>
          </cell>
          <cell r="M864">
            <v>651</v>
          </cell>
          <cell r="Q864">
            <v>0.2</v>
          </cell>
          <cell r="R864">
            <v>100.8</v>
          </cell>
          <cell r="S864" t="str">
            <v>It flutters around fields of flowers and cares for flowers that are starting to wilt. It draws out the hidden power of flowers to battle.</v>
          </cell>
        </row>
        <row r="865">
          <cell r="A865">
            <v>671</v>
          </cell>
          <cell r="C865" t="str">
            <v>Florges</v>
          </cell>
          <cell r="D865" t="str">
            <v>Standard</v>
          </cell>
          <cell r="E865" t="str">
            <v>fairy</v>
          </cell>
          <cell r="G865">
            <v>78</v>
          </cell>
          <cell r="H865">
            <v>65</v>
          </cell>
          <cell r="I865">
            <v>68</v>
          </cell>
          <cell r="J865">
            <v>112</v>
          </cell>
          <cell r="K865">
            <v>154</v>
          </cell>
          <cell r="L865">
            <v>75</v>
          </cell>
          <cell r="M865">
            <v>552</v>
          </cell>
          <cell r="N865" t="str">
            <v>flower-veil</v>
          </cell>
          <cell r="P865" t="str">
            <v>symbiosis</v>
          </cell>
          <cell r="Q865">
            <v>1.1000000000000001</v>
          </cell>
          <cell r="R865">
            <v>10</v>
          </cell>
          <cell r="S865" t="str">
            <v>It claims exquisite flower gardens as its territory, and it obtains power from basking in the energy emitted by flowering plants.</v>
          </cell>
          <cell r="T865" t="str">
            <v>https://raw.githubusercontent.com/PokeAPI/sprites/master/sprites/pokemon/other/official-artwork/671.png</v>
          </cell>
          <cell r="U865" t="str">
            <v>https://raw.githubusercontent.com/PokeAPI/sprites/master/sprites/pokemon/other/official-artwork/shiny/671.png</v>
          </cell>
        </row>
        <row r="866">
          <cell r="A866">
            <v>672</v>
          </cell>
          <cell r="C866" t="str">
            <v>Skiddo</v>
          </cell>
          <cell r="D866" t="str">
            <v>Standard</v>
          </cell>
          <cell r="E866" t="str">
            <v>grass</v>
          </cell>
          <cell r="G866">
            <v>66</v>
          </cell>
          <cell r="H866">
            <v>65</v>
          </cell>
          <cell r="I866">
            <v>48</v>
          </cell>
          <cell r="J866">
            <v>62</v>
          </cell>
          <cell r="K866">
            <v>57</v>
          </cell>
          <cell r="L866">
            <v>52</v>
          </cell>
          <cell r="M866">
            <v>350</v>
          </cell>
          <cell r="N866" t="str">
            <v>sap-sipper</v>
          </cell>
          <cell r="P866" t="str">
            <v>grass-pelt</v>
          </cell>
          <cell r="Q866">
            <v>0.9</v>
          </cell>
          <cell r="R866">
            <v>31</v>
          </cell>
          <cell r="S866" t="str">
            <v>Thought to be one of the first Pokémon to live in harmony with humans, it has a placid disposition.</v>
          </cell>
          <cell r="T866" t="str">
            <v>https://raw.githubusercontent.com/PokeAPI/sprites/master/sprites/pokemon/other/official-artwork/672.png</v>
          </cell>
          <cell r="U866" t="str">
            <v>https://raw.githubusercontent.com/PokeAPI/sprites/master/sprites/pokemon/other/official-artwork/shiny/672.png</v>
          </cell>
        </row>
        <row r="867">
          <cell r="A867">
            <v>673</v>
          </cell>
          <cell r="C867" t="str">
            <v>Gogoat</v>
          </cell>
          <cell r="D867" t="str">
            <v>Standard</v>
          </cell>
          <cell r="E867" t="str">
            <v>grass</v>
          </cell>
          <cell r="G867">
            <v>123</v>
          </cell>
          <cell r="H867">
            <v>100</v>
          </cell>
          <cell r="I867">
            <v>62</v>
          </cell>
          <cell r="J867">
            <v>97</v>
          </cell>
          <cell r="K867">
            <v>81</v>
          </cell>
          <cell r="L867">
            <v>68</v>
          </cell>
          <cell r="M867">
            <v>531</v>
          </cell>
          <cell r="N867" t="str">
            <v>sap-sipper</v>
          </cell>
          <cell r="P867" t="str">
            <v>grass-pelt</v>
          </cell>
          <cell r="Q867">
            <v>1.7</v>
          </cell>
          <cell r="R867">
            <v>91</v>
          </cell>
          <cell r="S867" t="str">
            <v>It can tell how its Trainer is feeling by subtle shifts in the grip on its horns. This empathic sense lets them run as if one being.</v>
          </cell>
          <cell r="T867" t="str">
            <v>https://raw.githubusercontent.com/PokeAPI/sprites/master/sprites/pokemon/other/official-artwork/673.png</v>
          </cell>
          <cell r="U867" t="str">
            <v>https://raw.githubusercontent.com/PokeAPI/sprites/master/sprites/pokemon/other/official-artwork/shiny/673.png</v>
          </cell>
        </row>
        <row r="868">
          <cell r="A868">
            <v>674</v>
          </cell>
          <cell r="C868" t="str">
            <v>Pancham</v>
          </cell>
          <cell r="D868" t="str">
            <v>Standard</v>
          </cell>
          <cell r="E868" t="str">
            <v>fighting</v>
          </cell>
          <cell r="G868">
            <v>67</v>
          </cell>
          <cell r="H868">
            <v>82</v>
          </cell>
          <cell r="I868">
            <v>62</v>
          </cell>
          <cell r="J868">
            <v>46</v>
          </cell>
          <cell r="K868">
            <v>48</v>
          </cell>
          <cell r="L868">
            <v>43</v>
          </cell>
          <cell r="M868">
            <v>348</v>
          </cell>
          <cell r="N868" t="str">
            <v>iron-fist</v>
          </cell>
          <cell r="O868" t="str">
            <v>mold-breaker</v>
          </cell>
          <cell r="P868" t="str">
            <v>scrappy</v>
          </cell>
          <cell r="Q868">
            <v>0.6</v>
          </cell>
          <cell r="R868">
            <v>8</v>
          </cell>
          <cell r="S868" t="str">
            <v>It does its best to be taken seriously by its enemies, but its glare is not sufficiently intimidating. Chewing on a leaf is its trademark.</v>
          </cell>
          <cell r="T868" t="str">
            <v>https://raw.githubusercontent.com/PokeAPI/sprites/master/sprites/pokemon/other/official-artwork/674.png</v>
          </cell>
          <cell r="U868" t="str">
            <v>https://raw.githubusercontent.com/PokeAPI/sprites/master/sprites/pokemon/other/official-artwork/shiny/674.png</v>
          </cell>
        </row>
        <row r="869">
          <cell r="A869">
            <v>675</v>
          </cell>
          <cell r="C869" t="str">
            <v>Pangoro</v>
          </cell>
          <cell r="D869" t="str">
            <v>Standard</v>
          </cell>
          <cell r="E869" t="str">
            <v>fighting</v>
          </cell>
          <cell r="F869" t="str">
            <v>dark</v>
          </cell>
          <cell r="G869">
            <v>95</v>
          </cell>
          <cell r="H869">
            <v>124</v>
          </cell>
          <cell r="I869">
            <v>78</v>
          </cell>
          <cell r="J869">
            <v>69</v>
          </cell>
          <cell r="K869">
            <v>71</v>
          </cell>
          <cell r="L869">
            <v>58</v>
          </cell>
          <cell r="M869">
            <v>495</v>
          </cell>
          <cell r="N869" t="str">
            <v>iron-fist</v>
          </cell>
          <cell r="O869" t="str">
            <v>mold-breaker</v>
          </cell>
          <cell r="P869" t="str">
            <v>scrappy</v>
          </cell>
          <cell r="Q869">
            <v>2.1</v>
          </cell>
          <cell r="R869">
            <v>136</v>
          </cell>
          <cell r="S869" t="str">
            <v>Although it possesses a violent temperament, it won’t put up with bullying. It uses the leaf in its mouth to sense the movements of its enemies.</v>
          </cell>
          <cell r="T869" t="str">
            <v>https://raw.githubusercontent.com/PokeAPI/sprites/master/sprites/pokemon/other/official-artwork/675.png</v>
          </cell>
          <cell r="U869" t="str">
            <v>https://raw.githubusercontent.com/PokeAPI/sprites/master/sprites/pokemon/other/official-artwork/shiny/675.png</v>
          </cell>
        </row>
        <row r="870">
          <cell r="A870">
            <v>676</v>
          </cell>
          <cell r="C870" t="str">
            <v>Furfrou</v>
          </cell>
          <cell r="D870" t="str">
            <v>Standard</v>
          </cell>
          <cell r="E870" t="str">
            <v>normal</v>
          </cell>
          <cell r="G870">
            <v>75</v>
          </cell>
          <cell r="H870">
            <v>80</v>
          </cell>
          <cell r="I870">
            <v>60</v>
          </cell>
          <cell r="J870">
            <v>65</v>
          </cell>
          <cell r="K870">
            <v>90</v>
          </cell>
          <cell r="L870">
            <v>102</v>
          </cell>
          <cell r="M870">
            <v>472</v>
          </cell>
          <cell r="N870" t="str">
            <v>fur-coat</v>
          </cell>
          <cell r="Q870">
            <v>1.2</v>
          </cell>
          <cell r="R870">
            <v>28</v>
          </cell>
          <cell r="S870" t="str">
            <v>Trimming its fluffy fur not only makes it more elegant but also increases the swiftness of its movements.</v>
          </cell>
          <cell r="T870" t="str">
            <v>https://raw.githubusercontent.com/PokeAPI/sprites/master/sprites/pokemon/other/official-artwork/676.png</v>
          </cell>
          <cell r="U870" t="str">
            <v>https://raw.githubusercontent.com/PokeAPI/sprites/master/sprites/pokemon/other/official-artwork/shiny/676.png</v>
          </cell>
        </row>
        <row r="871">
          <cell r="A871">
            <v>677</v>
          </cell>
          <cell r="C871" t="str">
            <v>Espurr</v>
          </cell>
          <cell r="D871" t="str">
            <v>Standard</v>
          </cell>
          <cell r="E871" t="str">
            <v>psychic</v>
          </cell>
          <cell r="G871">
            <v>62</v>
          </cell>
          <cell r="H871">
            <v>48</v>
          </cell>
          <cell r="I871">
            <v>54</v>
          </cell>
          <cell r="J871">
            <v>63</v>
          </cell>
          <cell r="K871">
            <v>60</v>
          </cell>
          <cell r="L871">
            <v>68</v>
          </cell>
          <cell r="M871">
            <v>355</v>
          </cell>
          <cell r="N871" t="str">
            <v>keen-eye</v>
          </cell>
          <cell r="O871" t="str">
            <v>infiltrator</v>
          </cell>
          <cell r="P871" t="str">
            <v>own-tempo</v>
          </cell>
          <cell r="Q871">
            <v>0.3</v>
          </cell>
          <cell r="R871">
            <v>3.5</v>
          </cell>
          <cell r="S871" t="str">
            <v>The organ that emits its intense psychic power is sheltered by its ears to keep power from leaking out.</v>
          </cell>
          <cell r="T871" t="str">
            <v>https://raw.githubusercontent.com/PokeAPI/sprites/master/sprites/pokemon/other/official-artwork/677.png</v>
          </cell>
          <cell r="U871" t="str">
            <v>https://raw.githubusercontent.com/PokeAPI/sprites/master/sprites/pokemon/other/official-artwork/shiny/677.png</v>
          </cell>
        </row>
        <row r="872">
          <cell r="A872">
            <v>678</v>
          </cell>
          <cell r="C872" t="str">
            <v>Meowstic Female</v>
          </cell>
          <cell r="D872" t="str">
            <v>Other</v>
          </cell>
          <cell r="E872" t="str">
            <v>psychic</v>
          </cell>
          <cell r="G872">
            <v>74</v>
          </cell>
          <cell r="H872">
            <v>48</v>
          </cell>
          <cell r="I872">
            <v>76</v>
          </cell>
          <cell r="J872">
            <v>83</v>
          </cell>
          <cell r="K872">
            <v>81</v>
          </cell>
          <cell r="L872">
            <v>104</v>
          </cell>
          <cell r="M872">
            <v>466</v>
          </cell>
          <cell r="N872" t="str">
            <v>keen-eye</v>
          </cell>
          <cell r="O872" t="str">
            <v>infiltrator</v>
          </cell>
          <cell r="P872" t="str">
            <v>competitive</v>
          </cell>
          <cell r="Q872">
            <v>0.6</v>
          </cell>
          <cell r="R872">
            <v>8.5</v>
          </cell>
          <cell r="S872" t="str">
            <v>When in danger, it raises its ears and releases enough psychic power to grind a 10-ton truck into dust.</v>
          </cell>
          <cell r="T872" t="str">
            <v>https://raw.githubusercontent.com/PokeAPI/sprites/master/sprites/pokemon/other/official-artwork/10025.png</v>
          </cell>
          <cell r="U872" t="str">
            <v>https://raw.githubusercontent.com/PokeAPI/sprites/master/sprites/pokemon/shiny/10025.png</v>
          </cell>
        </row>
        <row r="873">
          <cell r="A873">
            <v>678</v>
          </cell>
          <cell r="C873" t="str">
            <v>Meowstic Male</v>
          </cell>
          <cell r="D873" t="str">
            <v>Other</v>
          </cell>
          <cell r="E873" t="str">
            <v>psychic</v>
          </cell>
          <cell r="G873">
            <v>74</v>
          </cell>
          <cell r="H873">
            <v>48</v>
          </cell>
          <cell r="I873">
            <v>76</v>
          </cell>
          <cell r="J873">
            <v>83</v>
          </cell>
          <cell r="K873">
            <v>81</v>
          </cell>
          <cell r="L873">
            <v>104</v>
          </cell>
          <cell r="M873">
            <v>466</v>
          </cell>
          <cell r="N873" t="str">
            <v>keen-eye</v>
          </cell>
          <cell r="O873" t="str">
            <v>infiltrator</v>
          </cell>
          <cell r="P873" t="str">
            <v>prankster</v>
          </cell>
          <cell r="Q873">
            <v>0.6</v>
          </cell>
          <cell r="R873">
            <v>8.5</v>
          </cell>
          <cell r="S873" t="str">
            <v>When in danger, it raises its ears and releases enough psychic power to grind a 10-ton truck into dust.</v>
          </cell>
          <cell r="T873" t="str">
            <v>https://raw.githubusercontent.com/PokeAPI/sprites/master/sprites/pokemon/other/official-artwork/678.png</v>
          </cell>
          <cell r="U873" t="str">
            <v>https://raw.githubusercontent.com/PokeAPI/sprites/master/sprites/pokemon/other/official-artwork/shiny/678.png</v>
          </cell>
        </row>
        <row r="874">
          <cell r="A874">
            <v>678</v>
          </cell>
          <cell r="C874" t="str">
            <v>Meowstic Mega</v>
          </cell>
          <cell r="D874" t="str">
            <v>Mega</v>
          </cell>
          <cell r="E874" t="str">
            <v>psychic</v>
          </cell>
          <cell r="G874">
            <v>74</v>
          </cell>
          <cell r="H874">
            <v>48</v>
          </cell>
          <cell r="I874">
            <v>76</v>
          </cell>
          <cell r="J874">
            <v>143</v>
          </cell>
          <cell r="K874">
            <v>101</v>
          </cell>
          <cell r="L874">
            <v>124</v>
          </cell>
          <cell r="M874">
            <v>566</v>
          </cell>
          <cell r="Q874">
            <v>0.8</v>
          </cell>
          <cell r="R874">
            <v>10.1</v>
          </cell>
          <cell r="S874" t="str">
            <v>When in danger, it raises its ears and releases enough psychic power to grind a 10-ton truck into dust.</v>
          </cell>
        </row>
        <row r="875">
          <cell r="A875">
            <v>679</v>
          </cell>
          <cell r="C875" t="str">
            <v>Honedge</v>
          </cell>
          <cell r="D875" t="str">
            <v>Standard</v>
          </cell>
          <cell r="E875" t="str">
            <v>steel</v>
          </cell>
          <cell r="F875" t="str">
            <v>ghost</v>
          </cell>
          <cell r="G875">
            <v>45</v>
          </cell>
          <cell r="H875">
            <v>80</v>
          </cell>
          <cell r="I875">
            <v>100</v>
          </cell>
          <cell r="J875">
            <v>35</v>
          </cell>
          <cell r="K875">
            <v>37</v>
          </cell>
          <cell r="L875">
            <v>28</v>
          </cell>
          <cell r="M875">
            <v>325</v>
          </cell>
          <cell r="N875" t="str">
            <v>no-guard</v>
          </cell>
          <cell r="Q875">
            <v>0.8</v>
          </cell>
          <cell r="R875">
            <v>2</v>
          </cell>
          <cell r="S875" t="str">
            <v>Apparently this Pokémon is born when a departed spirit inhabits a sword. It attaches itself to people and drinks their life force.</v>
          </cell>
          <cell r="T875" t="str">
            <v>https://raw.githubusercontent.com/PokeAPI/sprites/master/sprites/pokemon/other/official-artwork/679.png</v>
          </cell>
          <cell r="U875" t="str">
            <v>https://raw.githubusercontent.com/PokeAPI/sprites/master/sprites/pokemon/other/official-artwork/shiny/679.png</v>
          </cell>
        </row>
        <row r="876">
          <cell r="A876">
            <v>680</v>
          </cell>
          <cell r="C876" t="str">
            <v>Doublade</v>
          </cell>
          <cell r="D876" t="str">
            <v>Standard</v>
          </cell>
          <cell r="E876" t="str">
            <v>steel</v>
          </cell>
          <cell r="F876" t="str">
            <v>ghost</v>
          </cell>
          <cell r="G876">
            <v>59</v>
          </cell>
          <cell r="H876">
            <v>110</v>
          </cell>
          <cell r="I876">
            <v>150</v>
          </cell>
          <cell r="J876">
            <v>45</v>
          </cell>
          <cell r="K876">
            <v>49</v>
          </cell>
          <cell r="L876">
            <v>35</v>
          </cell>
          <cell r="M876">
            <v>448</v>
          </cell>
          <cell r="N876" t="str">
            <v>no-guard</v>
          </cell>
          <cell r="Q876">
            <v>0.8</v>
          </cell>
          <cell r="R876">
            <v>4.5</v>
          </cell>
          <cell r="S876" t="str">
            <v>When Honedge evolves, it divides into two swords, which cooperate via telepathy to coordinate attacks and slash their enemies to ribbons.</v>
          </cell>
          <cell r="T876" t="str">
            <v>https://raw.githubusercontent.com/PokeAPI/sprites/master/sprites/pokemon/other/official-artwork/680.png</v>
          </cell>
          <cell r="U876" t="str">
            <v>https://raw.githubusercontent.com/PokeAPI/sprites/master/sprites/pokemon/other/official-artwork/shiny/680.png</v>
          </cell>
        </row>
        <row r="877">
          <cell r="A877">
            <v>681</v>
          </cell>
          <cell r="C877" t="str">
            <v>Aegislash Blade</v>
          </cell>
          <cell r="D877" t="str">
            <v>Other</v>
          </cell>
          <cell r="E877" t="str">
            <v>steel</v>
          </cell>
          <cell r="F877" t="str">
            <v>ghost</v>
          </cell>
          <cell r="G877">
            <v>60</v>
          </cell>
          <cell r="H877">
            <v>140</v>
          </cell>
          <cell r="I877">
            <v>50</v>
          </cell>
          <cell r="J877">
            <v>140</v>
          </cell>
          <cell r="K877">
            <v>50</v>
          </cell>
          <cell r="L877">
            <v>60</v>
          </cell>
          <cell r="M877">
            <v>500</v>
          </cell>
          <cell r="N877" t="str">
            <v>stance-change</v>
          </cell>
          <cell r="Q877">
            <v>1.7</v>
          </cell>
          <cell r="R877">
            <v>53</v>
          </cell>
          <cell r="S877" t="str">
            <v>Generations of kings were attended by these Pokémon, which used their spectral power to manipulate and control people and Pokémon.</v>
          </cell>
          <cell r="T877" t="str">
            <v>https://raw.githubusercontent.com/PokeAPI/sprites/master/sprites/pokemon/other/official-artwork/10026.png</v>
          </cell>
          <cell r="U877" t="str">
            <v>https://raw.githubusercontent.com/PokeAPI/sprites/master/sprites/pokemon/other/official-artwork/shiny/10026.png</v>
          </cell>
        </row>
        <row r="878">
          <cell r="A878">
            <v>681</v>
          </cell>
          <cell r="C878" t="str">
            <v>Aegislash Shield</v>
          </cell>
          <cell r="D878" t="str">
            <v>Other</v>
          </cell>
          <cell r="E878" t="str">
            <v>steel</v>
          </cell>
          <cell r="F878" t="str">
            <v>ghost</v>
          </cell>
          <cell r="G878">
            <v>60</v>
          </cell>
          <cell r="H878">
            <v>50</v>
          </cell>
          <cell r="I878">
            <v>140</v>
          </cell>
          <cell r="J878">
            <v>50</v>
          </cell>
          <cell r="K878">
            <v>140</v>
          </cell>
          <cell r="L878">
            <v>60</v>
          </cell>
          <cell r="M878">
            <v>500</v>
          </cell>
          <cell r="N878" t="str">
            <v>stance-change</v>
          </cell>
          <cell r="Q878">
            <v>1.7</v>
          </cell>
          <cell r="R878">
            <v>53</v>
          </cell>
          <cell r="S878" t="str">
            <v>Generations of kings were attended by these Pokémon, which used their spectral power to manipulate and control people and Pokémon.</v>
          </cell>
          <cell r="T878" t="str">
            <v>https://raw.githubusercontent.com/PokeAPI/sprites/master/sprites/pokemon/other/official-artwork/681.png</v>
          </cell>
          <cell r="U878" t="str">
            <v>https://raw.githubusercontent.com/PokeAPI/sprites/master/sprites/pokemon/other/official-artwork/shiny/681.png</v>
          </cell>
        </row>
        <row r="879">
          <cell r="A879">
            <v>682</v>
          </cell>
          <cell r="C879" t="str">
            <v>Spritzee</v>
          </cell>
          <cell r="D879" t="str">
            <v>Standard</v>
          </cell>
          <cell r="E879" t="str">
            <v>fairy</v>
          </cell>
          <cell r="G879">
            <v>78</v>
          </cell>
          <cell r="H879">
            <v>52</v>
          </cell>
          <cell r="I879">
            <v>60</v>
          </cell>
          <cell r="J879">
            <v>63</v>
          </cell>
          <cell r="K879">
            <v>65</v>
          </cell>
          <cell r="L879">
            <v>23</v>
          </cell>
          <cell r="M879">
            <v>341</v>
          </cell>
          <cell r="N879" t="str">
            <v>healer</v>
          </cell>
          <cell r="P879" t="str">
            <v>aroma-veil</v>
          </cell>
          <cell r="Q879">
            <v>0.2</v>
          </cell>
          <cell r="R879">
            <v>0.5</v>
          </cell>
          <cell r="S879" t="str">
            <v>It emits a scent that enraptures those who smell it. This fragrance changes depending on what it has eaten.</v>
          </cell>
          <cell r="T879" t="str">
            <v>https://raw.githubusercontent.com/PokeAPI/sprites/master/sprites/pokemon/other/official-artwork/682.png</v>
          </cell>
          <cell r="U879" t="str">
            <v>https://raw.githubusercontent.com/PokeAPI/sprites/master/sprites/pokemon/other/official-artwork/shiny/682.png</v>
          </cell>
        </row>
        <row r="880">
          <cell r="A880">
            <v>683</v>
          </cell>
          <cell r="C880" t="str">
            <v>Aromatisse</v>
          </cell>
          <cell r="D880" t="str">
            <v>Standard</v>
          </cell>
          <cell r="E880" t="str">
            <v>fairy</v>
          </cell>
          <cell r="G880">
            <v>101</v>
          </cell>
          <cell r="H880">
            <v>72</v>
          </cell>
          <cell r="I880">
            <v>72</v>
          </cell>
          <cell r="J880">
            <v>99</v>
          </cell>
          <cell r="K880">
            <v>89</v>
          </cell>
          <cell r="L880">
            <v>29</v>
          </cell>
          <cell r="M880">
            <v>462</v>
          </cell>
          <cell r="N880" t="str">
            <v>healer</v>
          </cell>
          <cell r="P880" t="str">
            <v>aroma-veil</v>
          </cell>
          <cell r="Q880">
            <v>0.8</v>
          </cell>
          <cell r="R880">
            <v>15.5</v>
          </cell>
          <cell r="S880" t="str">
            <v>It devises various scents, pleasant and unpleasant, and emits scents that its enemies dislike in order to gain an edge in battle.</v>
          </cell>
          <cell r="T880" t="str">
            <v>https://raw.githubusercontent.com/PokeAPI/sprites/master/sprites/pokemon/other/official-artwork/683.png</v>
          </cell>
          <cell r="U880" t="str">
            <v>https://raw.githubusercontent.com/PokeAPI/sprites/master/sprites/pokemon/other/official-artwork/shiny/683.png</v>
          </cell>
        </row>
        <row r="881">
          <cell r="A881">
            <v>684</v>
          </cell>
          <cell r="C881" t="str">
            <v>Swirlix</v>
          </cell>
          <cell r="D881" t="str">
            <v>Standard</v>
          </cell>
          <cell r="E881" t="str">
            <v>fairy</v>
          </cell>
          <cell r="G881">
            <v>62</v>
          </cell>
          <cell r="H881">
            <v>48</v>
          </cell>
          <cell r="I881">
            <v>66</v>
          </cell>
          <cell r="J881">
            <v>59</v>
          </cell>
          <cell r="K881">
            <v>57</v>
          </cell>
          <cell r="L881">
            <v>49</v>
          </cell>
          <cell r="M881">
            <v>341</v>
          </cell>
          <cell r="N881" t="str">
            <v>sweet-veil</v>
          </cell>
          <cell r="P881" t="str">
            <v>unburden</v>
          </cell>
          <cell r="Q881">
            <v>0.4</v>
          </cell>
          <cell r="R881">
            <v>3.5</v>
          </cell>
          <cell r="S881" t="str">
            <v>To entangle its opponents in battle, it extrudes white threads as sweet and sticky as cotton candy.</v>
          </cell>
          <cell r="T881" t="str">
            <v>https://raw.githubusercontent.com/PokeAPI/sprites/master/sprites/pokemon/other/official-artwork/684.png</v>
          </cell>
          <cell r="U881" t="str">
            <v>https://raw.githubusercontent.com/PokeAPI/sprites/master/sprites/pokemon/other/official-artwork/shiny/684.png</v>
          </cell>
        </row>
        <row r="882">
          <cell r="A882">
            <v>685</v>
          </cell>
          <cell r="C882" t="str">
            <v>Slurpuff</v>
          </cell>
          <cell r="D882" t="str">
            <v>Standard</v>
          </cell>
          <cell r="E882" t="str">
            <v>fairy</v>
          </cell>
          <cell r="G882">
            <v>82</v>
          </cell>
          <cell r="H882">
            <v>80</v>
          </cell>
          <cell r="I882">
            <v>86</v>
          </cell>
          <cell r="J882">
            <v>85</v>
          </cell>
          <cell r="K882">
            <v>75</v>
          </cell>
          <cell r="L882">
            <v>72</v>
          </cell>
          <cell r="M882">
            <v>480</v>
          </cell>
          <cell r="N882" t="str">
            <v>sweet-veil</v>
          </cell>
          <cell r="P882" t="str">
            <v>unburden</v>
          </cell>
          <cell r="Q882">
            <v>0.8</v>
          </cell>
          <cell r="R882">
            <v>5</v>
          </cell>
          <cell r="S882" t="str">
            <v>It can distinguish the faintest of scents. It puts its sensitive sense of smell to use by helping pastry chefs in their work.</v>
          </cell>
          <cell r="T882" t="str">
            <v>https://raw.githubusercontent.com/PokeAPI/sprites/master/sprites/pokemon/other/official-artwork/685.png</v>
          </cell>
          <cell r="U882" t="str">
            <v>https://raw.githubusercontent.com/PokeAPI/sprites/master/sprites/pokemon/other/official-artwork/shiny/685.png</v>
          </cell>
        </row>
        <row r="883">
          <cell r="A883">
            <v>686</v>
          </cell>
          <cell r="C883" t="str">
            <v>Inkay</v>
          </cell>
          <cell r="D883" t="str">
            <v>Standard</v>
          </cell>
          <cell r="E883" t="str">
            <v>dark</v>
          </cell>
          <cell r="F883" t="str">
            <v>psychic</v>
          </cell>
          <cell r="G883">
            <v>53</v>
          </cell>
          <cell r="H883">
            <v>54</v>
          </cell>
          <cell r="I883">
            <v>53</v>
          </cell>
          <cell r="J883">
            <v>37</v>
          </cell>
          <cell r="K883">
            <v>46</v>
          </cell>
          <cell r="L883">
            <v>45</v>
          </cell>
          <cell r="M883">
            <v>288</v>
          </cell>
          <cell r="N883" t="str">
            <v>contrary</v>
          </cell>
          <cell r="O883" t="str">
            <v>suction-cups</v>
          </cell>
          <cell r="P883" t="str">
            <v>infiltrator</v>
          </cell>
          <cell r="Q883">
            <v>0.4</v>
          </cell>
          <cell r="R883">
            <v>3.5</v>
          </cell>
          <cell r="S883" t="str">
            <v>Opponents who stare at the flashing of the light-emitting spots on its body become dazed and lose their will to fight.</v>
          </cell>
          <cell r="T883" t="str">
            <v>https://raw.githubusercontent.com/PokeAPI/sprites/master/sprites/pokemon/other/official-artwork/686.png</v>
          </cell>
          <cell r="U883" t="str">
            <v>https://raw.githubusercontent.com/PokeAPI/sprites/master/sprites/pokemon/other/official-artwork/shiny/686.png</v>
          </cell>
        </row>
        <row r="884">
          <cell r="A884">
            <v>687</v>
          </cell>
          <cell r="C884" t="str">
            <v>Malamar</v>
          </cell>
          <cell r="D884" t="str">
            <v>Standard</v>
          </cell>
          <cell r="E884" t="str">
            <v>dark</v>
          </cell>
          <cell r="F884" t="str">
            <v>psychic</v>
          </cell>
          <cell r="G884">
            <v>86</v>
          </cell>
          <cell r="H884">
            <v>92</v>
          </cell>
          <cell r="I884">
            <v>88</v>
          </cell>
          <cell r="J884">
            <v>68</v>
          </cell>
          <cell r="K884">
            <v>75</v>
          </cell>
          <cell r="L884">
            <v>73</v>
          </cell>
          <cell r="M884">
            <v>482</v>
          </cell>
          <cell r="N884" t="str">
            <v>contrary</v>
          </cell>
          <cell r="O884" t="str">
            <v>suction-cups</v>
          </cell>
          <cell r="P884" t="str">
            <v>infiltrator</v>
          </cell>
          <cell r="Q884">
            <v>1.5</v>
          </cell>
          <cell r="R884">
            <v>47</v>
          </cell>
          <cell r="S884" t="str">
            <v>It wields the most compelling hypnotic powers of any Pokémon, and it forces others to do whatever it wants.</v>
          </cell>
          <cell r="T884" t="str">
            <v>https://raw.githubusercontent.com/PokeAPI/sprites/master/sprites/pokemon/other/official-artwork/687.png</v>
          </cell>
          <cell r="U884" t="str">
            <v>https://raw.githubusercontent.com/PokeAPI/sprites/master/sprites/pokemon/other/official-artwork/shiny/687.png</v>
          </cell>
        </row>
        <row r="885">
          <cell r="A885">
            <v>687</v>
          </cell>
          <cell r="C885" t="str">
            <v>Malamar Mega</v>
          </cell>
          <cell r="D885" t="str">
            <v>Mega</v>
          </cell>
          <cell r="E885" t="str">
            <v>dark</v>
          </cell>
          <cell r="F885" t="str">
            <v>psychic</v>
          </cell>
          <cell r="G885">
            <v>86</v>
          </cell>
          <cell r="H885">
            <v>102</v>
          </cell>
          <cell r="I885">
            <v>88</v>
          </cell>
          <cell r="J885">
            <v>98</v>
          </cell>
          <cell r="K885">
            <v>120</v>
          </cell>
          <cell r="L885">
            <v>88</v>
          </cell>
          <cell r="M885">
            <v>582</v>
          </cell>
          <cell r="Q885">
            <v>2.9</v>
          </cell>
          <cell r="R885">
            <v>69.8</v>
          </cell>
          <cell r="S885" t="str">
            <v>It wields the most compelling hypnotic powers of any Pokémon, and it forces others to do whatever it wants.</v>
          </cell>
        </row>
        <row r="886">
          <cell r="A886">
            <v>688</v>
          </cell>
          <cell r="C886" t="str">
            <v>Binacle</v>
          </cell>
          <cell r="D886" t="str">
            <v>Standard</v>
          </cell>
          <cell r="E886" t="str">
            <v>rock</v>
          </cell>
          <cell r="F886" t="str">
            <v>water</v>
          </cell>
          <cell r="G886">
            <v>42</v>
          </cell>
          <cell r="H886">
            <v>52</v>
          </cell>
          <cell r="I886">
            <v>67</v>
          </cell>
          <cell r="J886">
            <v>39</v>
          </cell>
          <cell r="K886">
            <v>56</v>
          </cell>
          <cell r="L886">
            <v>50</v>
          </cell>
          <cell r="M886">
            <v>306</v>
          </cell>
          <cell r="N886" t="str">
            <v>tough-claws</v>
          </cell>
          <cell r="O886" t="str">
            <v>sniper</v>
          </cell>
          <cell r="P886" t="str">
            <v>pickpocket</v>
          </cell>
          <cell r="Q886">
            <v>0.5</v>
          </cell>
          <cell r="R886">
            <v>31</v>
          </cell>
          <cell r="S886" t="str">
            <v>Two Binacle live together on one rock. When they fight, one of them will move to a different rock.</v>
          </cell>
          <cell r="T886" t="str">
            <v>https://raw.githubusercontent.com/PokeAPI/sprites/master/sprites/pokemon/other/official-artwork/688.png</v>
          </cell>
          <cell r="U886" t="str">
            <v>https://raw.githubusercontent.com/PokeAPI/sprites/master/sprites/pokemon/other/official-artwork/shiny/688.png</v>
          </cell>
        </row>
        <row r="887">
          <cell r="A887">
            <v>689</v>
          </cell>
          <cell r="C887" t="str">
            <v>Barbaracle</v>
          </cell>
          <cell r="D887" t="str">
            <v>Standard</v>
          </cell>
          <cell r="E887" t="str">
            <v>rock</v>
          </cell>
          <cell r="F887" t="str">
            <v>water</v>
          </cell>
          <cell r="G887">
            <v>72</v>
          </cell>
          <cell r="H887">
            <v>105</v>
          </cell>
          <cell r="I887">
            <v>115</v>
          </cell>
          <cell r="J887">
            <v>54</v>
          </cell>
          <cell r="K887">
            <v>86</v>
          </cell>
          <cell r="L887">
            <v>68</v>
          </cell>
          <cell r="M887">
            <v>500</v>
          </cell>
          <cell r="N887" t="str">
            <v>tough-claws</v>
          </cell>
          <cell r="O887" t="str">
            <v>sniper</v>
          </cell>
          <cell r="P887" t="str">
            <v>pickpocket</v>
          </cell>
          <cell r="Q887">
            <v>1.3</v>
          </cell>
          <cell r="R887">
            <v>96</v>
          </cell>
          <cell r="S887" t="str">
            <v>When they evolve, two Binacle multiply into seven. They fight with the power of seven Binacle.</v>
          </cell>
          <cell r="T887" t="str">
            <v>https://raw.githubusercontent.com/PokeAPI/sprites/master/sprites/pokemon/other/official-artwork/689.png</v>
          </cell>
          <cell r="U887" t="str">
            <v>https://raw.githubusercontent.com/PokeAPI/sprites/master/sprites/pokemon/other/official-artwork/shiny/689.png</v>
          </cell>
        </row>
        <row r="888">
          <cell r="A888">
            <v>689</v>
          </cell>
          <cell r="C888" t="str">
            <v>Barbaracle Mega</v>
          </cell>
          <cell r="D888" t="str">
            <v>Mega</v>
          </cell>
          <cell r="E888" t="str">
            <v>rock</v>
          </cell>
          <cell r="F888" t="str">
            <v>fighting</v>
          </cell>
          <cell r="G888">
            <v>72</v>
          </cell>
          <cell r="H888">
            <v>140</v>
          </cell>
          <cell r="I888">
            <v>130</v>
          </cell>
          <cell r="J888">
            <v>64</v>
          </cell>
          <cell r="K888">
            <v>106</v>
          </cell>
          <cell r="L888">
            <v>88</v>
          </cell>
          <cell r="M888">
            <v>600</v>
          </cell>
          <cell r="Q888">
            <v>2.2000000000000002</v>
          </cell>
          <cell r="R888">
            <v>100</v>
          </cell>
          <cell r="S888" t="str">
            <v>When they evolve, two Binacle multiply into seven. They fight with the power of seven Binacle.</v>
          </cell>
        </row>
        <row r="889">
          <cell r="A889">
            <v>690</v>
          </cell>
          <cell r="C889" t="str">
            <v>Skrelp</v>
          </cell>
          <cell r="D889" t="str">
            <v>Standard</v>
          </cell>
          <cell r="E889" t="str">
            <v>poison</v>
          </cell>
          <cell r="F889" t="str">
            <v>water</v>
          </cell>
          <cell r="G889">
            <v>50</v>
          </cell>
          <cell r="H889">
            <v>60</v>
          </cell>
          <cell r="I889">
            <v>60</v>
          </cell>
          <cell r="J889">
            <v>60</v>
          </cell>
          <cell r="K889">
            <v>60</v>
          </cell>
          <cell r="L889">
            <v>30</v>
          </cell>
          <cell r="M889">
            <v>320</v>
          </cell>
          <cell r="N889" t="str">
            <v>poison-point</v>
          </cell>
          <cell r="O889" t="str">
            <v>poison-touch</v>
          </cell>
          <cell r="P889" t="str">
            <v>adaptability</v>
          </cell>
          <cell r="Q889">
            <v>0.5</v>
          </cell>
          <cell r="R889">
            <v>7.3</v>
          </cell>
          <cell r="S889" t="str">
            <v>Camouflaged as rotten kelp, they spray liquid poison on prey that approaches unawares and then finish it off.</v>
          </cell>
          <cell r="T889" t="str">
            <v>https://raw.githubusercontent.com/PokeAPI/sprites/master/sprites/pokemon/other/official-artwork/690.png</v>
          </cell>
          <cell r="U889" t="str">
            <v>https://raw.githubusercontent.com/PokeAPI/sprites/master/sprites/pokemon/other/official-artwork/shiny/690.png</v>
          </cell>
        </row>
        <row r="890">
          <cell r="A890">
            <v>691</v>
          </cell>
          <cell r="C890" t="str">
            <v>Dragalge</v>
          </cell>
          <cell r="D890" t="str">
            <v>Standard</v>
          </cell>
          <cell r="E890" t="str">
            <v>poison</v>
          </cell>
          <cell r="F890" t="str">
            <v>dragon</v>
          </cell>
          <cell r="G890">
            <v>65</v>
          </cell>
          <cell r="H890">
            <v>75</v>
          </cell>
          <cell r="I890">
            <v>90</v>
          </cell>
          <cell r="J890">
            <v>97</v>
          </cell>
          <cell r="K890">
            <v>123</v>
          </cell>
          <cell r="L890">
            <v>44</v>
          </cell>
          <cell r="M890">
            <v>494</v>
          </cell>
          <cell r="N890" t="str">
            <v>poison-point</v>
          </cell>
          <cell r="O890" t="str">
            <v>poison-touch</v>
          </cell>
          <cell r="P890" t="str">
            <v>adaptability</v>
          </cell>
          <cell r="Q890">
            <v>1.8</v>
          </cell>
          <cell r="R890">
            <v>81.5</v>
          </cell>
          <cell r="S890" t="str">
            <v>Their poison is strong enough to eat through the hull of a tanker, and they spit it indiscriminately at anything that enters their territory.</v>
          </cell>
          <cell r="T890" t="str">
            <v>https://raw.githubusercontent.com/PokeAPI/sprites/master/sprites/pokemon/other/official-artwork/691.png</v>
          </cell>
          <cell r="U890" t="str">
            <v>https://raw.githubusercontent.com/PokeAPI/sprites/master/sprites/pokemon/other/official-artwork/shiny/691.png</v>
          </cell>
        </row>
        <row r="891">
          <cell r="A891">
            <v>691</v>
          </cell>
          <cell r="C891" t="str">
            <v>Dragalge Mega</v>
          </cell>
          <cell r="D891" t="str">
            <v>Mega</v>
          </cell>
          <cell r="E891" t="str">
            <v>poison</v>
          </cell>
          <cell r="F891" t="str">
            <v>dragon</v>
          </cell>
          <cell r="G891">
            <v>65</v>
          </cell>
          <cell r="H891">
            <v>85</v>
          </cell>
          <cell r="I891">
            <v>105</v>
          </cell>
          <cell r="J891">
            <v>132</v>
          </cell>
          <cell r="K891">
            <v>163</v>
          </cell>
          <cell r="L891">
            <v>44</v>
          </cell>
          <cell r="M891">
            <v>594</v>
          </cell>
          <cell r="Q891">
            <v>2.1</v>
          </cell>
          <cell r="R891">
            <v>100.3</v>
          </cell>
          <cell r="S891" t="str">
            <v>Their poison is strong enough to eat through the hull of a tanker, and they spit it indiscriminately at anything that enters their territory.</v>
          </cell>
        </row>
        <row r="892">
          <cell r="A892">
            <v>692</v>
          </cell>
          <cell r="C892" t="str">
            <v>Clauncher</v>
          </cell>
          <cell r="D892" t="str">
            <v>Standard</v>
          </cell>
          <cell r="E892" t="str">
            <v>water</v>
          </cell>
          <cell r="G892">
            <v>50</v>
          </cell>
          <cell r="H892">
            <v>53</v>
          </cell>
          <cell r="I892">
            <v>62</v>
          </cell>
          <cell r="J892">
            <v>58</v>
          </cell>
          <cell r="K892">
            <v>63</v>
          </cell>
          <cell r="L892">
            <v>44</v>
          </cell>
          <cell r="M892">
            <v>330</v>
          </cell>
          <cell r="N892" t="str">
            <v>mega-launcher</v>
          </cell>
          <cell r="Q892">
            <v>0.5</v>
          </cell>
          <cell r="R892">
            <v>8.3000000000000007</v>
          </cell>
          <cell r="S892" t="str">
            <v>They knock down flying prey by firing compressed water from their massive claws like shooting a pistol.</v>
          </cell>
          <cell r="T892" t="str">
            <v>https://raw.githubusercontent.com/PokeAPI/sprites/master/sprites/pokemon/other/official-artwork/692.png</v>
          </cell>
          <cell r="U892" t="str">
            <v>https://raw.githubusercontent.com/PokeAPI/sprites/master/sprites/pokemon/other/official-artwork/shiny/692.png</v>
          </cell>
        </row>
        <row r="893">
          <cell r="A893">
            <v>693</v>
          </cell>
          <cell r="C893" t="str">
            <v>Clawitzer</v>
          </cell>
          <cell r="D893" t="str">
            <v>Standard</v>
          </cell>
          <cell r="E893" t="str">
            <v>water</v>
          </cell>
          <cell r="G893">
            <v>71</v>
          </cell>
          <cell r="H893">
            <v>73</v>
          </cell>
          <cell r="I893">
            <v>88</v>
          </cell>
          <cell r="J893">
            <v>120</v>
          </cell>
          <cell r="K893">
            <v>89</v>
          </cell>
          <cell r="L893">
            <v>59</v>
          </cell>
          <cell r="M893">
            <v>500</v>
          </cell>
          <cell r="N893" t="str">
            <v>mega-launcher</v>
          </cell>
          <cell r="Q893">
            <v>1.3</v>
          </cell>
          <cell r="R893">
            <v>35.299999999999997</v>
          </cell>
          <cell r="S893" t="str">
            <v>Their enormous claws launch cannonballs of water powerful enough to pierce tanker hulls.</v>
          </cell>
          <cell r="T893" t="str">
            <v>https://raw.githubusercontent.com/PokeAPI/sprites/master/sprites/pokemon/other/official-artwork/693.png</v>
          </cell>
          <cell r="U893" t="str">
            <v>https://raw.githubusercontent.com/PokeAPI/sprites/master/sprites/pokemon/other/official-artwork/shiny/693.png</v>
          </cell>
        </row>
        <row r="894">
          <cell r="A894">
            <v>694</v>
          </cell>
          <cell r="C894" t="str">
            <v>Helioptile</v>
          </cell>
          <cell r="D894" t="str">
            <v>Standard</v>
          </cell>
          <cell r="E894" t="str">
            <v>electric</v>
          </cell>
          <cell r="F894" t="str">
            <v>normal</v>
          </cell>
          <cell r="G894">
            <v>44</v>
          </cell>
          <cell r="H894">
            <v>38</v>
          </cell>
          <cell r="I894">
            <v>33</v>
          </cell>
          <cell r="J894">
            <v>61</v>
          </cell>
          <cell r="K894">
            <v>43</v>
          </cell>
          <cell r="L894">
            <v>70</v>
          </cell>
          <cell r="M894">
            <v>289</v>
          </cell>
          <cell r="N894" t="str">
            <v>dry-skin</v>
          </cell>
          <cell r="O894" t="str">
            <v>sand-veil</v>
          </cell>
          <cell r="P894" t="str">
            <v>solar-power</v>
          </cell>
          <cell r="Q894">
            <v>0.5</v>
          </cell>
          <cell r="R894">
            <v>6</v>
          </cell>
          <cell r="S894" t="str">
            <v>They make their home in deserts. They can generate their energy from basking in the sun, so eating food is not a requirement.</v>
          </cell>
          <cell r="T894" t="str">
            <v>https://raw.githubusercontent.com/PokeAPI/sprites/master/sprites/pokemon/other/official-artwork/694.png</v>
          </cell>
          <cell r="U894" t="str">
            <v>https://raw.githubusercontent.com/PokeAPI/sprites/master/sprites/pokemon/other/official-artwork/shiny/694.png</v>
          </cell>
        </row>
        <row r="895">
          <cell r="A895">
            <v>695</v>
          </cell>
          <cell r="C895" t="str">
            <v>Heliolisk</v>
          </cell>
          <cell r="D895" t="str">
            <v>Standard</v>
          </cell>
          <cell r="E895" t="str">
            <v>electric</v>
          </cell>
          <cell r="F895" t="str">
            <v>normal</v>
          </cell>
          <cell r="G895">
            <v>62</v>
          </cell>
          <cell r="H895">
            <v>55</v>
          </cell>
          <cell r="I895">
            <v>52</v>
          </cell>
          <cell r="J895">
            <v>109</v>
          </cell>
          <cell r="K895">
            <v>94</v>
          </cell>
          <cell r="L895">
            <v>109</v>
          </cell>
          <cell r="M895">
            <v>481</v>
          </cell>
          <cell r="N895" t="str">
            <v>dry-skin</v>
          </cell>
          <cell r="O895" t="str">
            <v>sand-veil</v>
          </cell>
          <cell r="P895" t="str">
            <v>solar-power</v>
          </cell>
          <cell r="Q895">
            <v>1</v>
          </cell>
          <cell r="R895">
            <v>21</v>
          </cell>
          <cell r="S895" t="str">
            <v>They flare their frills and generate energy. A single Heliolisk can generate sufficient electricity to power a skyscraper.</v>
          </cell>
          <cell r="T895" t="str">
            <v>https://raw.githubusercontent.com/PokeAPI/sprites/master/sprites/pokemon/other/official-artwork/695.png</v>
          </cell>
          <cell r="U895" t="str">
            <v>https://raw.githubusercontent.com/PokeAPI/sprites/master/sprites/pokemon/other/official-artwork/shiny/695.png</v>
          </cell>
        </row>
        <row r="896">
          <cell r="A896">
            <v>696</v>
          </cell>
          <cell r="C896" t="str">
            <v>Tyrunt</v>
          </cell>
          <cell r="D896" t="str">
            <v>Standard</v>
          </cell>
          <cell r="E896" t="str">
            <v>rock</v>
          </cell>
          <cell r="F896" t="str">
            <v>dragon</v>
          </cell>
          <cell r="G896">
            <v>58</v>
          </cell>
          <cell r="H896">
            <v>89</v>
          </cell>
          <cell r="I896">
            <v>77</v>
          </cell>
          <cell r="J896">
            <v>45</v>
          </cell>
          <cell r="K896">
            <v>45</v>
          </cell>
          <cell r="L896">
            <v>48</v>
          </cell>
          <cell r="M896">
            <v>362</v>
          </cell>
          <cell r="N896" t="str">
            <v>strong-jaw</v>
          </cell>
          <cell r="P896" t="str">
            <v>sturdy</v>
          </cell>
          <cell r="Q896">
            <v>0.8</v>
          </cell>
          <cell r="R896">
            <v>26</v>
          </cell>
          <cell r="S896" t="str">
            <v>This Pokémon was restored from a fossil. If something happens that it doesn’t like, it throws a tantrum and runs wild.</v>
          </cell>
          <cell r="T896" t="str">
            <v>https://raw.githubusercontent.com/PokeAPI/sprites/master/sprites/pokemon/other/official-artwork/696.png</v>
          </cell>
          <cell r="U896" t="str">
            <v>https://raw.githubusercontent.com/PokeAPI/sprites/master/sprites/pokemon/other/official-artwork/shiny/696.png</v>
          </cell>
        </row>
        <row r="897">
          <cell r="A897">
            <v>697</v>
          </cell>
          <cell r="C897" t="str">
            <v>Tyrantrum</v>
          </cell>
          <cell r="D897" t="str">
            <v>Standard</v>
          </cell>
          <cell r="E897" t="str">
            <v>rock</v>
          </cell>
          <cell r="F897" t="str">
            <v>dragon</v>
          </cell>
          <cell r="G897">
            <v>82</v>
          </cell>
          <cell r="H897">
            <v>121</v>
          </cell>
          <cell r="I897">
            <v>119</v>
          </cell>
          <cell r="J897">
            <v>69</v>
          </cell>
          <cell r="K897">
            <v>59</v>
          </cell>
          <cell r="L897">
            <v>71</v>
          </cell>
          <cell r="M897">
            <v>521</v>
          </cell>
          <cell r="N897" t="str">
            <v>strong-jaw</v>
          </cell>
          <cell r="P897" t="str">
            <v>rock-head</v>
          </cell>
          <cell r="Q897">
            <v>2.5</v>
          </cell>
          <cell r="R897">
            <v>270</v>
          </cell>
          <cell r="S897" t="str">
            <v>Thanks to its gargantuan jaws, which could shred thick metal plates as if they were paper, it was invincible in the ancient world it once inhabited.</v>
          </cell>
          <cell r="T897" t="str">
            <v>https://raw.githubusercontent.com/PokeAPI/sprites/master/sprites/pokemon/other/official-artwork/697.png</v>
          </cell>
          <cell r="U897" t="str">
            <v>https://raw.githubusercontent.com/PokeAPI/sprites/master/sprites/pokemon/other/official-artwork/shiny/697.png</v>
          </cell>
        </row>
        <row r="898">
          <cell r="A898">
            <v>698</v>
          </cell>
          <cell r="C898" t="str">
            <v>Amaura</v>
          </cell>
          <cell r="D898" t="str">
            <v>Standard</v>
          </cell>
          <cell r="E898" t="str">
            <v>rock</v>
          </cell>
          <cell r="F898" t="str">
            <v>ice</v>
          </cell>
          <cell r="G898">
            <v>77</v>
          </cell>
          <cell r="H898">
            <v>59</v>
          </cell>
          <cell r="I898">
            <v>50</v>
          </cell>
          <cell r="J898">
            <v>67</v>
          </cell>
          <cell r="K898">
            <v>63</v>
          </cell>
          <cell r="L898">
            <v>46</v>
          </cell>
          <cell r="M898">
            <v>362</v>
          </cell>
          <cell r="N898" t="str">
            <v>refrigerate</v>
          </cell>
          <cell r="P898" t="str">
            <v>snow-warning</v>
          </cell>
          <cell r="Q898">
            <v>1.3</v>
          </cell>
          <cell r="R898">
            <v>25.2</v>
          </cell>
          <cell r="S898" t="str">
            <v>This ancient Pokémon was restored from part of its body that had been frozen in ice for over 100 million years.</v>
          </cell>
          <cell r="T898" t="str">
            <v>https://raw.githubusercontent.com/PokeAPI/sprites/master/sprites/pokemon/other/official-artwork/698.png</v>
          </cell>
          <cell r="U898" t="str">
            <v>https://raw.githubusercontent.com/PokeAPI/sprites/master/sprites/pokemon/other/official-artwork/shiny/698.png</v>
          </cell>
        </row>
        <row r="899">
          <cell r="A899">
            <v>699</v>
          </cell>
          <cell r="C899" t="str">
            <v>Aurorus</v>
          </cell>
          <cell r="D899" t="str">
            <v>Standard</v>
          </cell>
          <cell r="E899" t="str">
            <v>rock</v>
          </cell>
          <cell r="F899" t="str">
            <v>ice</v>
          </cell>
          <cell r="G899">
            <v>123</v>
          </cell>
          <cell r="H899">
            <v>77</v>
          </cell>
          <cell r="I899">
            <v>72</v>
          </cell>
          <cell r="J899">
            <v>99</v>
          </cell>
          <cell r="K899">
            <v>92</v>
          </cell>
          <cell r="L899">
            <v>58</v>
          </cell>
          <cell r="M899">
            <v>521</v>
          </cell>
          <cell r="N899" t="str">
            <v>refrigerate</v>
          </cell>
          <cell r="P899" t="str">
            <v>snow-warning</v>
          </cell>
          <cell r="Q899">
            <v>2.7</v>
          </cell>
          <cell r="R899">
            <v>225</v>
          </cell>
          <cell r="S899" t="str">
            <v>The diamond-shaped crystals on its body expel air as cold as -240 degrees Fahrenheit, surrounding its enemies and encasing them in ice.</v>
          </cell>
          <cell r="T899" t="str">
            <v>https://raw.githubusercontent.com/PokeAPI/sprites/master/sprites/pokemon/other/official-artwork/699.png</v>
          </cell>
          <cell r="U899" t="str">
            <v>https://raw.githubusercontent.com/PokeAPI/sprites/master/sprites/pokemon/other/official-artwork/shiny/699.png</v>
          </cell>
        </row>
        <row r="900">
          <cell r="A900">
            <v>700</v>
          </cell>
          <cell r="C900" t="str">
            <v>Sylveon</v>
          </cell>
          <cell r="D900" t="str">
            <v>Standard</v>
          </cell>
          <cell r="E900" t="str">
            <v>fairy</v>
          </cell>
          <cell r="G900">
            <v>95</v>
          </cell>
          <cell r="H900">
            <v>65</v>
          </cell>
          <cell r="I900">
            <v>65</v>
          </cell>
          <cell r="J900">
            <v>110</v>
          </cell>
          <cell r="K900">
            <v>130</v>
          </cell>
          <cell r="L900">
            <v>60</v>
          </cell>
          <cell r="M900">
            <v>525</v>
          </cell>
          <cell r="N900" t="str">
            <v>cute-charm</v>
          </cell>
          <cell r="P900" t="str">
            <v>pixilate</v>
          </cell>
          <cell r="Q900">
            <v>1</v>
          </cell>
          <cell r="R900">
            <v>23.5</v>
          </cell>
          <cell r="S900" t="str">
            <v>It sends a soothing aura from its ribbonlike feelers to calm fights.</v>
          </cell>
          <cell r="T900" t="str">
            <v>https://raw.githubusercontent.com/PokeAPI/sprites/master/sprites/pokemon/other/official-artwork/700.png</v>
          </cell>
          <cell r="U900" t="str">
            <v>https://raw.githubusercontent.com/PokeAPI/sprites/master/sprites/pokemon/other/official-artwork/shiny/700.png</v>
          </cell>
        </row>
        <row r="901">
          <cell r="A901">
            <v>701</v>
          </cell>
          <cell r="C901" t="str">
            <v>Hawlucha</v>
          </cell>
          <cell r="D901" t="str">
            <v>Standard</v>
          </cell>
          <cell r="E901" t="str">
            <v>fighting</v>
          </cell>
          <cell r="F901" t="str">
            <v>flying</v>
          </cell>
          <cell r="G901">
            <v>78</v>
          </cell>
          <cell r="H901">
            <v>92</v>
          </cell>
          <cell r="I901">
            <v>75</v>
          </cell>
          <cell r="J901">
            <v>74</v>
          </cell>
          <cell r="K901">
            <v>63</v>
          </cell>
          <cell r="L901">
            <v>118</v>
          </cell>
          <cell r="M901">
            <v>500</v>
          </cell>
          <cell r="N901" t="str">
            <v>limber</v>
          </cell>
          <cell r="O901" t="str">
            <v>unburden</v>
          </cell>
          <cell r="P901" t="str">
            <v>mold-breaker</v>
          </cell>
          <cell r="Q901">
            <v>0.8</v>
          </cell>
          <cell r="R901">
            <v>21.5</v>
          </cell>
          <cell r="S901" t="str">
            <v>Although its body is small, its proficient fighting skills enable it to keep up with big bruisers like Machamp and Hariyama.</v>
          </cell>
          <cell r="T901" t="str">
            <v>https://raw.githubusercontent.com/PokeAPI/sprites/master/sprites/pokemon/other/official-artwork/701.png</v>
          </cell>
          <cell r="U901" t="str">
            <v>https://raw.githubusercontent.com/PokeAPI/sprites/master/sprites/pokemon/other/official-artwork/shiny/701.png</v>
          </cell>
        </row>
        <row r="902">
          <cell r="A902">
            <v>701</v>
          </cell>
          <cell r="C902" t="str">
            <v>Hawlucha Mega</v>
          </cell>
          <cell r="D902" t="str">
            <v>Mega</v>
          </cell>
          <cell r="E902" t="str">
            <v>fighting</v>
          </cell>
          <cell r="F902" t="str">
            <v>flying</v>
          </cell>
          <cell r="G902">
            <v>78</v>
          </cell>
          <cell r="H902">
            <v>137</v>
          </cell>
          <cell r="I902">
            <v>100</v>
          </cell>
          <cell r="J902">
            <v>74</v>
          </cell>
          <cell r="K902">
            <v>93</v>
          </cell>
          <cell r="L902">
            <v>118</v>
          </cell>
          <cell r="M902">
            <v>600</v>
          </cell>
          <cell r="Q902">
            <v>1</v>
          </cell>
          <cell r="R902">
            <v>25</v>
          </cell>
          <cell r="S902" t="str">
            <v>Although its body is small, its proficient fighting skills enable it to keep up with big bruisers like Machamp and Hariyama.</v>
          </cell>
        </row>
        <row r="903">
          <cell r="A903">
            <v>702</v>
          </cell>
          <cell r="C903" t="str">
            <v>Dedenne</v>
          </cell>
          <cell r="D903" t="str">
            <v>Standard</v>
          </cell>
          <cell r="E903" t="str">
            <v>electric</v>
          </cell>
          <cell r="F903" t="str">
            <v>fairy</v>
          </cell>
          <cell r="G903">
            <v>67</v>
          </cell>
          <cell r="H903">
            <v>58</v>
          </cell>
          <cell r="I903">
            <v>57</v>
          </cell>
          <cell r="J903">
            <v>81</v>
          </cell>
          <cell r="K903">
            <v>67</v>
          </cell>
          <cell r="L903">
            <v>101</v>
          </cell>
          <cell r="M903">
            <v>431</v>
          </cell>
          <cell r="N903" t="str">
            <v>cheek-pouch</v>
          </cell>
          <cell r="O903" t="str">
            <v>pickup</v>
          </cell>
          <cell r="P903" t="str">
            <v>plus</v>
          </cell>
          <cell r="Q903">
            <v>0.2</v>
          </cell>
          <cell r="R903">
            <v>2.2000000000000002</v>
          </cell>
          <cell r="S903" t="str">
            <v>Its whiskers serve as antennas. By sending and receiving electrical waves, it can communicate with others over vast distances.</v>
          </cell>
          <cell r="T903" t="str">
            <v>https://raw.githubusercontent.com/PokeAPI/sprites/master/sprites/pokemon/other/official-artwork/702.png</v>
          </cell>
          <cell r="U903" t="str">
            <v>https://raw.githubusercontent.com/PokeAPI/sprites/master/sprites/pokemon/other/official-artwork/shiny/702.png</v>
          </cell>
        </row>
        <row r="904">
          <cell r="A904">
            <v>703</v>
          </cell>
          <cell r="C904" t="str">
            <v>Carbink</v>
          </cell>
          <cell r="D904" t="str">
            <v>Standard</v>
          </cell>
          <cell r="E904" t="str">
            <v>rock</v>
          </cell>
          <cell r="F904" t="str">
            <v>fairy</v>
          </cell>
          <cell r="G904">
            <v>50</v>
          </cell>
          <cell r="H904">
            <v>50</v>
          </cell>
          <cell r="I904">
            <v>150</v>
          </cell>
          <cell r="J904">
            <v>50</v>
          </cell>
          <cell r="K904">
            <v>150</v>
          </cell>
          <cell r="L904">
            <v>50</v>
          </cell>
          <cell r="M904">
            <v>500</v>
          </cell>
          <cell r="N904" t="str">
            <v>clear-body</v>
          </cell>
          <cell r="P904" t="str">
            <v>sturdy</v>
          </cell>
          <cell r="Q904">
            <v>0.3</v>
          </cell>
          <cell r="R904">
            <v>5.7</v>
          </cell>
          <cell r="S904" t="str">
            <v>Born from the temperatures and pressures deep underground, it fires beams from the stone in its head.</v>
          </cell>
          <cell r="T904" t="str">
            <v>https://raw.githubusercontent.com/PokeAPI/sprites/master/sprites/pokemon/other/official-artwork/703.png</v>
          </cell>
          <cell r="U904" t="str">
            <v>https://raw.githubusercontent.com/PokeAPI/sprites/master/sprites/pokemon/other/official-artwork/shiny/703.png</v>
          </cell>
        </row>
        <row r="905">
          <cell r="A905">
            <v>704</v>
          </cell>
          <cell r="C905" t="str">
            <v>Goomy</v>
          </cell>
          <cell r="D905" t="str">
            <v>Standard</v>
          </cell>
          <cell r="E905" t="str">
            <v>dragon</v>
          </cell>
          <cell r="G905">
            <v>45</v>
          </cell>
          <cell r="H905">
            <v>50</v>
          </cell>
          <cell r="I905">
            <v>35</v>
          </cell>
          <cell r="J905">
            <v>55</v>
          </cell>
          <cell r="K905">
            <v>75</v>
          </cell>
          <cell r="L905">
            <v>40</v>
          </cell>
          <cell r="M905">
            <v>300</v>
          </cell>
          <cell r="N905" t="str">
            <v>sap-sipper</v>
          </cell>
          <cell r="O905" t="str">
            <v>hydration</v>
          </cell>
          <cell r="P905" t="str">
            <v>gooey</v>
          </cell>
          <cell r="Q905">
            <v>0.3</v>
          </cell>
          <cell r="R905">
            <v>2.8</v>
          </cell>
          <cell r="S905" t="str">
            <v>The weakest Dragon-type Pokémon, it lives in damp, shady places, so its body doesn’t dry out.</v>
          </cell>
          <cell r="T905" t="str">
            <v>https://raw.githubusercontent.com/PokeAPI/sprites/master/sprites/pokemon/other/official-artwork/704.png</v>
          </cell>
          <cell r="U905" t="str">
            <v>https://raw.githubusercontent.com/PokeAPI/sprites/master/sprites/pokemon/other/official-artwork/shiny/704.png</v>
          </cell>
        </row>
        <row r="906">
          <cell r="A906">
            <v>705</v>
          </cell>
          <cell r="C906" t="str">
            <v>Sliggoo</v>
          </cell>
          <cell r="D906" t="str">
            <v>Standard</v>
          </cell>
          <cell r="E906" t="str">
            <v>dragon</v>
          </cell>
          <cell r="G906">
            <v>68</v>
          </cell>
          <cell r="H906">
            <v>75</v>
          </cell>
          <cell r="I906">
            <v>53</v>
          </cell>
          <cell r="J906">
            <v>83</v>
          </cell>
          <cell r="K906">
            <v>113</v>
          </cell>
          <cell r="L906">
            <v>60</v>
          </cell>
          <cell r="M906">
            <v>452</v>
          </cell>
          <cell r="N906" t="str">
            <v>sap-sipper</v>
          </cell>
          <cell r="O906" t="str">
            <v>hydration</v>
          </cell>
          <cell r="P906" t="str">
            <v>gooey</v>
          </cell>
          <cell r="Q906">
            <v>0.8</v>
          </cell>
          <cell r="R906">
            <v>17.5</v>
          </cell>
          <cell r="S906" t="str">
            <v>It drives away opponents by excreting a sticky liquid that can dissolve anything. Its eyes devolved, so it can’t see anything.</v>
          </cell>
          <cell r="T906" t="str">
            <v>https://raw.githubusercontent.com/PokeAPI/sprites/master/sprites/pokemon/other/official-artwork/705.png</v>
          </cell>
          <cell r="U906" t="str">
            <v>https://raw.githubusercontent.com/PokeAPI/sprites/master/sprites/pokemon/other/official-artwork/shiny/705.png</v>
          </cell>
        </row>
        <row r="907">
          <cell r="A907">
            <v>705</v>
          </cell>
          <cell r="C907" t="str">
            <v>Sliggoo Hisui</v>
          </cell>
          <cell r="D907" t="str">
            <v>Regional</v>
          </cell>
          <cell r="E907" t="str">
            <v>steel</v>
          </cell>
          <cell r="F907" t="str">
            <v>dragon</v>
          </cell>
          <cell r="G907">
            <v>58</v>
          </cell>
          <cell r="H907">
            <v>75</v>
          </cell>
          <cell r="I907">
            <v>83</v>
          </cell>
          <cell r="J907">
            <v>83</v>
          </cell>
          <cell r="K907">
            <v>113</v>
          </cell>
          <cell r="L907">
            <v>40</v>
          </cell>
          <cell r="M907">
            <v>452</v>
          </cell>
          <cell r="N907" t="str">
            <v>sap-sipper</v>
          </cell>
          <cell r="O907" t="str">
            <v>shell-armor</v>
          </cell>
          <cell r="P907" t="str">
            <v>gooey</v>
          </cell>
          <cell r="Q907">
            <v>0.7</v>
          </cell>
          <cell r="R907">
            <v>68.5</v>
          </cell>
          <cell r="S907" t="str">
            <v>It drives away opponents by excreting a sticky liquid that can dissolve anything. Its eyes devolved, so it can’t see anything.</v>
          </cell>
          <cell r="T907" t="str">
            <v>https://raw.githubusercontent.com/PokeAPI/sprites/master/sprites/pokemon/other/official-artwork/10241.png</v>
          </cell>
          <cell r="U907" t="str">
            <v>https://raw.githubusercontent.com/PokeAPI/sprites/master/sprites/pokemon/other/official-artwork/shiny/10241.png</v>
          </cell>
        </row>
        <row r="908">
          <cell r="A908">
            <v>706</v>
          </cell>
          <cell r="C908" t="str">
            <v>Goodra</v>
          </cell>
          <cell r="D908" t="str">
            <v>Standard</v>
          </cell>
          <cell r="E908" t="str">
            <v>dragon</v>
          </cell>
          <cell r="G908">
            <v>90</v>
          </cell>
          <cell r="H908">
            <v>100</v>
          </cell>
          <cell r="I908">
            <v>70</v>
          </cell>
          <cell r="J908">
            <v>110</v>
          </cell>
          <cell r="K908">
            <v>150</v>
          </cell>
          <cell r="L908">
            <v>80</v>
          </cell>
          <cell r="M908">
            <v>600</v>
          </cell>
          <cell r="N908" t="str">
            <v>sap-sipper</v>
          </cell>
          <cell r="O908" t="str">
            <v>hydration</v>
          </cell>
          <cell r="P908" t="str">
            <v>gooey</v>
          </cell>
          <cell r="Q908">
            <v>2</v>
          </cell>
          <cell r="R908">
            <v>150.5</v>
          </cell>
          <cell r="S908" t="str">
            <v>This very friendly Dragon-type Pokémon will hug its beloved Trainer, leaving that Trainer covered in sticky slime.</v>
          </cell>
          <cell r="T908" t="str">
            <v>https://raw.githubusercontent.com/PokeAPI/sprites/master/sprites/pokemon/other/official-artwork/706.png</v>
          </cell>
          <cell r="U908" t="str">
            <v>https://raw.githubusercontent.com/PokeAPI/sprites/master/sprites/pokemon/other/official-artwork/shiny/706.png</v>
          </cell>
        </row>
        <row r="909">
          <cell r="A909">
            <v>706</v>
          </cell>
          <cell r="C909" t="str">
            <v>Goodra Hisui</v>
          </cell>
          <cell r="D909" t="str">
            <v>Regional</v>
          </cell>
          <cell r="E909" t="str">
            <v>steel</v>
          </cell>
          <cell r="F909" t="str">
            <v>dragon</v>
          </cell>
          <cell r="G909">
            <v>80</v>
          </cell>
          <cell r="H909">
            <v>100</v>
          </cell>
          <cell r="I909">
            <v>100</v>
          </cell>
          <cell r="J909">
            <v>110</v>
          </cell>
          <cell r="K909">
            <v>150</v>
          </cell>
          <cell r="L909">
            <v>60</v>
          </cell>
          <cell r="M909">
            <v>600</v>
          </cell>
          <cell r="N909" t="str">
            <v>sap-sipper</v>
          </cell>
          <cell r="O909" t="str">
            <v>shell-armor</v>
          </cell>
          <cell r="P909" t="str">
            <v>gooey</v>
          </cell>
          <cell r="Q909">
            <v>1.7</v>
          </cell>
          <cell r="R909">
            <v>334.1</v>
          </cell>
          <cell r="S909" t="str">
            <v>This very friendly Dragon-type Pokémon will hug its beloved Trainer, leaving that Trainer covered in sticky slime.</v>
          </cell>
          <cell r="T909" t="str">
            <v>https://raw.githubusercontent.com/PokeAPI/sprites/master/sprites/pokemon/other/official-artwork/10242.png</v>
          </cell>
          <cell r="U909" t="str">
            <v>https://raw.githubusercontent.com/PokeAPI/sprites/master/sprites/pokemon/other/official-artwork/shiny/10242.png</v>
          </cell>
        </row>
        <row r="910">
          <cell r="A910">
            <v>707</v>
          </cell>
          <cell r="C910" t="str">
            <v>Klefki</v>
          </cell>
          <cell r="D910" t="str">
            <v>Standard</v>
          </cell>
          <cell r="E910" t="str">
            <v>steel</v>
          </cell>
          <cell r="F910" t="str">
            <v>fairy</v>
          </cell>
          <cell r="G910">
            <v>57</v>
          </cell>
          <cell r="H910">
            <v>80</v>
          </cell>
          <cell r="I910">
            <v>91</v>
          </cell>
          <cell r="J910">
            <v>80</v>
          </cell>
          <cell r="K910">
            <v>87</v>
          </cell>
          <cell r="L910">
            <v>75</v>
          </cell>
          <cell r="M910">
            <v>470</v>
          </cell>
          <cell r="N910" t="str">
            <v>prankster</v>
          </cell>
          <cell r="P910" t="str">
            <v>magician</v>
          </cell>
          <cell r="Q910">
            <v>0.2</v>
          </cell>
          <cell r="R910">
            <v>3</v>
          </cell>
          <cell r="S910" t="str">
            <v>These key collectors threaten any attackers by fiercely jingling their keys at them.</v>
          </cell>
          <cell r="T910" t="str">
            <v>https://raw.githubusercontent.com/PokeAPI/sprites/master/sprites/pokemon/other/official-artwork/707.png</v>
          </cell>
          <cell r="U910" t="str">
            <v>https://raw.githubusercontent.com/PokeAPI/sprites/master/sprites/pokemon/other/official-artwork/shiny/707.png</v>
          </cell>
        </row>
        <row r="911">
          <cell r="A911">
            <v>708</v>
          </cell>
          <cell r="C911" t="str">
            <v>Phantump</v>
          </cell>
          <cell r="D911" t="str">
            <v>Standard</v>
          </cell>
          <cell r="E911" t="str">
            <v>ghost</v>
          </cell>
          <cell r="F911" t="str">
            <v>grass</v>
          </cell>
          <cell r="G911">
            <v>43</v>
          </cell>
          <cell r="H911">
            <v>70</v>
          </cell>
          <cell r="I911">
            <v>48</v>
          </cell>
          <cell r="J911">
            <v>50</v>
          </cell>
          <cell r="K911">
            <v>60</v>
          </cell>
          <cell r="L911">
            <v>38</v>
          </cell>
          <cell r="M911">
            <v>309</v>
          </cell>
          <cell r="N911" t="str">
            <v>natural-cure</v>
          </cell>
          <cell r="O911" t="str">
            <v>frisk</v>
          </cell>
          <cell r="P911" t="str">
            <v>harvest</v>
          </cell>
          <cell r="Q911">
            <v>0.4</v>
          </cell>
          <cell r="R911">
            <v>7</v>
          </cell>
          <cell r="S911" t="str">
            <v>These Pokémon are created when spirits possess rotten tree stumps. They prefer to live in abandoned forests.</v>
          </cell>
          <cell r="T911" t="str">
            <v>https://raw.githubusercontent.com/PokeAPI/sprites/master/sprites/pokemon/other/official-artwork/708.png</v>
          </cell>
          <cell r="U911" t="str">
            <v>https://raw.githubusercontent.com/PokeAPI/sprites/master/sprites/pokemon/other/official-artwork/shiny/708.png</v>
          </cell>
        </row>
        <row r="912">
          <cell r="A912">
            <v>709</v>
          </cell>
          <cell r="C912" t="str">
            <v>Trevenant</v>
          </cell>
          <cell r="D912" t="str">
            <v>Standard</v>
          </cell>
          <cell r="E912" t="str">
            <v>ghost</v>
          </cell>
          <cell r="F912" t="str">
            <v>grass</v>
          </cell>
          <cell r="G912">
            <v>85</v>
          </cell>
          <cell r="H912">
            <v>110</v>
          </cell>
          <cell r="I912">
            <v>76</v>
          </cell>
          <cell r="J912">
            <v>65</v>
          </cell>
          <cell r="K912">
            <v>82</v>
          </cell>
          <cell r="L912">
            <v>56</v>
          </cell>
          <cell r="M912">
            <v>474</v>
          </cell>
          <cell r="N912" t="str">
            <v>natural-cure</v>
          </cell>
          <cell r="O912" t="str">
            <v>frisk</v>
          </cell>
          <cell r="P912" t="str">
            <v>harvest</v>
          </cell>
          <cell r="Q912">
            <v>1.5</v>
          </cell>
          <cell r="R912">
            <v>71</v>
          </cell>
          <cell r="S912" t="str">
            <v>It can control trees at will. It will trap people who harm the forest, so they can never leave.</v>
          </cell>
          <cell r="T912" t="str">
            <v>https://raw.githubusercontent.com/PokeAPI/sprites/master/sprites/pokemon/other/official-artwork/709.png</v>
          </cell>
          <cell r="U912" t="str">
            <v>https://raw.githubusercontent.com/PokeAPI/sprites/master/sprites/pokemon/other/official-artwork/shiny/709.png</v>
          </cell>
        </row>
        <row r="913">
          <cell r="A913">
            <v>710</v>
          </cell>
          <cell r="C913" t="str">
            <v>Pumpkaboo Average</v>
          </cell>
          <cell r="D913" t="str">
            <v>Other</v>
          </cell>
          <cell r="E913" t="str">
            <v>ghost</v>
          </cell>
          <cell r="F913" t="str">
            <v>grass</v>
          </cell>
          <cell r="G913">
            <v>49</v>
          </cell>
          <cell r="H913">
            <v>66</v>
          </cell>
          <cell r="I913">
            <v>70</v>
          </cell>
          <cell r="J913">
            <v>44</v>
          </cell>
          <cell r="K913">
            <v>55</v>
          </cell>
          <cell r="L913">
            <v>51</v>
          </cell>
          <cell r="M913">
            <v>335</v>
          </cell>
          <cell r="N913" t="str">
            <v>pickup</v>
          </cell>
          <cell r="O913" t="str">
            <v>frisk</v>
          </cell>
          <cell r="P913" t="str">
            <v>insomnia</v>
          </cell>
          <cell r="Q913">
            <v>0.4</v>
          </cell>
          <cell r="R913">
            <v>5</v>
          </cell>
          <cell r="S913" t="str">
            <v>The pumpkin body is inhabited by a spirit trapped in this world. As the sun sets, it becomes restless and active.</v>
          </cell>
          <cell r="T913" t="str">
            <v>https://raw.githubusercontent.com/PokeAPI/sprites/master/sprites/pokemon/other/official-artwork/710.png</v>
          </cell>
          <cell r="U913" t="str">
            <v>https://raw.githubusercontent.com/PokeAPI/sprites/master/sprites/pokemon/other/official-artwork/shiny/710.png</v>
          </cell>
        </row>
        <row r="914">
          <cell r="A914">
            <v>710</v>
          </cell>
          <cell r="C914" t="str">
            <v>Pumpkaboo Large</v>
          </cell>
          <cell r="D914" t="str">
            <v>Other</v>
          </cell>
          <cell r="E914" t="str">
            <v>ghost</v>
          </cell>
          <cell r="F914" t="str">
            <v>grass</v>
          </cell>
          <cell r="G914">
            <v>54</v>
          </cell>
          <cell r="H914">
            <v>66</v>
          </cell>
          <cell r="I914">
            <v>70</v>
          </cell>
          <cell r="J914">
            <v>44</v>
          </cell>
          <cell r="K914">
            <v>55</v>
          </cell>
          <cell r="L914">
            <v>46</v>
          </cell>
          <cell r="M914">
            <v>335</v>
          </cell>
          <cell r="N914" t="str">
            <v>pickup</v>
          </cell>
          <cell r="O914" t="str">
            <v>frisk</v>
          </cell>
          <cell r="P914" t="str">
            <v>insomnia</v>
          </cell>
          <cell r="Q914">
            <v>0.5</v>
          </cell>
          <cell r="R914">
            <v>7.5</v>
          </cell>
          <cell r="S914" t="str">
            <v>The pumpkin body is inhabited by a spirit trapped in this world. As the sun sets, it becomes restless and active.</v>
          </cell>
          <cell r="T914" t="str">
            <v>https://raw.githubusercontent.com/PokeAPI/sprites/master/sprites/pokemon/other/official-artwork/10028.png</v>
          </cell>
          <cell r="U914" t="str">
            <v>https://raw.githubusercontent.com/PokeAPI/sprites/master/sprites/pokemon/other/official-artwork/shiny/10028.png</v>
          </cell>
        </row>
        <row r="915">
          <cell r="A915">
            <v>710</v>
          </cell>
          <cell r="C915" t="str">
            <v>Pumpkaboo Small</v>
          </cell>
          <cell r="D915" t="str">
            <v>Other</v>
          </cell>
          <cell r="E915" t="str">
            <v>ghost</v>
          </cell>
          <cell r="F915" t="str">
            <v>grass</v>
          </cell>
          <cell r="G915">
            <v>44</v>
          </cell>
          <cell r="H915">
            <v>66</v>
          </cell>
          <cell r="I915">
            <v>70</v>
          </cell>
          <cell r="J915">
            <v>44</v>
          </cell>
          <cell r="K915">
            <v>55</v>
          </cell>
          <cell r="L915">
            <v>56</v>
          </cell>
          <cell r="M915">
            <v>335</v>
          </cell>
          <cell r="N915" t="str">
            <v>pickup</v>
          </cell>
          <cell r="O915" t="str">
            <v>frisk</v>
          </cell>
          <cell r="P915" t="str">
            <v>insomnia</v>
          </cell>
          <cell r="Q915">
            <v>0.3</v>
          </cell>
          <cell r="R915">
            <v>3.5</v>
          </cell>
          <cell r="S915" t="str">
            <v>The pumpkin body is inhabited by a spirit trapped in this world. As the sun sets, it becomes restless and active.</v>
          </cell>
          <cell r="T915" t="str">
            <v>https://raw.githubusercontent.com/PokeAPI/sprites/master/sprites/pokemon/other/official-artwork/10027.png</v>
          </cell>
          <cell r="U915" t="str">
            <v>https://raw.githubusercontent.com/PokeAPI/sprites/master/sprites/pokemon/other/official-artwork/shiny/10027.png</v>
          </cell>
        </row>
        <row r="916">
          <cell r="A916">
            <v>710</v>
          </cell>
          <cell r="C916" t="str">
            <v>Pumpkaboo Super</v>
          </cell>
          <cell r="D916" t="str">
            <v>Other</v>
          </cell>
          <cell r="E916" t="str">
            <v>ghost</v>
          </cell>
          <cell r="F916" t="str">
            <v>grass</v>
          </cell>
          <cell r="G916">
            <v>59</v>
          </cell>
          <cell r="H916">
            <v>66</v>
          </cell>
          <cell r="I916">
            <v>70</v>
          </cell>
          <cell r="J916">
            <v>44</v>
          </cell>
          <cell r="K916">
            <v>55</v>
          </cell>
          <cell r="L916">
            <v>41</v>
          </cell>
          <cell r="M916">
            <v>335</v>
          </cell>
          <cell r="N916" t="str">
            <v>pickup</v>
          </cell>
          <cell r="O916" t="str">
            <v>frisk</v>
          </cell>
          <cell r="P916" t="str">
            <v>insomnia</v>
          </cell>
          <cell r="Q916">
            <v>0.8</v>
          </cell>
          <cell r="R916">
            <v>15</v>
          </cell>
          <cell r="S916" t="str">
            <v>The pumpkin body is inhabited by a spirit trapped in this world. As the sun sets, it becomes restless and active.</v>
          </cell>
          <cell r="T916" t="str">
            <v>https://raw.githubusercontent.com/PokeAPI/sprites/master/sprites/pokemon/other/official-artwork/10029.png</v>
          </cell>
          <cell r="U916" t="str">
            <v>https://raw.githubusercontent.com/PokeAPI/sprites/master/sprites/pokemon/other/official-artwork/shiny/10029.png</v>
          </cell>
        </row>
        <row r="917">
          <cell r="A917">
            <v>711</v>
          </cell>
          <cell r="C917" t="str">
            <v>Gourgeist Average</v>
          </cell>
          <cell r="D917" t="str">
            <v>Other</v>
          </cell>
          <cell r="E917" t="str">
            <v>ghost</v>
          </cell>
          <cell r="F917" t="str">
            <v>grass</v>
          </cell>
          <cell r="G917">
            <v>65</v>
          </cell>
          <cell r="H917">
            <v>90</v>
          </cell>
          <cell r="I917">
            <v>122</v>
          </cell>
          <cell r="J917">
            <v>58</v>
          </cell>
          <cell r="K917">
            <v>75</v>
          </cell>
          <cell r="L917">
            <v>84</v>
          </cell>
          <cell r="M917">
            <v>494</v>
          </cell>
          <cell r="N917" t="str">
            <v>pickup</v>
          </cell>
          <cell r="O917" t="str">
            <v>frisk</v>
          </cell>
          <cell r="P917" t="str">
            <v>insomnia</v>
          </cell>
          <cell r="Q917">
            <v>0.9</v>
          </cell>
          <cell r="R917">
            <v>12.5</v>
          </cell>
          <cell r="S917" t="str">
            <v>Singing in eerie voices, they wander town streets on the night of the new moon. Anyone who hears their song is cursed.</v>
          </cell>
          <cell r="T917" t="str">
            <v>https://raw.githubusercontent.com/PokeAPI/sprites/master/sprites/pokemon/other/official-artwork/711.png</v>
          </cell>
          <cell r="U917" t="str">
            <v>https://raw.githubusercontent.com/PokeAPI/sprites/master/sprites/pokemon/other/official-artwork/shiny/711.png</v>
          </cell>
        </row>
        <row r="918">
          <cell r="A918">
            <v>711</v>
          </cell>
          <cell r="C918" t="str">
            <v>Gourgeist Large</v>
          </cell>
          <cell r="D918" t="str">
            <v>Other</v>
          </cell>
          <cell r="E918" t="str">
            <v>ghost</v>
          </cell>
          <cell r="F918" t="str">
            <v>grass</v>
          </cell>
          <cell r="G918">
            <v>75</v>
          </cell>
          <cell r="H918">
            <v>95</v>
          </cell>
          <cell r="I918">
            <v>122</v>
          </cell>
          <cell r="J918">
            <v>58</v>
          </cell>
          <cell r="K918">
            <v>75</v>
          </cell>
          <cell r="L918">
            <v>69</v>
          </cell>
          <cell r="M918">
            <v>494</v>
          </cell>
          <cell r="N918" t="str">
            <v>pickup</v>
          </cell>
          <cell r="O918" t="str">
            <v>frisk</v>
          </cell>
          <cell r="P918" t="str">
            <v>insomnia</v>
          </cell>
          <cell r="Q918">
            <v>1.1000000000000001</v>
          </cell>
          <cell r="R918">
            <v>14</v>
          </cell>
          <cell r="S918" t="str">
            <v>Singing in eerie voices, they wander town streets on the night of the new moon. Anyone who hears their song is cursed.</v>
          </cell>
          <cell r="T918" t="str">
            <v>https://raw.githubusercontent.com/PokeAPI/sprites/master/sprites/pokemon/other/official-artwork/10031.png</v>
          </cell>
          <cell r="U918" t="str">
            <v>https://raw.githubusercontent.com/PokeAPI/sprites/master/sprites/pokemon/other/official-artwork/shiny/10031.png</v>
          </cell>
        </row>
        <row r="919">
          <cell r="A919">
            <v>711</v>
          </cell>
          <cell r="C919" t="str">
            <v>Gourgeist Small</v>
          </cell>
          <cell r="D919" t="str">
            <v>Other</v>
          </cell>
          <cell r="E919" t="str">
            <v>ghost</v>
          </cell>
          <cell r="F919" t="str">
            <v>grass</v>
          </cell>
          <cell r="G919">
            <v>55</v>
          </cell>
          <cell r="H919">
            <v>85</v>
          </cell>
          <cell r="I919">
            <v>122</v>
          </cell>
          <cell r="J919">
            <v>58</v>
          </cell>
          <cell r="K919">
            <v>75</v>
          </cell>
          <cell r="L919">
            <v>99</v>
          </cell>
          <cell r="M919">
            <v>494</v>
          </cell>
          <cell r="N919" t="str">
            <v>pickup</v>
          </cell>
          <cell r="O919" t="str">
            <v>frisk</v>
          </cell>
          <cell r="P919" t="str">
            <v>insomnia</v>
          </cell>
          <cell r="Q919">
            <v>0.7</v>
          </cell>
          <cell r="R919">
            <v>9.5</v>
          </cell>
          <cell r="S919" t="str">
            <v>Singing in eerie voices, they wander town streets on the night of the new moon. Anyone who hears their song is cursed.</v>
          </cell>
          <cell r="T919" t="str">
            <v>https://raw.githubusercontent.com/PokeAPI/sprites/master/sprites/pokemon/other/official-artwork/10030.png</v>
          </cell>
          <cell r="U919" t="str">
            <v>https://raw.githubusercontent.com/PokeAPI/sprites/master/sprites/pokemon/other/official-artwork/shiny/10030.png</v>
          </cell>
        </row>
        <row r="920">
          <cell r="A920">
            <v>711</v>
          </cell>
          <cell r="C920" t="str">
            <v>Gourgeist Super</v>
          </cell>
          <cell r="D920" t="str">
            <v>Other</v>
          </cell>
          <cell r="E920" t="str">
            <v>ghost</v>
          </cell>
          <cell r="F920" t="str">
            <v>grass</v>
          </cell>
          <cell r="G920">
            <v>85</v>
          </cell>
          <cell r="H920">
            <v>100</v>
          </cell>
          <cell r="I920">
            <v>122</v>
          </cell>
          <cell r="J920">
            <v>58</v>
          </cell>
          <cell r="K920">
            <v>75</v>
          </cell>
          <cell r="L920">
            <v>54</v>
          </cell>
          <cell r="M920">
            <v>494</v>
          </cell>
          <cell r="N920" t="str">
            <v>pickup</v>
          </cell>
          <cell r="O920" t="str">
            <v>frisk</v>
          </cell>
          <cell r="P920" t="str">
            <v>insomnia</v>
          </cell>
          <cell r="Q920">
            <v>1.7</v>
          </cell>
          <cell r="R920">
            <v>39</v>
          </cell>
          <cell r="S920" t="str">
            <v>Singing in eerie voices, they wander town streets on the night of the new moon. Anyone who hears their song is cursed.</v>
          </cell>
          <cell r="T920" t="str">
            <v>https://raw.githubusercontent.com/PokeAPI/sprites/master/sprites/pokemon/other/official-artwork/10032.png</v>
          </cell>
          <cell r="U920" t="str">
            <v>https://raw.githubusercontent.com/PokeAPI/sprites/master/sprites/pokemon/other/official-artwork/shiny/10032.png</v>
          </cell>
        </row>
        <row r="921">
          <cell r="A921">
            <v>712</v>
          </cell>
          <cell r="C921" t="str">
            <v>Bergmite</v>
          </cell>
          <cell r="D921" t="str">
            <v>Standard</v>
          </cell>
          <cell r="E921" t="str">
            <v>ice</v>
          </cell>
          <cell r="G921">
            <v>55</v>
          </cell>
          <cell r="H921">
            <v>69</v>
          </cell>
          <cell r="I921">
            <v>85</v>
          </cell>
          <cell r="J921">
            <v>32</v>
          </cell>
          <cell r="K921">
            <v>35</v>
          </cell>
          <cell r="L921">
            <v>28</v>
          </cell>
          <cell r="M921">
            <v>304</v>
          </cell>
          <cell r="N921" t="str">
            <v>own-tempo</v>
          </cell>
          <cell r="O921" t="str">
            <v>ice-body</v>
          </cell>
          <cell r="P921" t="str">
            <v>sturdy</v>
          </cell>
          <cell r="Q921">
            <v>1</v>
          </cell>
          <cell r="R921">
            <v>99.5</v>
          </cell>
          <cell r="S921" t="str">
            <v>It blocks opponents’ attacks with the ice that shields its body. It uses cold air to repair any cracks with new ice.</v>
          </cell>
          <cell r="T921" t="str">
            <v>https://raw.githubusercontent.com/PokeAPI/sprites/master/sprites/pokemon/other/official-artwork/712.png</v>
          </cell>
          <cell r="U921" t="str">
            <v>https://raw.githubusercontent.com/PokeAPI/sprites/master/sprites/pokemon/other/official-artwork/shiny/712.png</v>
          </cell>
        </row>
        <row r="922">
          <cell r="A922">
            <v>713</v>
          </cell>
          <cell r="C922" t="str">
            <v>Avalugg</v>
          </cell>
          <cell r="D922" t="str">
            <v>Standard</v>
          </cell>
          <cell r="E922" t="str">
            <v>ice</v>
          </cell>
          <cell r="G922">
            <v>95</v>
          </cell>
          <cell r="H922">
            <v>117</v>
          </cell>
          <cell r="I922">
            <v>184</v>
          </cell>
          <cell r="J922">
            <v>44</v>
          </cell>
          <cell r="K922">
            <v>46</v>
          </cell>
          <cell r="L922">
            <v>28</v>
          </cell>
          <cell r="M922">
            <v>514</v>
          </cell>
          <cell r="N922" t="str">
            <v>own-tempo</v>
          </cell>
          <cell r="O922" t="str">
            <v>ice-body</v>
          </cell>
          <cell r="P922" t="str">
            <v>sturdy</v>
          </cell>
          <cell r="Q922">
            <v>2</v>
          </cell>
          <cell r="R922">
            <v>505</v>
          </cell>
          <cell r="S922" t="str">
            <v>Its ice-covered body is as hard as steel. Its cumbersome frame crushes anything that stands in its way.</v>
          </cell>
          <cell r="T922" t="str">
            <v>https://raw.githubusercontent.com/PokeAPI/sprites/master/sprites/pokemon/other/official-artwork/713.png</v>
          </cell>
          <cell r="U922" t="str">
            <v>https://raw.githubusercontent.com/PokeAPI/sprites/master/sprites/pokemon/other/official-artwork/shiny/713.png</v>
          </cell>
        </row>
        <row r="923">
          <cell r="A923">
            <v>713</v>
          </cell>
          <cell r="C923" t="str">
            <v>Avalugg Hisui</v>
          </cell>
          <cell r="D923" t="str">
            <v>Regional</v>
          </cell>
          <cell r="E923" t="str">
            <v>ice</v>
          </cell>
          <cell r="F923" t="str">
            <v>rock</v>
          </cell>
          <cell r="G923">
            <v>95</v>
          </cell>
          <cell r="H923">
            <v>127</v>
          </cell>
          <cell r="I923">
            <v>184</v>
          </cell>
          <cell r="J923">
            <v>34</v>
          </cell>
          <cell r="K923">
            <v>36</v>
          </cell>
          <cell r="L923">
            <v>38</v>
          </cell>
          <cell r="M923">
            <v>514</v>
          </cell>
          <cell r="N923" t="str">
            <v>strong-jaw</v>
          </cell>
          <cell r="O923" t="str">
            <v>ice-body</v>
          </cell>
          <cell r="P923" t="str">
            <v>sturdy</v>
          </cell>
          <cell r="Q923">
            <v>1.4</v>
          </cell>
          <cell r="R923">
            <v>262.39999999999998</v>
          </cell>
          <cell r="S923" t="str">
            <v>Its ice-covered body is as hard as steel. Its cumbersome frame crushes anything that stands in its way.</v>
          </cell>
          <cell r="T923" t="str">
            <v>https://raw.githubusercontent.com/PokeAPI/sprites/master/sprites/pokemon/other/official-artwork/10243.png</v>
          </cell>
          <cell r="U923" t="str">
            <v>https://raw.githubusercontent.com/PokeAPI/sprites/master/sprites/pokemon/other/official-artwork/shiny/10243.png</v>
          </cell>
        </row>
        <row r="924">
          <cell r="A924">
            <v>714</v>
          </cell>
          <cell r="C924" t="str">
            <v>Noibat</v>
          </cell>
          <cell r="D924" t="str">
            <v>Standard</v>
          </cell>
          <cell r="E924" t="str">
            <v>flying</v>
          </cell>
          <cell r="F924" t="str">
            <v>dragon</v>
          </cell>
          <cell r="G924">
            <v>40</v>
          </cell>
          <cell r="H924">
            <v>30</v>
          </cell>
          <cell r="I924">
            <v>35</v>
          </cell>
          <cell r="J924">
            <v>45</v>
          </cell>
          <cell r="K924">
            <v>40</v>
          </cell>
          <cell r="L924">
            <v>55</v>
          </cell>
          <cell r="M924">
            <v>245</v>
          </cell>
          <cell r="N924" t="str">
            <v>frisk</v>
          </cell>
          <cell r="O924" t="str">
            <v>infiltrator</v>
          </cell>
          <cell r="P924" t="str">
            <v>telepathy</v>
          </cell>
          <cell r="Q924">
            <v>0.5</v>
          </cell>
          <cell r="R924">
            <v>8</v>
          </cell>
          <cell r="S924" t="str">
            <v>They live in pitch-black caves. Their enormous ears can emit ultrasonic waves of 200,000 hertz.</v>
          </cell>
          <cell r="T924" t="str">
            <v>https://raw.githubusercontent.com/PokeAPI/sprites/master/sprites/pokemon/other/official-artwork/714.png</v>
          </cell>
          <cell r="U924" t="str">
            <v>https://raw.githubusercontent.com/PokeAPI/sprites/master/sprites/pokemon/other/official-artwork/shiny/714.png</v>
          </cell>
        </row>
        <row r="925">
          <cell r="A925">
            <v>715</v>
          </cell>
          <cell r="C925" t="str">
            <v>Noivern</v>
          </cell>
          <cell r="D925" t="str">
            <v>Standard</v>
          </cell>
          <cell r="E925" t="str">
            <v>flying</v>
          </cell>
          <cell r="F925" t="str">
            <v>dragon</v>
          </cell>
          <cell r="G925">
            <v>85</v>
          </cell>
          <cell r="H925">
            <v>70</v>
          </cell>
          <cell r="I925">
            <v>80</v>
          </cell>
          <cell r="J925">
            <v>97</v>
          </cell>
          <cell r="K925">
            <v>80</v>
          </cell>
          <cell r="L925">
            <v>123</v>
          </cell>
          <cell r="M925">
            <v>535</v>
          </cell>
          <cell r="N925" t="str">
            <v>frisk</v>
          </cell>
          <cell r="O925" t="str">
            <v>infiltrator</v>
          </cell>
          <cell r="P925" t="str">
            <v>telepathy</v>
          </cell>
          <cell r="Q925">
            <v>1.5</v>
          </cell>
          <cell r="R925">
            <v>85</v>
          </cell>
          <cell r="S925" t="str">
            <v>They fly around on moonless nights and attack careless prey. Nothing can beat them in a battle in the dark.</v>
          </cell>
          <cell r="T925" t="str">
            <v>https://raw.githubusercontent.com/PokeAPI/sprites/master/sprites/pokemon/other/official-artwork/715.png</v>
          </cell>
          <cell r="U925" t="str">
            <v>https://raw.githubusercontent.com/PokeAPI/sprites/master/sprites/pokemon/other/official-artwork/shiny/715.png</v>
          </cell>
        </row>
        <row r="926">
          <cell r="A926">
            <v>716</v>
          </cell>
          <cell r="C926" t="str">
            <v>Xerneas</v>
          </cell>
          <cell r="D926" t="str">
            <v>Standard</v>
          </cell>
          <cell r="E926" t="str">
            <v>fairy</v>
          </cell>
          <cell r="G926">
            <v>126</v>
          </cell>
          <cell r="H926">
            <v>131</v>
          </cell>
          <cell r="I926">
            <v>95</v>
          </cell>
          <cell r="J926">
            <v>131</v>
          </cell>
          <cell r="K926">
            <v>98</v>
          </cell>
          <cell r="L926">
            <v>99</v>
          </cell>
          <cell r="M926">
            <v>680</v>
          </cell>
          <cell r="N926" t="str">
            <v>fairy-aura</v>
          </cell>
          <cell r="Q926">
            <v>3</v>
          </cell>
          <cell r="R926">
            <v>215</v>
          </cell>
          <cell r="S926" t="str">
            <v>Legends say it can share eternal life. It slept for a thousand years in the form of a tree before its revival.</v>
          </cell>
          <cell r="T926" t="str">
            <v>https://raw.githubusercontent.com/PokeAPI/sprites/master/sprites/pokemon/other/official-artwork/716.png</v>
          </cell>
          <cell r="U926" t="str">
            <v>https://raw.githubusercontent.com/PokeAPI/sprites/master/sprites/pokemon/other/official-artwork/shiny/716.png</v>
          </cell>
        </row>
        <row r="927">
          <cell r="A927">
            <v>717</v>
          </cell>
          <cell r="C927" t="str">
            <v>Yveltal</v>
          </cell>
          <cell r="D927" t="str">
            <v>Standard</v>
          </cell>
          <cell r="E927" t="str">
            <v>dark</v>
          </cell>
          <cell r="F927" t="str">
            <v>flying</v>
          </cell>
          <cell r="G927">
            <v>126</v>
          </cell>
          <cell r="H927">
            <v>131</v>
          </cell>
          <cell r="I927">
            <v>95</v>
          </cell>
          <cell r="J927">
            <v>131</v>
          </cell>
          <cell r="K927">
            <v>98</v>
          </cell>
          <cell r="L927">
            <v>99</v>
          </cell>
          <cell r="M927">
            <v>680</v>
          </cell>
          <cell r="N927" t="str">
            <v>dark-aura</v>
          </cell>
          <cell r="Q927">
            <v>5.8</v>
          </cell>
          <cell r="R927">
            <v>203</v>
          </cell>
          <cell r="S927" t="str">
            <v>When this legendary Pokémon’s wings and tail feathers spread wide and glow red, it absorbs the life force of living creatures.</v>
          </cell>
          <cell r="T927" t="str">
            <v>https://raw.githubusercontent.com/PokeAPI/sprites/master/sprites/pokemon/other/official-artwork/717.png</v>
          </cell>
          <cell r="U927" t="str">
            <v>https://raw.githubusercontent.com/PokeAPI/sprites/master/sprites/pokemon/other/official-artwork/shiny/717.png</v>
          </cell>
        </row>
        <row r="928">
          <cell r="A928">
            <v>718</v>
          </cell>
          <cell r="C928" t="str">
            <v>Zygarde 10</v>
          </cell>
          <cell r="D928" t="str">
            <v>Other</v>
          </cell>
          <cell r="E928" t="str">
            <v>dragon</v>
          </cell>
          <cell r="F928" t="str">
            <v>ground</v>
          </cell>
          <cell r="G928">
            <v>54</v>
          </cell>
          <cell r="H928">
            <v>100</v>
          </cell>
          <cell r="I928">
            <v>71</v>
          </cell>
          <cell r="J928">
            <v>61</v>
          </cell>
          <cell r="K928">
            <v>85</v>
          </cell>
          <cell r="L928">
            <v>115</v>
          </cell>
          <cell r="M928">
            <v>486</v>
          </cell>
          <cell r="N928" t="str">
            <v>aura-break</v>
          </cell>
          <cell r="Q928">
            <v>1.2</v>
          </cell>
          <cell r="R928">
            <v>33.5</v>
          </cell>
          <cell r="S928" t="str">
            <v>When the Kalos region’s ecosystem falls into disarray, it appears and reveals its secret power.</v>
          </cell>
          <cell r="T928" t="str">
            <v>https://raw.githubusercontent.com/PokeAPI/sprites/master/sprites/pokemon/other/official-artwork/10181.png</v>
          </cell>
          <cell r="U928" t="str">
            <v>https://raw.githubusercontent.com/PokeAPI/sprites/master/sprites/pokemon/other/official-artwork/shiny/10181.png</v>
          </cell>
        </row>
        <row r="929">
          <cell r="A929">
            <v>718</v>
          </cell>
          <cell r="C929" t="str">
            <v>Zygarde 10 Power Construct</v>
          </cell>
          <cell r="D929" t="str">
            <v>Other</v>
          </cell>
          <cell r="E929" t="str">
            <v>dragon</v>
          </cell>
          <cell r="F929" t="str">
            <v>ground</v>
          </cell>
          <cell r="G929">
            <v>54</v>
          </cell>
          <cell r="H929">
            <v>100</v>
          </cell>
          <cell r="I929">
            <v>71</v>
          </cell>
          <cell r="J929">
            <v>61</v>
          </cell>
          <cell r="K929">
            <v>85</v>
          </cell>
          <cell r="L929">
            <v>115</v>
          </cell>
          <cell r="M929">
            <v>486</v>
          </cell>
          <cell r="N929" t="str">
            <v>power-construct</v>
          </cell>
          <cell r="Q929">
            <v>1.2</v>
          </cell>
          <cell r="R929">
            <v>33.5</v>
          </cell>
          <cell r="S929" t="str">
            <v>When the Kalos region’s ecosystem falls into disarray, it appears and reveals its secret power.</v>
          </cell>
          <cell r="T929" t="str">
            <v>https://raw.githubusercontent.com/PokeAPI/sprites/master/sprites/pokemon/other/official-artwork/10118.png</v>
          </cell>
          <cell r="U929" t="str">
            <v>https://raw.githubusercontent.com/PokeAPI/sprites/master/sprites/pokemon/other/official-artwork/shiny/10118.png</v>
          </cell>
        </row>
        <row r="930">
          <cell r="A930">
            <v>718</v>
          </cell>
          <cell r="C930" t="str">
            <v>Zygarde 50</v>
          </cell>
          <cell r="D930" t="str">
            <v>Other</v>
          </cell>
          <cell r="E930" t="str">
            <v>dragon</v>
          </cell>
          <cell r="F930" t="str">
            <v>ground</v>
          </cell>
          <cell r="G930">
            <v>108</v>
          </cell>
          <cell r="H930">
            <v>100</v>
          </cell>
          <cell r="I930">
            <v>121</v>
          </cell>
          <cell r="J930">
            <v>81</v>
          </cell>
          <cell r="K930">
            <v>95</v>
          </cell>
          <cell r="L930">
            <v>95</v>
          </cell>
          <cell r="M930">
            <v>600</v>
          </cell>
          <cell r="N930" t="str">
            <v>aura-break</v>
          </cell>
          <cell r="Q930">
            <v>5</v>
          </cell>
          <cell r="R930">
            <v>305</v>
          </cell>
          <cell r="S930" t="str">
            <v>When the Kalos region’s ecosystem falls into disarray, it appears and reveals its secret power.</v>
          </cell>
          <cell r="T930" t="str">
            <v>https://raw.githubusercontent.com/PokeAPI/sprites/master/sprites/pokemon/other/official-artwork/718.png</v>
          </cell>
          <cell r="U930" t="str">
            <v>https://raw.githubusercontent.com/PokeAPI/sprites/master/sprites/pokemon/other/official-artwork/shiny/718.png</v>
          </cell>
        </row>
        <row r="931">
          <cell r="A931">
            <v>718</v>
          </cell>
          <cell r="C931" t="str">
            <v>Zygarde 50 Power Construct</v>
          </cell>
          <cell r="D931" t="str">
            <v>Other</v>
          </cell>
          <cell r="E931" t="str">
            <v>dragon</v>
          </cell>
          <cell r="F931" t="str">
            <v>ground</v>
          </cell>
          <cell r="G931">
            <v>108</v>
          </cell>
          <cell r="H931">
            <v>100</v>
          </cell>
          <cell r="I931">
            <v>121</v>
          </cell>
          <cell r="J931">
            <v>81</v>
          </cell>
          <cell r="K931">
            <v>95</v>
          </cell>
          <cell r="L931">
            <v>95</v>
          </cell>
          <cell r="M931">
            <v>600</v>
          </cell>
          <cell r="N931" t="str">
            <v>power-construct</v>
          </cell>
          <cell r="Q931">
            <v>5</v>
          </cell>
          <cell r="R931">
            <v>305</v>
          </cell>
          <cell r="S931" t="str">
            <v>When the Kalos region’s ecosystem falls into disarray, it appears and reveals its secret power.</v>
          </cell>
          <cell r="T931" t="str">
            <v>https://raw.githubusercontent.com/PokeAPI/sprites/master/sprites/pokemon/other/official-artwork/10119.png</v>
          </cell>
          <cell r="U931" t="str">
            <v>https://raw.githubusercontent.com/PokeAPI/sprites/master/sprites/pokemon/other/official-artwork/shiny/10119.png</v>
          </cell>
        </row>
        <row r="932">
          <cell r="A932">
            <v>718</v>
          </cell>
          <cell r="C932" t="str">
            <v>Zygarde Complete</v>
          </cell>
          <cell r="D932" t="str">
            <v>Other</v>
          </cell>
          <cell r="E932" t="str">
            <v>dragon</v>
          </cell>
          <cell r="F932" t="str">
            <v>ground</v>
          </cell>
          <cell r="G932">
            <v>216</v>
          </cell>
          <cell r="H932">
            <v>100</v>
          </cell>
          <cell r="I932">
            <v>121</v>
          </cell>
          <cell r="J932">
            <v>91</v>
          </cell>
          <cell r="K932">
            <v>95</v>
          </cell>
          <cell r="L932">
            <v>85</v>
          </cell>
          <cell r="M932">
            <v>708</v>
          </cell>
          <cell r="N932" t="str">
            <v>power-construct</v>
          </cell>
          <cell r="Q932">
            <v>4.5</v>
          </cell>
          <cell r="R932">
            <v>610</v>
          </cell>
          <cell r="S932" t="str">
            <v>When the Kalos region’s ecosystem falls into disarray, it appears and reveals its secret power.</v>
          </cell>
          <cell r="T932" t="str">
            <v>https://raw.githubusercontent.com/PokeAPI/sprites/master/sprites/pokemon/other/official-artwork/10120.png</v>
          </cell>
          <cell r="U932" t="str">
            <v>https://raw.githubusercontent.com/PokeAPI/sprites/master/sprites/pokemon/other/official-artwork/shiny/10120.png</v>
          </cell>
        </row>
        <row r="933">
          <cell r="A933">
            <v>718</v>
          </cell>
          <cell r="C933" t="str">
            <v>Zygarde Mega</v>
          </cell>
          <cell r="D933" t="str">
            <v>Mega</v>
          </cell>
          <cell r="E933" t="str">
            <v>dragon</v>
          </cell>
          <cell r="F933" t="str">
            <v>ground</v>
          </cell>
          <cell r="G933">
            <v>216</v>
          </cell>
          <cell r="H933">
            <v>70</v>
          </cell>
          <cell r="I933">
            <v>91</v>
          </cell>
          <cell r="J933">
            <v>216</v>
          </cell>
          <cell r="K933">
            <v>85</v>
          </cell>
          <cell r="L933">
            <v>100</v>
          </cell>
          <cell r="M933">
            <v>778</v>
          </cell>
          <cell r="Q933">
            <v>7.7</v>
          </cell>
          <cell r="R933">
            <v>610</v>
          </cell>
          <cell r="S933" t="str">
            <v>When the Kalos region’s ecosystem falls into disarray, it appears and reveals its secret power.</v>
          </cell>
        </row>
        <row r="934">
          <cell r="A934">
            <v>719</v>
          </cell>
          <cell r="C934" t="str">
            <v>Diancie</v>
          </cell>
          <cell r="D934" t="str">
            <v>Standard</v>
          </cell>
          <cell r="E934" t="str">
            <v>rock</v>
          </cell>
          <cell r="F934" t="str">
            <v>fairy</v>
          </cell>
          <cell r="G934">
            <v>50</v>
          </cell>
          <cell r="H934">
            <v>100</v>
          </cell>
          <cell r="I934">
            <v>150</v>
          </cell>
          <cell r="J934">
            <v>100</v>
          </cell>
          <cell r="K934">
            <v>150</v>
          </cell>
          <cell r="L934">
            <v>50</v>
          </cell>
          <cell r="M934">
            <v>600</v>
          </cell>
          <cell r="N934" t="str">
            <v>clear-body</v>
          </cell>
          <cell r="Q934">
            <v>0.7</v>
          </cell>
          <cell r="R934">
            <v>8.8000000000000007</v>
          </cell>
          <cell r="S934" t="str">
            <v>A sudden transformation of Carbink, its pink, glimmering body is said to be the loveliest sight in the whole world.</v>
          </cell>
          <cell r="T934" t="str">
            <v>https://raw.githubusercontent.com/PokeAPI/sprites/master/sprites/pokemon/other/official-artwork/719.png</v>
          </cell>
          <cell r="U934" t="str">
            <v>https://raw.githubusercontent.com/PokeAPI/sprites/master/sprites/pokemon/other/official-artwork/shiny/719.png</v>
          </cell>
        </row>
        <row r="935">
          <cell r="A935">
            <v>719</v>
          </cell>
          <cell r="C935" t="str">
            <v>Diancie Mega</v>
          </cell>
          <cell r="D935" t="str">
            <v>Mega</v>
          </cell>
          <cell r="E935" t="str">
            <v>rock</v>
          </cell>
          <cell r="F935" t="str">
            <v>fairy</v>
          </cell>
          <cell r="G935">
            <v>50</v>
          </cell>
          <cell r="H935">
            <v>160</v>
          </cell>
          <cell r="I935">
            <v>110</v>
          </cell>
          <cell r="J935">
            <v>160</v>
          </cell>
          <cell r="K935">
            <v>110</v>
          </cell>
          <cell r="L935">
            <v>110</v>
          </cell>
          <cell r="M935">
            <v>700</v>
          </cell>
          <cell r="N935" t="str">
            <v>magic-bounce</v>
          </cell>
          <cell r="Q935">
            <v>1.1000000000000001</v>
          </cell>
          <cell r="R935">
            <v>27.8</v>
          </cell>
          <cell r="S935" t="str">
            <v>A sudden transformation of Carbink, its pink, glimmering body is said to be the loveliest sight in the whole world.</v>
          </cell>
          <cell r="T935" t="str">
            <v>https://raw.githubusercontent.com/PokeAPI/sprites/master/sprites/pokemon/other/official-artwork/10075.png</v>
          </cell>
          <cell r="U935" t="str">
            <v>https://raw.githubusercontent.com/PokeAPI/sprites/master/sprites/pokemon/other/official-artwork/shiny/10075.png</v>
          </cell>
        </row>
        <row r="936">
          <cell r="A936">
            <v>720</v>
          </cell>
          <cell r="C936" t="str">
            <v>Hoopa</v>
          </cell>
          <cell r="D936" t="str">
            <v>Standard</v>
          </cell>
          <cell r="E936" t="str">
            <v>psychic</v>
          </cell>
          <cell r="F936" t="str">
            <v>ghost</v>
          </cell>
          <cell r="G936">
            <v>80</v>
          </cell>
          <cell r="H936">
            <v>110</v>
          </cell>
          <cell r="I936">
            <v>60</v>
          </cell>
          <cell r="J936">
            <v>150</v>
          </cell>
          <cell r="K936">
            <v>130</v>
          </cell>
          <cell r="L936">
            <v>70</v>
          </cell>
          <cell r="M936">
            <v>600</v>
          </cell>
          <cell r="N936" t="str">
            <v>magician</v>
          </cell>
          <cell r="Q936">
            <v>0.5</v>
          </cell>
          <cell r="R936">
            <v>9</v>
          </cell>
          <cell r="S936" t="str">
            <v>This troublemaker sends anything and everything to faraway places using its loop, which can warp space.</v>
          </cell>
          <cell r="T936" t="str">
            <v>https://raw.githubusercontent.com/PokeAPI/sprites/master/sprites/pokemon/other/official-artwork/720.png</v>
          </cell>
          <cell r="U936" t="str">
            <v>https://raw.githubusercontent.com/PokeAPI/sprites/master/sprites/pokemon/other/official-artwork/shiny/720.png</v>
          </cell>
        </row>
        <row r="937">
          <cell r="A937">
            <v>720</v>
          </cell>
          <cell r="C937" t="str">
            <v>Hoopa Unbound</v>
          </cell>
          <cell r="D937" t="str">
            <v>Other</v>
          </cell>
          <cell r="E937" t="str">
            <v>psychic</v>
          </cell>
          <cell r="F937" t="str">
            <v>dark</v>
          </cell>
          <cell r="G937">
            <v>80</v>
          </cell>
          <cell r="H937">
            <v>160</v>
          </cell>
          <cell r="I937">
            <v>60</v>
          </cell>
          <cell r="J937">
            <v>170</v>
          </cell>
          <cell r="K937">
            <v>130</v>
          </cell>
          <cell r="L937">
            <v>80</v>
          </cell>
          <cell r="M937">
            <v>680</v>
          </cell>
          <cell r="N937" t="str">
            <v>magician</v>
          </cell>
          <cell r="Q937">
            <v>6.5</v>
          </cell>
          <cell r="R937">
            <v>490</v>
          </cell>
          <cell r="S937" t="str">
            <v>This troublemaker sends anything and everything to faraway places using its loop, which can warp space.</v>
          </cell>
          <cell r="T937" t="str">
            <v>https://raw.githubusercontent.com/PokeAPI/sprites/master/sprites/pokemon/other/official-artwork/10086.png</v>
          </cell>
          <cell r="U937" t="str">
            <v>https://raw.githubusercontent.com/PokeAPI/sprites/master/sprites/pokemon/other/official-artwork/shiny/10086.png</v>
          </cell>
        </row>
        <row r="938">
          <cell r="A938">
            <v>721</v>
          </cell>
          <cell r="C938" t="str">
            <v>Volcanion</v>
          </cell>
          <cell r="D938" t="str">
            <v>Standard</v>
          </cell>
          <cell r="E938" t="str">
            <v>fire</v>
          </cell>
          <cell r="F938" t="str">
            <v>water</v>
          </cell>
          <cell r="G938">
            <v>80</v>
          </cell>
          <cell r="H938">
            <v>110</v>
          </cell>
          <cell r="I938">
            <v>120</v>
          </cell>
          <cell r="J938">
            <v>130</v>
          </cell>
          <cell r="K938">
            <v>90</v>
          </cell>
          <cell r="L938">
            <v>70</v>
          </cell>
          <cell r="M938">
            <v>600</v>
          </cell>
          <cell r="N938" t="str">
            <v>water-absorb</v>
          </cell>
          <cell r="Q938">
            <v>1.7</v>
          </cell>
          <cell r="R938">
            <v>195</v>
          </cell>
          <cell r="S938" t="str">
            <v>It lets out billows of steam and disappears into the dense fog. It’s said to live in mountains where humans do not tread.</v>
          </cell>
          <cell r="T938" t="str">
            <v>https://raw.githubusercontent.com/PokeAPI/sprites/master/sprites/pokemon/other/official-artwork/721.png</v>
          </cell>
          <cell r="U938" t="str">
            <v>https://raw.githubusercontent.com/PokeAPI/sprites/master/sprites/pokemon/other/official-artwork/shiny/721.png</v>
          </cell>
        </row>
        <row r="939">
          <cell r="A939">
            <v>722</v>
          </cell>
          <cell r="C939" t="str">
            <v>Rowlet</v>
          </cell>
          <cell r="D939" t="str">
            <v>Standard</v>
          </cell>
          <cell r="E939" t="str">
            <v>grass</v>
          </cell>
          <cell r="F939" t="str">
            <v>flying</v>
          </cell>
          <cell r="G939">
            <v>68</v>
          </cell>
          <cell r="H939">
            <v>55</v>
          </cell>
          <cell r="I939">
            <v>55</v>
          </cell>
          <cell r="J939">
            <v>50</v>
          </cell>
          <cell r="K939">
            <v>50</v>
          </cell>
          <cell r="L939">
            <v>42</v>
          </cell>
          <cell r="M939">
            <v>320</v>
          </cell>
          <cell r="N939" t="str">
            <v>overgrow</v>
          </cell>
          <cell r="P939" t="str">
            <v>long-reach</v>
          </cell>
          <cell r="Q939">
            <v>0.3</v>
          </cell>
          <cell r="R939">
            <v>1.5</v>
          </cell>
          <cell r="S939" t="str">
            <v>This wary Pokémon uses photosynthesis to store up energy during the day, while becoming active at night.</v>
          </cell>
          <cell r="T939" t="str">
            <v>https://raw.githubusercontent.com/PokeAPI/sprites/master/sprites/pokemon/other/official-artwork/722.png</v>
          </cell>
          <cell r="U939" t="str">
            <v>https://raw.githubusercontent.com/PokeAPI/sprites/master/sprites/pokemon/other/official-artwork/shiny/722.png</v>
          </cell>
        </row>
        <row r="940">
          <cell r="A940">
            <v>723</v>
          </cell>
          <cell r="C940" t="str">
            <v>Dartrix</v>
          </cell>
          <cell r="D940" t="str">
            <v>Standard</v>
          </cell>
          <cell r="E940" t="str">
            <v>grass</v>
          </cell>
          <cell r="F940" t="str">
            <v>flying</v>
          </cell>
          <cell r="G940">
            <v>78</v>
          </cell>
          <cell r="H940">
            <v>75</v>
          </cell>
          <cell r="I940">
            <v>75</v>
          </cell>
          <cell r="J940">
            <v>70</v>
          </cell>
          <cell r="K940">
            <v>70</v>
          </cell>
          <cell r="L940">
            <v>52</v>
          </cell>
          <cell r="M940">
            <v>420</v>
          </cell>
          <cell r="N940" t="str">
            <v>overgrow</v>
          </cell>
          <cell r="P940" t="str">
            <v>long-reach</v>
          </cell>
          <cell r="Q940">
            <v>0.7</v>
          </cell>
          <cell r="R940">
            <v>16</v>
          </cell>
          <cell r="S940" t="str">
            <v>A bit of a dandy, it spends its free time preening its wings. Its preoccupation with any dirt on its plumage can leave it unable to battle.</v>
          </cell>
          <cell r="T940" t="str">
            <v>https://raw.githubusercontent.com/PokeAPI/sprites/master/sprites/pokemon/other/official-artwork/723.png</v>
          </cell>
          <cell r="U940" t="str">
            <v>https://raw.githubusercontent.com/PokeAPI/sprites/master/sprites/pokemon/other/official-artwork/shiny/723.png</v>
          </cell>
        </row>
        <row r="941">
          <cell r="A941">
            <v>724</v>
          </cell>
          <cell r="C941" t="str">
            <v>Decidueye</v>
          </cell>
          <cell r="D941" t="str">
            <v>Standard</v>
          </cell>
          <cell r="E941" t="str">
            <v>grass</v>
          </cell>
          <cell r="F941" t="str">
            <v>ghost</v>
          </cell>
          <cell r="G941">
            <v>78</v>
          </cell>
          <cell r="H941">
            <v>107</v>
          </cell>
          <cell r="I941">
            <v>75</v>
          </cell>
          <cell r="J941">
            <v>100</v>
          </cell>
          <cell r="K941">
            <v>100</v>
          </cell>
          <cell r="L941">
            <v>70</v>
          </cell>
          <cell r="M941">
            <v>530</v>
          </cell>
          <cell r="N941" t="str">
            <v>overgrow</v>
          </cell>
          <cell r="P941" t="str">
            <v>long-reach</v>
          </cell>
          <cell r="Q941">
            <v>1.6</v>
          </cell>
          <cell r="R941">
            <v>36.6</v>
          </cell>
          <cell r="S941" t="str">
            <v>It fires arrow quills from its wings with such precision, they can pierce a pebble at distances over a hundred yards.</v>
          </cell>
          <cell r="T941" t="str">
            <v>https://raw.githubusercontent.com/PokeAPI/sprites/master/sprites/pokemon/other/official-artwork/724.png</v>
          </cell>
          <cell r="U941" t="str">
            <v>https://raw.githubusercontent.com/PokeAPI/sprites/master/sprites/pokemon/other/official-artwork/shiny/724.png</v>
          </cell>
        </row>
        <row r="942">
          <cell r="A942">
            <v>724</v>
          </cell>
          <cell r="C942" t="str">
            <v>Decidueye Hisui</v>
          </cell>
          <cell r="D942" t="str">
            <v>Regional</v>
          </cell>
          <cell r="E942" t="str">
            <v>grass</v>
          </cell>
          <cell r="F942" t="str">
            <v>fighting</v>
          </cell>
          <cell r="G942">
            <v>88</v>
          </cell>
          <cell r="H942">
            <v>112</v>
          </cell>
          <cell r="I942">
            <v>80</v>
          </cell>
          <cell r="J942">
            <v>95</v>
          </cell>
          <cell r="K942">
            <v>95</v>
          </cell>
          <cell r="L942">
            <v>60</v>
          </cell>
          <cell r="M942">
            <v>530</v>
          </cell>
          <cell r="N942" t="str">
            <v>overgrow</v>
          </cell>
          <cell r="P942" t="str">
            <v>scrappy</v>
          </cell>
          <cell r="Q942">
            <v>1.6</v>
          </cell>
          <cell r="R942">
            <v>37</v>
          </cell>
          <cell r="S942" t="str">
            <v>It fires arrow quills from its wings with such precision, they can pierce a pebble at distances over a hundred yards.</v>
          </cell>
          <cell r="T942" t="str">
            <v>https://raw.githubusercontent.com/PokeAPI/sprites/master/sprites/pokemon/other/official-artwork/10244.png</v>
          </cell>
          <cell r="U942" t="str">
            <v>https://raw.githubusercontent.com/PokeAPI/sprites/master/sprites/pokemon/other/official-artwork/shiny/10244.png</v>
          </cell>
        </row>
        <row r="943">
          <cell r="A943">
            <v>725</v>
          </cell>
          <cell r="C943" t="str">
            <v>Litten</v>
          </cell>
          <cell r="D943" t="str">
            <v>Standard</v>
          </cell>
          <cell r="E943" t="str">
            <v>fire</v>
          </cell>
          <cell r="G943">
            <v>45</v>
          </cell>
          <cell r="H943">
            <v>65</v>
          </cell>
          <cell r="I943">
            <v>40</v>
          </cell>
          <cell r="J943">
            <v>60</v>
          </cell>
          <cell r="K943">
            <v>40</v>
          </cell>
          <cell r="L943">
            <v>70</v>
          </cell>
          <cell r="M943">
            <v>320</v>
          </cell>
          <cell r="N943" t="str">
            <v>blaze</v>
          </cell>
          <cell r="P943" t="str">
            <v>intimidate</v>
          </cell>
          <cell r="Q943">
            <v>0.4</v>
          </cell>
          <cell r="R943">
            <v>4.3</v>
          </cell>
          <cell r="S943" t="str">
            <v>While grooming itself, it builds up fur inside its stomach. It sets the fur alight and spews fiery attacks, which change based on how it coughs.</v>
          </cell>
          <cell r="T943" t="str">
            <v>https://raw.githubusercontent.com/PokeAPI/sprites/master/sprites/pokemon/other/official-artwork/725.png</v>
          </cell>
          <cell r="U943" t="str">
            <v>https://raw.githubusercontent.com/PokeAPI/sprites/master/sprites/pokemon/other/official-artwork/shiny/725.png</v>
          </cell>
        </row>
        <row r="944">
          <cell r="A944">
            <v>726</v>
          </cell>
          <cell r="C944" t="str">
            <v>Torracat</v>
          </cell>
          <cell r="D944" t="str">
            <v>Standard</v>
          </cell>
          <cell r="E944" t="str">
            <v>fire</v>
          </cell>
          <cell r="G944">
            <v>65</v>
          </cell>
          <cell r="H944">
            <v>85</v>
          </cell>
          <cell r="I944">
            <v>50</v>
          </cell>
          <cell r="J944">
            <v>80</v>
          </cell>
          <cell r="K944">
            <v>50</v>
          </cell>
          <cell r="L944">
            <v>90</v>
          </cell>
          <cell r="M944">
            <v>420</v>
          </cell>
          <cell r="N944" t="str">
            <v>blaze</v>
          </cell>
          <cell r="P944" t="str">
            <v>intimidate</v>
          </cell>
          <cell r="Q944">
            <v>0.7</v>
          </cell>
          <cell r="R944">
            <v>25</v>
          </cell>
          <cell r="S944" t="str">
            <v>At its throat, it bears a bell of fire. The bell rings brightly whenever this Pokémon spits fire.</v>
          </cell>
          <cell r="T944" t="str">
            <v>https://raw.githubusercontent.com/PokeAPI/sprites/master/sprites/pokemon/other/official-artwork/726.png</v>
          </cell>
          <cell r="U944" t="str">
            <v>https://raw.githubusercontent.com/PokeAPI/sprites/master/sprites/pokemon/other/official-artwork/shiny/726.png</v>
          </cell>
        </row>
        <row r="945">
          <cell r="A945">
            <v>727</v>
          </cell>
          <cell r="C945" t="str">
            <v>Incineroar</v>
          </cell>
          <cell r="D945" t="str">
            <v>Standard</v>
          </cell>
          <cell r="E945" t="str">
            <v>fire</v>
          </cell>
          <cell r="F945" t="str">
            <v>dark</v>
          </cell>
          <cell r="G945">
            <v>95</v>
          </cell>
          <cell r="H945">
            <v>115</v>
          </cell>
          <cell r="I945">
            <v>90</v>
          </cell>
          <cell r="J945">
            <v>80</v>
          </cell>
          <cell r="K945">
            <v>90</v>
          </cell>
          <cell r="L945">
            <v>60</v>
          </cell>
          <cell r="M945">
            <v>530</v>
          </cell>
          <cell r="N945" t="str">
            <v>blaze</v>
          </cell>
          <cell r="P945" t="str">
            <v>intimidate</v>
          </cell>
          <cell r="Q945">
            <v>1.8</v>
          </cell>
          <cell r="R945">
            <v>83</v>
          </cell>
          <cell r="S945" t="str">
            <v>This Pokémon has a violent, selfish disposition. If it’s not in the mood to listen, it will ignore its Trainer’s orders with complete nonchalance.</v>
          </cell>
          <cell r="T945" t="str">
            <v>https://raw.githubusercontent.com/PokeAPI/sprites/master/sprites/pokemon/other/official-artwork/727.png</v>
          </cell>
          <cell r="U945" t="str">
            <v>https://raw.githubusercontent.com/PokeAPI/sprites/master/sprites/pokemon/other/official-artwork/shiny/727.png</v>
          </cell>
        </row>
        <row r="946">
          <cell r="A946">
            <v>728</v>
          </cell>
          <cell r="C946" t="str">
            <v>Popplio</v>
          </cell>
          <cell r="D946" t="str">
            <v>Standard</v>
          </cell>
          <cell r="E946" t="str">
            <v>water</v>
          </cell>
          <cell r="G946">
            <v>50</v>
          </cell>
          <cell r="H946">
            <v>54</v>
          </cell>
          <cell r="I946">
            <v>54</v>
          </cell>
          <cell r="J946">
            <v>66</v>
          </cell>
          <cell r="K946">
            <v>56</v>
          </cell>
          <cell r="L946">
            <v>40</v>
          </cell>
          <cell r="M946">
            <v>320</v>
          </cell>
          <cell r="N946" t="str">
            <v>torrent</v>
          </cell>
          <cell r="P946" t="str">
            <v>liquid-voice</v>
          </cell>
          <cell r="Q946">
            <v>0.4</v>
          </cell>
          <cell r="R946">
            <v>7.5</v>
          </cell>
          <cell r="S946" t="str">
            <v>This Pokémon snorts body fluids from its nose, blowing balloons to smash into its foes. It’s famous for being a hard worker.</v>
          </cell>
          <cell r="T946" t="str">
            <v>https://raw.githubusercontent.com/PokeAPI/sprites/master/sprites/pokemon/other/official-artwork/728.png</v>
          </cell>
          <cell r="U946" t="str">
            <v>https://raw.githubusercontent.com/PokeAPI/sprites/master/sprites/pokemon/other/official-artwork/shiny/728.png</v>
          </cell>
        </row>
        <row r="947">
          <cell r="A947">
            <v>729</v>
          </cell>
          <cell r="C947" t="str">
            <v>Brionne</v>
          </cell>
          <cell r="D947" t="str">
            <v>Standard</v>
          </cell>
          <cell r="E947" t="str">
            <v>water</v>
          </cell>
          <cell r="G947">
            <v>60</v>
          </cell>
          <cell r="H947">
            <v>69</v>
          </cell>
          <cell r="I947">
            <v>69</v>
          </cell>
          <cell r="J947">
            <v>91</v>
          </cell>
          <cell r="K947">
            <v>81</v>
          </cell>
          <cell r="L947">
            <v>50</v>
          </cell>
          <cell r="M947">
            <v>420</v>
          </cell>
          <cell r="N947" t="str">
            <v>torrent</v>
          </cell>
          <cell r="P947" t="str">
            <v>liquid-voice</v>
          </cell>
          <cell r="Q947">
            <v>0.6</v>
          </cell>
          <cell r="R947">
            <v>17.5</v>
          </cell>
          <cell r="S947" t="str">
            <v>A skillful dancer, it creates a sequence of water balloons as it dances, and briskly bombards its enemies.</v>
          </cell>
          <cell r="T947" t="str">
            <v>https://raw.githubusercontent.com/PokeAPI/sprites/master/sprites/pokemon/other/official-artwork/729.png</v>
          </cell>
          <cell r="U947" t="str">
            <v>https://raw.githubusercontent.com/PokeAPI/sprites/master/sprites/pokemon/other/official-artwork/shiny/729.png</v>
          </cell>
        </row>
        <row r="948">
          <cell r="A948">
            <v>730</v>
          </cell>
          <cell r="C948" t="str">
            <v>Primarina</v>
          </cell>
          <cell r="D948" t="str">
            <v>Standard</v>
          </cell>
          <cell r="E948" t="str">
            <v>water</v>
          </cell>
          <cell r="F948" t="str">
            <v>fairy</v>
          </cell>
          <cell r="G948">
            <v>80</v>
          </cell>
          <cell r="H948">
            <v>74</v>
          </cell>
          <cell r="I948">
            <v>74</v>
          </cell>
          <cell r="J948">
            <v>126</v>
          </cell>
          <cell r="K948">
            <v>116</v>
          </cell>
          <cell r="L948">
            <v>60</v>
          </cell>
          <cell r="M948">
            <v>530</v>
          </cell>
          <cell r="N948" t="str">
            <v>torrent</v>
          </cell>
          <cell r="P948" t="str">
            <v>liquid-voice</v>
          </cell>
          <cell r="Q948">
            <v>1.8</v>
          </cell>
          <cell r="R948">
            <v>44</v>
          </cell>
          <cell r="S948" t="str">
            <v>It controls its water balloons with song. The melody is learned from others of its kind and is passed down from one generation to the next.</v>
          </cell>
          <cell r="T948" t="str">
            <v>https://raw.githubusercontent.com/PokeAPI/sprites/master/sprites/pokemon/other/official-artwork/730.png</v>
          </cell>
          <cell r="U948" t="str">
            <v>https://raw.githubusercontent.com/PokeAPI/sprites/master/sprites/pokemon/other/official-artwork/shiny/730.png</v>
          </cell>
        </row>
        <row r="949">
          <cell r="A949">
            <v>731</v>
          </cell>
          <cell r="C949" t="str">
            <v>Pikipek</v>
          </cell>
          <cell r="D949" t="str">
            <v>Standard</v>
          </cell>
          <cell r="E949" t="str">
            <v>normal</v>
          </cell>
          <cell r="F949" t="str">
            <v>flying</v>
          </cell>
          <cell r="G949">
            <v>35</v>
          </cell>
          <cell r="H949">
            <v>75</v>
          </cell>
          <cell r="I949">
            <v>30</v>
          </cell>
          <cell r="J949">
            <v>30</v>
          </cell>
          <cell r="K949">
            <v>30</v>
          </cell>
          <cell r="L949">
            <v>65</v>
          </cell>
          <cell r="M949">
            <v>265</v>
          </cell>
          <cell r="N949" t="str">
            <v>keen-eye</v>
          </cell>
          <cell r="O949" t="str">
            <v>skill-link</v>
          </cell>
          <cell r="P949" t="str">
            <v>pickup</v>
          </cell>
          <cell r="Q949">
            <v>0.3</v>
          </cell>
          <cell r="R949">
            <v>1.2</v>
          </cell>
          <cell r="S949" t="str">
            <v>It can peck at a rate of 16 times a second to drill holes in trees. It uses the holes for food storage and for nesting.</v>
          </cell>
          <cell r="T949" t="str">
            <v>https://raw.githubusercontent.com/PokeAPI/sprites/master/sprites/pokemon/other/official-artwork/731.png</v>
          </cell>
          <cell r="U949" t="str">
            <v>https://raw.githubusercontent.com/PokeAPI/sprites/master/sprites/pokemon/other/official-artwork/shiny/731.png</v>
          </cell>
        </row>
        <row r="950">
          <cell r="A950">
            <v>732</v>
          </cell>
          <cell r="C950" t="str">
            <v>Trumbeak</v>
          </cell>
          <cell r="D950" t="str">
            <v>Standard</v>
          </cell>
          <cell r="E950" t="str">
            <v>normal</v>
          </cell>
          <cell r="F950" t="str">
            <v>flying</v>
          </cell>
          <cell r="G950">
            <v>55</v>
          </cell>
          <cell r="H950">
            <v>85</v>
          </cell>
          <cell r="I950">
            <v>50</v>
          </cell>
          <cell r="J950">
            <v>40</v>
          </cell>
          <cell r="K950">
            <v>50</v>
          </cell>
          <cell r="L950">
            <v>75</v>
          </cell>
          <cell r="M950">
            <v>355</v>
          </cell>
          <cell r="N950" t="str">
            <v>keen-eye</v>
          </cell>
          <cell r="O950" t="str">
            <v>skill-link</v>
          </cell>
          <cell r="P950" t="str">
            <v>pickup</v>
          </cell>
          <cell r="Q950">
            <v>0.6</v>
          </cell>
          <cell r="R950">
            <v>14.8</v>
          </cell>
          <cell r="S950" t="str">
            <v>It eats berries and stores their seeds in its beak. When it encounters enemies or prey, it fires off all the seeds in a burst.</v>
          </cell>
          <cell r="T950" t="str">
            <v>https://raw.githubusercontent.com/PokeAPI/sprites/master/sprites/pokemon/other/official-artwork/732.png</v>
          </cell>
          <cell r="U950" t="str">
            <v>https://raw.githubusercontent.com/PokeAPI/sprites/master/sprites/pokemon/other/official-artwork/shiny/732.png</v>
          </cell>
        </row>
        <row r="951">
          <cell r="A951">
            <v>733</v>
          </cell>
          <cell r="C951" t="str">
            <v>Toucannon</v>
          </cell>
          <cell r="D951" t="str">
            <v>Standard</v>
          </cell>
          <cell r="E951" t="str">
            <v>normal</v>
          </cell>
          <cell r="F951" t="str">
            <v>flying</v>
          </cell>
          <cell r="G951">
            <v>80</v>
          </cell>
          <cell r="H951">
            <v>120</v>
          </cell>
          <cell r="I951">
            <v>75</v>
          </cell>
          <cell r="J951">
            <v>75</v>
          </cell>
          <cell r="K951">
            <v>75</v>
          </cell>
          <cell r="L951">
            <v>60</v>
          </cell>
          <cell r="M951">
            <v>485</v>
          </cell>
          <cell r="N951" t="str">
            <v>keen-eye</v>
          </cell>
          <cell r="O951" t="str">
            <v>skill-link</v>
          </cell>
          <cell r="P951" t="str">
            <v>sheer-force</v>
          </cell>
          <cell r="Q951">
            <v>1.1000000000000001</v>
          </cell>
          <cell r="R951">
            <v>26</v>
          </cell>
          <cell r="S951" t="str">
            <v>When it battles, its beak heats up. The temperature can easily exceed 212 degrees Fahrenheit, causing severe burns when it hits.</v>
          </cell>
          <cell r="T951" t="str">
            <v>https://raw.githubusercontent.com/PokeAPI/sprites/master/sprites/pokemon/other/official-artwork/733.png</v>
          </cell>
          <cell r="U951" t="str">
            <v>https://raw.githubusercontent.com/PokeAPI/sprites/master/sprites/pokemon/other/official-artwork/shiny/733.png</v>
          </cell>
        </row>
        <row r="952">
          <cell r="A952">
            <v>734</v>
          </cell>
          <cell r="C952" t="str">
            <v>Yungoos</v>
          </cell>
          <cell r="D952" t="str">
            <v>Standard</v>
          </cell>
          <cell r="E952" t="str">
            <v>normal</v>
          </cell>
          <cell r="G952">
            <v>48</v>
          </cell>
          <cell r="H952">
            <v>70</v>
          </cell>
          <cell r="I952">
            <v>30</v>
          </cell>
          <cell r="J952">
            <v>30</v>
          </cell>
          <cell r="K952">
            <v>30</v>
          </cell>
          <cell r="L952">
            <v>45</v>
          </cell>
          <cell r="M952">
            <v>253</v>
          </cell>
          <cell r="N952" t="str">
            <v>stakeout</v>
          </cell>
          <cell r="O952" t="str">
            <v>strong-jaw</v>
          </cell>
          <cell r="P952" t="str">
            <v>adaptability</v>
          </cell>
          <cell r="Q952">
            <v>0.4</v>
          </cell>
          <cell r="R952">
            <v>6</v>
          </cell>
          <cell r="S952" t="str">
            <v>With its sharp fangs, it will bite anything. It did not originally live in Alola but was imported from another region.</v>
          </cell>
          <cell r="T952" t="str">
            <v>https://raw.githubusercontent.com/PokeAPI/sprites/master/sprites/pokemon/other/official-artwork/734.png</v>
          </cell>
          <cell r="U952" t="str">
            <v>https://raw.githubusercontent.com/PokeAPI/sprites/master/sprites/pokemon/other/official-artwork/shiny/734.png</v>
          </cell>
        </row>
        <row r="953">
          <cell r="A953">
            <v>735</v>
          </cell>
          <cell r="C953" t="str">
            <v>Gumshoos</v>
          </cell>
          <cell r="D953" t="str">
            <v>Standard</v>
          </cell>
          <cell r="E953" t="str">
            <v>normal</v>
          </cell>
          <cell r="G953">
            <v>88</v>
          </cell>
          <cell r="H953">
            <v>110</v>
          </cell>
          <cell r="I953">
            <v>60</v>
          </cell>
          <cell r="J953">
            <v>55</v>
          </cell>
          <cell r="K953">
            <v>60</v>
          </cell>
          <cell r="L953">
            <v>45</v>
          </cell>
          <cell r="M953">
            <v>418</v>
          </cell>
          <cell r="N953" t="str">
            <v>stakeout</v>
          </cell>
          <cell r="O953" t="str">
            <v>strong-jaw</v>
          </cell>
          <cell r="P953" t="str">
            <v>adaptability</v>
          </cell>
          <cell r="Q953">
            <v>0.7</v>
          </cell>
          <cell r="R953">
            <v>14.2</v>
          </cell>
          <cell r="S953" t="str">
            <v>When it finds a trace of its prey, it patiently stakes out the location...but it’s always snoozing by nightfall.</v>
          </cell>
          <cell r="T953" t="str">
            <v>https://raw.githubusercontent.com/PokeAPI/sprites/master/sprites/pokemon/other/official-artwork/735.png</v>
          </cell>
          <cell r="U953" t="str">
            <v>https://raw.githubusercontent.com/PokeAPI/sprites/master/sprites/pokemon/other/official-artwork/shiny/735.png</v>
          </cell>
        </row>
        <row r="954">
          <cell r="A954">
            <v>735</v>
          </cell>
          <cell r="C954" t="str">
            <v>Gumshoos Totem</v>
          </cell>
          <cell r="D954" t="str">
            <v>Other</v>
          </cell>
          <cell r="E954" t="str">
            <v>normal</v>
          </cell>
          <cell r="G954">
            <v>88</v>
          </cell>
          <cell r="H954">
            <v>110</v>
          </cell>
          <cell r="I954">
            <v>60</v>
          </cell>
          <cell r="J954">
            <v>55</v>
          </cell>
          <cell r="K954">
            <v>60</v>
          </cell>
          <cell r="L954">
            <v>45</v>
          </cell>
          <cell r="M954">
            <v>418</v>
          </cell>
          <cell r="N954" t="str">
            <v>stakeout</v>
          </cell>
          <cell r="O954" t="str">
            <v>strong-jaw</v>
          </cell>
          <cell r="P954" t="str">
            <v>adaptability</v>
          </cell>
          <cell r="Q954">
            <v>1.4</v>
          </cell>
          <cell r="R954">
            <v>60</v>
          </cell>
          <cell r="S954" t="str">
            <v>When it finds a trace of its prey, it patiently stakes out the location...but it’s always snoozing by nightfall.</v>
          </cell>
          <cell r="T954" t="str">
            <v>https://raw.githubusercontent.com/PokeAPI/sprites/master/sprites/pokemon/other/official-artwork/10121.png</v>
          </cell>
          <cell r="U954" t="str">
            <v>https://raw.githubusercontent.com/PokeAPI/sprites/master/sprites/pokemon/other/official-artwork/shiny/10121.png</v>
          </cell>
        </row>
        <row r="955">
          <cell r="A955">
            <v>736</v>
          </cell>
          <cell r="C955" t="str">
            <v>Grubbin</v>
          </cell>
          <cell r="D955" t="str">
            <v>Standard</v>
          </cell>
          <cell r="E955" t="str">
            <v>bug</v>
          </cell>
          <cell r="G955">
            <v>47</v>
          </cell>
          <cell r="H955">
            <v>62</v>
          </cell>
          <cell r="I955">
            <v>45</v>
          </cell>
          <cell r="J955">
            <v>55</v>
          </cell>
          <cell r="K955">
            <v>45</v>
          </cell>
          <cell r="L955">
            <v>46</v>
          </cell>
          <cell r="M955">
            <v>300</v>
          </cell>
          <cell r="N955" t="str">
            <v>swarm</v>
          </cell>
          <cell r="Q955">
            <v>0.4</v>
          </cell>
          <cell r="R955">
            <v>4.4000000000000004</v>
          </cell>
          <cell r="S955" t="str">
            <v>Its strong jaw enables it to scrape trees and slurp out the sap. It normally lives underground.</v>
          </cell>
          <cell r="T955" t="str">
            <v>https://raw.githubusercontent.com/PokeAPI/sprites/master/sprites/pokemon/other/official-artwork/736.png</v>
          </cell>
          <cell r="U955" t="str">
            <v>https://raw.githubusercontent.com/PokeAPI/sprites/master/sprites/pokemon/other/official-artwork/shiny/736.png</v>
          </cell>
        </row>
        <row r="956">
          <cell r="A956">
            <v>737</v>
          </cell>
          <cell r="C956" t="str">
            <v>Charjabug</v>
          </cell>
          <cell r="D956" t="str">
            <v>Standard</v>
          </cell>
          <cell r="E956" t="str">
            <v>bug</v>
          </cell>
          <cell r="F956" t="str">
            <v>electric</v>
          </cell>
          <cell r="G956">
            <v>57</v>
          </cell>
          <cell r="H956">
            <v>82</v>
          </cell>
          <cell r="I956">
            <v>95</v>
          </cell>
          <cell r="J956">
            <v>55</v>
          </cell>
          <cell r="K956">
            <v>75</v>
          </cell>
          <cell r="L956">
            <v>36</v>
          </cell>
          <cell r="M956">
            <v>400</v>
          </cell>
          <cell r="N956" t="str">
            <v>battery</v>
          </cell>
          <cell r="Q956">
            <v>0.5</v>
          </cell>
          <cell r="R956">
            <v>10.5</v>
          </cell>
          <cell r="S956" t="str">
            <v>Its body is capable of storing electricity. On camping trips, people are grateful to have one around.</v>
          </cell>
          <cell r="T956" t="str">
            <v>https://raw.githubusercontent.com/PokeAPI/sprites/master/sprites/pokemon/other/official-artwork/737.png</v>
          </cell>
          <cell r="U956" t="str">
            <v>https://raw.githubusercontent.com/PokeAPI/sprites/master/sprites/pokemon/other/official-artwork/shiny/737.png</v>
          </cell>
        </row>
        <row r="957">
          <cell r="A957">
            <v>738</v>
          </cell>
          <cell r="C957" t="str">
            <v>Vikavolt</v>
          </cell>
          <cell r="D957" t="str">
            <v>Standard</v>
          </cell>
          <cell r="E957" t="str">
            <v>bug</v>
          </cell>
          <cell r="F957" t="str">
            <v>electric</v>
          </cell>
          <cell r="G957">
            <v>77</v>
          </cell>
          <cell r="H957">
            <v>70</v>
          </cell>
          <cell r="I957">
            <v>90</v>
          </cell>
          <cell r="J957">
            <v>145</v>
          </cell>
          <cell r="K957">
            <v>75</v>
          </cell>
          <cell r="L957">
            <v>43</v>
          </cell>
          <cell r="M957">
            <v>500</v>
          </cell>
          <cell r="N957" t="str">
            <v>levitate</v>
          </cell>
          <cell r="Q957">
            <v>1.5</v>
          </cell>
          <cell r="R957">
            <v>45</v>
          </cell>
          <cell r="S957" t="str">
            <v>It zips around, on sharp lookout for an opening. It concentrates electrical energy within its large jaws and uses it to zap its enemies.</v>
          </cell>
          <cell r="T957" t="str">
            <v>https://raw.githubusercontent.com/PokeAPI/sprites/master/sprites/pokemon/other/official-artwork/738.png</v>
          </cell>
          <cell r="U957" t="str">
            <v>https://raw.githubusercontent.com/PokeAPI/sprites/master/sprites/pokemon/other/official-artwork/shiny/738.png</v>
          </cell>
        </row>
        <row r="958">
          <cell r="A958">
            <v>738</v>
          </cell>
          <cell r="C958" t="str">
            <v>Vikavolt Totem</v>
          </cell>
          <cell r="D958" t="str">
            <v>Other</v>
          </cell>
          <cell r="E958" t="str">
            <v>bug</v>
          </cell>
          <cell r="F958" t="str">
            <v>electric</v>
          </cell>
          <cell r="G958">
            <v>77</v>
          </cell>
          <cell r="H958">
            <v>70</v>
          </cell>
          <cell r="I958">
            <v>90</v>
          </cell>
          <cell r="J958">
            <v>145</v>
          </cell>
          <cell r="K958">
            <v>75</v>
          </cell>
          <cell r="L958">
            <v>43</v>
          </cell>
          <cell r="M958">
            <v>500</v>
          </cell>
          <cell r="N958" t="str">
            <v>levitate</v>
          </cell>
          <cell r="Q958">
            <v>2.6</v>
          </cell>
          <cell r="R958">
            <v>147.5</v>
          </cell>
          <cell r="S958" t="str">
            <v>It zips around, on sharp lookout for an opening. It concentrates electrical energy within its large jaws and uses it to zap its enemies.</v>
          </cell>
          <cell r="T958" t="str">
            <v>https://raw.githubusercontent.com/PokeAPI/sprites/master/sprites/pokemon/other/official-artwork/10122.png</v>
          </cell>
          <cell r="U958" t="str">
            <v>https://raw.githubusercontent.com/PokeAPI/sprites/master/sprites/pokemon/other/official-artwork/shiny/10122.png</v>
          </cell>
        </row>
        <row r="959">
          <cell r="A959">
            <v>739</v>
          </cell>
          <cell r="C959" t="str">
            <v>Crabrawler</v>
          </cell>
          <cell r="D959" t="str">
            <v>Standard</v>
          </cell>
          <cell r="E959" t="str">
            <v>fighting</v>
          </cell>
          <cell r="G959">
            <v>47</v>
          </cell>
          <cell r="H959">
            <v>82</v>
          </cell>
          <cell r="I959">
            <v>57</v>
          </cell>
          <cell r="J959">
            <v>42</v>
          </cell>
          <cell r="K959">
            <v>47</v>
          </cell>
          <cell r="L959">
            <v>63</v>
          </cell>
          <cell r="M959">
            <v>338</v>
          </cell>
          <cell r="N959" t="str">
            <v>hyper-cutter</v>
          </cell>
          <cell r="O959" t="str">
            <v>iron-fist</v>
          </cell>
          <cell r="P959" t="str">
            <v>anger-point</v>
          </cell>
          <cell r="Q959">
            <v>0.6</v>
          </cell>
          <cell r="R959">
            <v>7</v>
          </cell>
          <cell r="S959" t="str">
            <v>While guarding its weak points with its pincers, it looks for an opening and unleashes punches. When it loses, it foams at the mouth and faints.</v>
          </cell>
          <cell r="T959" t="str">
            <v>https://raw.githubusercontent.com/PokeAPI/sprites/master/sprites/pokemon/other/official-artwork/739.png</v>
          </cell>
          <cell r="U959" t="str">
            <v>https://raw.githubusercontent.com/PokeAPI/sprites/master/sprites/pokemon/other/official-artwork/shiny/739.png</v>
          </cell>
        </row>
        <row r="960">
          <cell r="A960">
            <v>740</v>
          </cell>
          <cell r="C960" t="str">
            <v>Crabominable</v>
          </cell>
          <cell r="D960" t="str">
            <v>Standard</v>
          </cell>
          <cell r="E960" t="str">
            <v>fighting</v>
          </cell>
          <cell r="F960" t="str">
            <v>ice</v>
          </cell>
          <cell r="G960">
            <v>97</v>
          </cell>
          <cell r="H960">
            <v>132</v>
          </cell>
          <cell r="I960">
            <v>77</v>
          </cell>
          <cell r="J960">
            <v>62</v>
          </cell>
          <cell r="K960">
            <v>67</v>
          </cell>
          <cell r="L960">
            <v>43</v>
          </cell>
          <cell r="M960">
            <v>478</v>
          </cell>
          <cell r="N960" t="str">
            <v>hyper-cutter</v>
          </cell>
          <cell r="O960" t="str">
            <v>iron-fist</v>
          </cell>
          <cell r="P960" t="str">
            <v>anger-point</v>
          </cell>
          <cell r="Q960">
            <v>1.7</v>
          </cell>
          <cell r="R960">
            <v>180</v>
          </cell>
          <cell r="S960" t="str">
            <v>It aimed for the top but got lost and ended up on a snowy mountain. Being forced to endure the cold, this Pokémon evolved and grew fur.</v>
          </cell>
          <cell r="T960" t="str">
            <v>https://raw.githubusercontent.com/PokeAPI/sprites/master/sprites/pokemon/other/official-artwork/740.png</v>
          </cell>
          <cell r="U960" t="str">
            <v>https://raw.githubusercontent.com/PokeAPI/sprites/master/sprites/pokemon/other/official-artwork/shiny/740.png</v>
          </cell>
        </row>
        <row r="961">
          <cell r="A961">
            <v>740</v>
          </cell>
          <cell r="C961" t="str">
            <v>Crabominable Mega</v>
          </cell>
          <cell r="D961" t="str">
            <v>Mega</v>
          </cell>
          <cell r="E961" t="str">
            <v>fighting</v>
          </cell>
          <cell r="F961" t="str">
            <v>ice</v>
          </cell>
          <cell r="G961">
            <v>97</v>
          </cell>
          <cell r="H961">
            <v>157</v>
          </cell>
          <cell r="I961">
            <v>122</v>
          </cell>
          <cell r="J961">
            <v>62</v>
          </cell>
          <cell r="K961">
            <v>107</v>
          </cell>
          <cell r="L961">
            <v>33</v>
          </cell>
          <cell r="M961">
            <v>578</v>
          </cell>
          <cell r="Q961">
            <v>2.6</v>
          </cell>
          <cell r="R961">
            <v>252.8</v>
          </cell>
          <cell r="S961" t="str">
            <v>It aimed for the top but got lost and ended up on a snowy mountain. Being forced to endure the cold, this Pokémon evolved and grew fur.</v>
          </cell>
        </row>
        <row r="962">
          <cell r="A962">
            <v>741</v>
          </cell>
          <cell r="C962" t="str">
            <v>Oricorio Baile</v>
          </cell>
          <cell r="D962" t="str">
            <v>Other</v>
          </cell>
          <cell r="E962" t="str">
            <v>fire</v>
          </cell>
          <cell r="F962" t="str">
            <v>flying</v>
          </cell>
          <cell r="G962">
            <v>75</v>
          </cell>
          <cell r="H962">
            <v>70</v>
          </cell>
          <cell r="I962">
            <v>70</v>
          </cell>
          <cell r="J962">
            <v>98</v>
          </cell>
          <cell r="K962">
            <v>70</v>
          </cell>
          <cell r="L962">
            <v>93</v>
          </cell>
          <cell r="M962">
            <v>476</v>
          </cell>
          <cell r="N962" t="str">
            <v>dancer</v>
          </cell>
          <cell r="Q962">
            <v>0.6</v>
          </cell>
          <cell r="R962">
            <v>3.4</v>
          </cell>
          <cell r="S962" t="str">
            <v>It beats its wings together to create fire. As it moves in the steps of its beautiful dance, it bathes opponents in intense flames.</v>
          </cell>
          <cell r="T962" t="str">
            <v>https://raw.githubusercontent.com/PokeAPI/sprites/master/sprites/pokemon/other/official-artwork/741.png</v>
          </cell>
          <cell r="U962" t="str">
            <v>https://raw.githubusercontent.com/PokeAPI/sprites/master/sprites/pokemon/other/official-artwork/shiny/741.png</v>
          </cell>
        </row>
        <row r="963">
          <cell r="A963">
            <v>741</v>
          </cell>
          <cell r="C963" t="str">
            <v>Oricorio Pau</v>
          </cell>
          <cell r="D963" t="str">
            <v>Other</v>
          </cell>
          <cell r="E963" t="str">
            <v>psychic</v>
          </cell>
          <cell r="F963" t="str">
            <v>flying</v>
          </cell>
          <cell r="G963">
            <v>75</v>
          </cell>
          <cell r="H963">
            <v>70</v>
          </cell>
          <cell r="I963">
            <v>70</v>
          </cell>
          <cell r="J963">
            <v>98</v>
          </cell>
          <cell r="K963">
            <v>70</v>
          </cell>
          <cell r="L963">
            <v>93</v>
          </cell>
          <cell r="M963">
            <v>476</v>
          </cell>
          <cell r="N963" t="str">
            <v>dancer</v>
          </cell>
          <cell r="Q963">
            <v>0.6</v>
          </cell>
          <cell r="R963">
            <v>3.4</v>
          </cell>
          <cell r="S963" t="str">
            <v>It beats its wings together to create fire. As it moves in the steps of its beautiful dance, it bathes opponents in intense flames.</v>
          </cell>
          <cell r="T963" t="str">
            <v>https://raw.githubusercontent.com/PokeAPI/sprites/master/sprites/pokemon/other/official-artwork/10124.png</v>
          </cell>
          <cell r="U963" t="str">
            <v>https://raw.githubusercontent.com/PokeAPI/sprites/master/sprites/pokemon/other/official-artwork/shiny/10124.png</v>
          </cell>
        </row>
        <row r="964">
          <cell r="A964">
            <v>741</v>
          </cell>
          <cell r="C964" t="str">
            <v>Oricorio Pom Pom</v>
          </cell>
          <cell r="D964" t="str">
            <v>Other</v>
          </cell>
          <cell r="E964" t="str">
            <v>electric</v>
          </cell>
          <cell r="F964" t="str">
            <v>flying</v>
          </cell>
          <cell r="G964">
            <v>75</v>
          </cell>
          <cell r="H964">
            <v>70</v>
          </cell>
          <cell r="I964">
            <v>70</v>
          </cell>
          <cell r="J964">
            <v>98</v>
          </cell>
          <cell r="K964">
            <v>70</v>
          </cell>
          <cell r="L964">
            <v>93</v>
          </cell>
          <cell r="M964">
            <v>476</v>
          </cell>
          <cell r="N964" t="str">
            <v>dancer</v>
          </cell>
          <cell r="Q964">
            <v>0.6</v>
          </cell>
          <cell r="R964">
            <v>3.4</v>
          </cell>
          <cell r="S964" t="str">
            <v>It beats its wings together to create fire. As it moves in the steps of its beautiful dance, it bathes opponents in intense flames.</v>
          </cell>
          <cell r="T964" t="str">
            <v>https://raw.githubusercontent.com/PokeAPI/sprites/master/sprites/pokemon/other/official-artwork/10123.png</v>
          </cell>
          <cell r="U964" t="str">
            <v>https://raw.githubusercontent.com/PokeAPI/sprites/master/sprites/pokemon/other/official-artwork/shiny/10123.png</v>
          </cell>
        </row>
        <row r="965">
          <cell r="A965">
            <v>741</v>
          </cell>
          <cell r="C965" t="str">
            <v>Oricorio Sensu</v>
          </cell>
          <cell r="D965" t="str">
            <v>Other</v>
          </cell>
          <cell r="E965" t="str">
            <v>ghost</v>
          </cell>
          <cell r="F965" t="str">
            <v>flying</v>
          </cell>
          <cell r="G965">
            <v>75</v>
          </cell>
          <cell r="H965">
            <v>70</v>
          </cell>
          <cell r="I965">
            <v>70</v>
          </cell>
          <cell r="J965">
            <v>98</v>
          </cell>
          <cell r="K965">
            <v>70</v>
          </cell>
          <cell r="L965">
            <v>93</v>
          </cell>
          <cell r="M965">
            <v>476</v>
          </cell>
          <cell r="N965" t="str">
            <v>dancer</v>
          </cell>
          <cell r="Q965">
            <v>0.6</v>
          </cell>
          <cell r="R965">
            <v>3.4</v>
          </cell>
          <cell r="S965" t="str">
            <v>It beats its wings together to create fire. As it moves in the steps of its beautiful dance, it bathes opponents in intense flames.</v>
          </cell>
          <cell r="T965" t="str">
            <v>https://raw.githubusercontent.com/PokeAPI/sprites/master/sprites/pokemon/other/official-artwork/10125.png</v>
          </cell>
          <cell r="U965" t="str">
            <v>https://raw.githubusercontent.com/PokeAPI/sprites/master/sprites/pokemon/other/official-artwork/shiny/10125.png</v>
          </cell>
        </row>
        <row r="966">
          <cell r="A966">
            <v>742</v>
          </cell>
          <cell r="C966" t="str">
            <v>Cutiefly</v>
          </cell>
          <cell r="D966" t="str">
            <v>Standard</v>
          </cell>
          <cell r="E966" t="str">
            <v>bug</v>
          </cell>
          <cell r="F966" t="str">
            <v>fairy</v>
          </cell>
          <cell r="G966">
            <v>40</v>
          </cell>
          <cell r="H966">
            <v>45</v>
          </cell>
          <cell r="I966">
            <v>40</v>
          </cell>
          <cell r="J966">
            <v>55</v>
          </cell>
          <cell r="K966">
            <v>40</v>
          </cell>
          <cell r="L966">
            <v>84</v>
          </cell>
          <cell r="M966">
            <v>304</v>
          </cell>
          <cell r="N966" t="str">
            <v>honey-gather</v>
          </cell>
          <cell r="O966" t="str">
            <v>shield-dust</v>
          </cell>
          <cell r="P966" t="str">
            <v>sweet-veil</v>
          </cell>
          <cell r="Q966">
            <v>0.1</v>
          </cell>
          <cell r="R966">
            <v>0.2</v>
          </cell>
          <cell r="S966" t="str">
            <v>It feeds on the nectar and pollen of flowers. Because it’s able to sense auras, it can identify which flowers are about to bloom.</v>
          </cell>
          <cell r="T966" t="str">
            <v>https://raw.githubusercontent.com/PokeAPI/sprites/master/sprites/pokemon/other/official-artwork/742.png</v>
          </cell>
          <cell r="U966" t="str">
            <v>https://raw.githubusercontent.com/PokeAPI/sprites/master/sprites/pokemon/other/official-artwork/shiny/742.png</v>
          </cell>
        </row>
        <row r="967">
          <cell r="A967">
            <v>743</v>
          </cell>
          <cell r="C967" t="str">
            <v>Ribombee</v>
          </cell>
          <cell r="D967" t="str">
            <v>Standard</v>
          </cell>
          <cell r="E967" t="str">
            <v>bug</v>
          </cell>
          <cell r="F967" t="str">
            <v>fairy</v>
          </cell>
          <cell r="G967">
            <v>60</v>
          </cell>
          <cell r="H967">
            <v>55</v>
          </cell>
          <cell r="I967">
            <v>60</v>
          </cell>
          <cell r="J967">
            <v>95</v>
          </cell>
          <cell r="K967">
            <v>70</v>
          </cell>
          <cell r="L967">
            <v>124</v>
          </cell>
          <cell r="M967">
            <v>464</v>
          </cell>
          <cell r="N967" t="str">
            <v>honey-gather</v>
          </cell>
          <cell r="O967" t="str">
            <v>shield-dust</v>
          </cell>
          <cell r="P967" t="str">
            <v>sweet-veil</v>
          </cell>
          <cell r="Q967">
            <v>0.2</v>
          </cell>
          <cell r="R967">
            <v>0.5</v>
          </cell>
          <cell r="S967" t="str">
            <v>It rolls up pollen into puffs. It makes many different varieties, some used as food and others used in battle.</v>
          </cell>
          <cell r="T967" t="str">
            <v>https://raw.githubusercontent.com/PokeAPI/sprites/master/sprites/pokemon/other/official-artwork/743.png</v>
          </cell>
          <cell r="U967" t="str">
            <v>https://raw.githubusercontent.com/PokeAPI/sprites/master/sprites/pokemon/other/official-artwork/shiny/743.png</v>
          </cell>
        </row>
        <row r="968">
          <cell r="A968">
            <v>743</v>
          </cell>
          <cell r="C968" t="str">
            <v>Ribombee Totem</v>
          </cell>
          <cell r="D968" t="str">
            <v>Other</v>
          </cell>
          <cell r="E968" t="str">
            <v>bug</v>
          </cell>
          <cell r="F968" t="str">
            <v>fairy</v>
          </cell>
          <cell r="G968">
            <v>60</v>
          </cell>
          <cell r="H968">
            <v>55</v>
          </cell>
          <cell r="I968">
            <v>60</v>
          </cell>
          <cell r="J968">
            <v>95</v>
          </cell>
          <cell r="K968">
            <v>70</v>
          </cell>
          <cell r="L968">
            <v>124</v>
          </cell>
          <cell r="M968">
            <v>464</v>
          </cell>
          <cell r="N968" t="str">
            <v>honey-gather</v>
          </cell>
          <cell r="O968" t="str">
            <v>shield-dust</v>
          </cell>
          <cell r="P968" t="str">
            <v>sweet-veil</v>
          </cell>
          <cell r="Q968">
            <v>0.4</v>
          </cell>
          <cell r="R968">
            <v>2</v>
          </cell>
          <cell r="S968" t="str">
            <v>It rolls up pollen into puffs. It makes many different varieties, some used as food and others used in battle.</v>
          </cell>
          <cell r="T968" t="str">
            <v>https://raw.githubusercontent.com/PokeAPI/sprites/master/sprites/pokemon/other/official-artwork/10150.png</v>
          </cell>
          <cell r="U968" t="str">
            <v>https://raw.githubusercontent.com/PokeAPI/sprites/master/sprites/pokemon/other/official-artwork/shiny/10150.png</v>
          </cell>
        </row>
        <row r="969">
          <cell r="A969">
            <v>744</v>
          </cell>
          <cell r="C969" t="str">
            <v>Rockruff</v>
          </cell>
          <cell r="D969" t="str">
            <v>Standard</v>
          </cell>
          <cell r="E969" t="str">
            <v>rock</v>
          </cell>
          <cell r="G969">
            <v>45</v>
          </cell>
          <cell r="H969">
            <v>65</v>
          </cell>
          <cell r="I969">
            <v>40</v>
          </cell>
          <cell r="J969">
            <v>30</v>
          </cell>
          <cell r="K969">
            <v>40</v>
          </cell>
          <cell r="L969">
            <v>60</v>
          </cell>
          <cell r="M969">
            <v>280</v>
          </cell>
          <cell r="N969" t="str">
            <v>keen-eye</v>
          </cell>
          <cell r="O969" t="str">
            <v>vital-spirit</v>
          </cell>
          <cell r="P969" t="str">
            <v>steadfast</v>
          </cell>
          <cell r="Q969">
            <v>0.5</v>
          </cell>
          <cell r="R969">
            <v>9.1999999999999993</v>
          </cell>
          <cell r="S969" t="str">
            <v>It’s considered to be a good Pokémon for beginners because of its friendliness, but its disposition grows rougher as it grows up.</v>
          </cell>
          <cell r="T969" t="str">
            <v>https://raw.githubusercontent.com/PokeAPI/sprites/master/sprites/pokemon/other/official-artwork/744.png</v>
          </cell>
          <cell r="U969" t="str">
            <v>https://raw.githubusercontent.com/PokeAPI/sprites/master/sprites/pokemon/other/official-artwork/shiny/744.png</v>
          </cell>
        </row>
        <row r="970">
          <cell r="A970">
            <v>744</v>
          </cell>
          <cell r="C970" t="str">
            <v>Rockruff Own Tempo</v>
          </cell>
          <cell r="D970" t="str">
            <v>Other</v>
          </cell>
          <cell r="E970" t="str">
            <v>rock</v>
          </cell>
          <cell r="G970">
            <v>45</v>
          </cell>
          <cell r="H970">
            <v>65</v>
          </cell>
          <cell r="I970">
            <v>40</v>
          </cell>
          <cell r="J970">
            <v>30</v>
          </cell>
          <cell r="K970">
            <v>40</v>
          </cell>
          <cell r="L970">
            <v>60</v>
          </cell>
          <cell r="M970">
            <v>280</v>
          </cell>
          <cell r="N970" t="str">
            <v>own-tempo</v>
          </cell>
          <cell r="Q970">
            <v>0.5</v>
          </cell>
          <cell r="R970">
            <v>9.1999999999999993</v>
          </cell>
          <cell r="S970" t="str">
            <v>It’s considered to be a good Pokémon for beginners because of its friendliness, but its disposition grows rougher as it grows up.</v>
          </cell>
          <cell r="T970" t="str">
            <v>https://raw.githubusercontent.com/PokeAPI/sprites/master/sprites/pokemon/other/official-artwork/10151.png</v>
          </cell>
          <cell r="U970" t="str">
            <v>https://raw.githubusercontent.com/PokeAPI/sprites/master/sprites/pokemon/other/official-artwork/shiny/10151.png</v>
          </cell>
        </row>
        <row r="971">
          <cell r="A971">
            <v>745</v>
          </cell>
          <cell r="C971" t="str">
            <v>Lycanroc Dusk</v>
          </cell>
          <cell r="D971" t="str">
            <v>Other</v>
          </cell>
          <cell r="E971" t="str">
            <v>rock</v>
          </cell>
          <cell r="G971">
            <v>75</v>
          </cell>
          <cell r="H971">
            <v>117</v>
          </cell>
          <cell r="I971">
            <v>65</v>
          </cell>
          <cell r="J971">
            <v>55</v>
          </cell>
          <cell r="K971">
            <v>65</v>
          </cell>
          <cell r="L971">
            <v>110</v>
          </cell>
          <cell r="M971">
            <v>487</v>
          </cell>
          <cell r="N971" t="str">
            <v>tough-claws</v>
          </cell>
          <cell r="Q971">
            <v>0.8</v>
          </cell>
          <cell r="R971">
            <v>25</v>
          </cell>
          <cell r="S971" t="str">
            <v>Its quick movements confuse its enemies. Well equipped with claws and fangs, it also uses the sharp rocks in its mane as weapons.</v>
          </cell>
          <cell r="T971" t="str">
            <v>https://raw.githubusercontent.com/PokeAPI/sprites/master/sprites/pokemon/other/official-artwork/10152.png</v>
          </cell>
          <cell r="U971" t="str">
            <v>https://raw.githubusercontent.com/PokeAPI/sprites/master/sprites/pokemon/other/official-artwork/shiny/10152.png</v>
          </cell>
        </row>
        <row r="972">
          <cell r="A972">
            <v>745</v>
          </cell>
          <cell r="C972" t="str">
            <v>Lycanroc Midday</v>
          </cell>
          <cell r="D972" t="str">
            <v>Other</v>
          </cell>
          <cell r="E972" t="str">
            <v>rock</v>
          </cell>
          <cell r="G972">
            <v>75</v>
          </cell>
          <cell r="H972">
            <v>115</v>
          </cell>
          <cell r="I972">
            <v>65</v>
          </cell>
          <cell r="J972">
            <v>55</v>
          </cell>
          <cell r="K972">
            <v>65</v>
          </cell>
          <cell r="L972">
            <v>112</v>
          </cell>
          <cell r="M972">
            <v>487</v>
          </cell>
          <cell r="N972" t="str">
            <v>keen-eye</v>
          </cell>
          <cell r="O972" t="str">
            <v>sand-rush</v>
          </cell>
          <cell r="P972" t="str">
            <v>steadfast</v>
          </cell>
          <cell r="Q972">
            <v>0.8</v>
          </cell>
          <cell r="R972">
            <v>25</v>
          </cell>
          <cell r="S972" t="str">
            <v>Its quick movements confuse its enemies. Well equipped with claws and fangs, it also uses the sharp rocks in its mane as weapons.</v>
          </cell>
          <cell r="T972" t="str">
            <v>https://raw.githubusercontent.com/PokeAPI/sprites/master/sprites/pokemon/other/official-artwork/745.png</v>
          </cell>
          <cell r="U972" t="str">
            <v>https://raw.githubusercontent.com/PokeAPI/sprites/master/sprites/pokemon/other/official-artwork/shiny/745.png</v>
          </cell>
        </row>
        <row r="973">
          <cell r="A973">
            <v>745</v>
          </cell>
          <cell r="C973" t="str">
            <v>Lycanroc Midnight</v>
          </cell>
          <cell r="D973" t="str">
            <v>Other</v>
          </cell>
          <cell r="E973" t="str">
            <v>rock</v>
          </cell>
          <cell r="G973">
            <v>85</v>
          </cell>
          <cell r="H973">
            <v>115</v>
          </cell>
          <cell r="I973">
            <v>75</v>
          </cell>
          <cell r="J973">
            <v>55</v>
          </cell>
          <cell r="K973">
            <v>75</v>
          </cell>
          <cell r="L973">
            <v>82</v>
          </cell>
          <cell r="M973">
            <v>487</v>
          </cell>
          <cell r="N973" t="str">
            <v>keen-eye</v>
          </cell>
          <cell r="O973" t="str">
            <v>vital-spirit</v>
          </cell>
          <cell r="P973" t="str">
            <v>no-guard</v>
          </cell>
          <cell r="Q973">
            <v>1.1000000000000001</v>
          </cell>
          <cell r="R973">
            <v>25</v>
          </cell>
          <cell r="S973" t="str">
            <v>Its quick movements confuse its enemies. Well equipped with claws and fangs, it also uses the sharp rocks in its mane as weapons.</v>
          </cell>
          <cell r="T973" t="str">
            <v>https://raw.githubusercontent.com/PokeAPI/sprites/master/sprites/pokemon/other/official-artwork/10126.png</v>
          </cell>
          <cell r="U973" t="str">
            <v>https://raw.githubusercontent.com/PokeAPI/sprites/master/sprites/pokemon/other/official-artwork/shiny/10126.png</v>
          </cell>
        </row>
        <row r="974">
          <cell r="A974">
            <v>746</v>
          </cell>
          <cell r="C974" t="str">
            <v>Wishiwashi School</v>
          </cell>
          <cell r="D974" t="str">
            <v>Other</v>
          </cell>
          <cell r="E974" t="str">
            <v>water</v>
          </cell>
          <cell r="G974">
            <v>45</v>
          </cell>
          <cell r="H974">
            <v>140</v>
          </cell>
          <cell r="I974">
            <v>130</v>
          </cell>
          <cell r="J974">
            <v>140</v>
          </cell>
          <cell r="K974">
            <v>135</v>
          </cell>
          <cell r="L974">
            <v>30</v>
          </cell>
          <cell r="M974">
            <v>620</v>
          </cell>
          <cell r="N974" t="str">
            <v>schooling</v>
          </cell>
          <cell r="Q974">
            <v>8.1999999999999993</v>
          </cell>
          <cell r="R974">
            <v>78.599999999999994</v>
          </cell>
          <cell r="S974" t="str">
            <v>When it’s in trouble, its eyes moisten and begin to shine. The shining light attracts its comrades, and they stand together against their enemies.</v>
          </cell>
          <cell r="T974" t="str">
            <v>https://raw.githubusercontent.com/PokeAPI/sprites/master/sprites/pokemon/other/official-artwork/10127.png</v>
          </cell>
          <cell r="U974" t="str">
            <v>https://raw.githubusercontent.com/PokeAPI/sprites/master/sprites/pokemon/other/official-artwork/shiny/10127.png</v>
          </cell>
        </row>
        <row r="975">
          <cell r="A975">
            <v>746</v>
          </cell>
          <cell r="C975" t="str">
            <v>Wishiwashi Solo</v>
          </cell>
          <cell r="D975" t="str">
            <v>Other</v>
          </cell>
          <cell r="E975" t="str">
            <v>water</v>
          </cell>
          <cell r="G975">
            <v>45</v>
          </cell>
          <cell r="H975">
            <v>20</v>
          </cell>
          <cell r="I975">
            <v>20</v>
          </cell>
          <cell r="J975">
            <v>25</v>
          </cell>
          <cell r="K975">
            <v>25</v>
          </cell>
          <cell r="L975">
            <v>40</v>
          </cell>
          <cell r="M975">
            <v>175</v>
          </cell>
          <cell r="N975" t="str">
            <v>schooling</v>
          </cell>
          <cell r="Q975">
            <v>0.2</v>
          </cell>
          <cell r="R975">
            <v>0.3</v>
          </cell>
          <cell r="S975" t="str">
            <v>When it’s in trouble, its eyes moisten and begin to shine. The shining light attracts its comrades, and they stand together against their enemies.</v>
          </cell>
          <cell r="T975" t="str">
            <v>https://raw.githubusercontent.com/PokeAPI/sprites/master/sprites/pokemon/other/official-artwork/746.png</v>
          </cell>
          <cell r="U975" t="str">
            <v>https://raw.githubusercontent.com/PokeAPI/sprites/master/sprites/pokemon/other/official-artwork/shiny/746.png</v>
          </cell>
        </row>
        <row r="976">
          <cell r="A976">
            <v>747</v>
          </cell>
          <cell r="C976" t="str">
            <v>Mareanie</v>
          </cell>
          <cell r="D976" t="str">
            <v>Standard</v>
          </cell>
          <cell r="E976" t="str">
            <v>poison</v>
          </cell>
          <cell r="F976" t="str">
            <v>water</v>
          </cell>
          <cell r="G976">
            <v>50</v>
          </cell>
          <cell r="H976">
            <v>53</v>
          </cell>
          <cell r="I976">
            <v>62</v>
          </cell>
          <cell r="J976">
            <v>43</v>
          </cell>
          <cell r="K976">
            <v>52</v>
          </cell>
          <cell r="L976">
            <v>45</v>
          </cell>
          <cell r="M976">
            <v>305</v>
          </cell>
          <cell r="N976" t="str">
            <v>merciless</v>
          </cell>
          <cell r="O976" t="str">
            <v>limber</v>
          </cell>
          <cell r="P976" t="str">
            <v>regenerator</v>
          </cell>
          <cell r="Q976">
            <v>0.4</v>
          </cell>
          <cell r="R976">
            <v>8</v>
          </cell>
          <cell r="S976" t="str">
            <v>It plunges the poison spike on its head into its prey. When the prey has weakened, Mareanie deals the finishing blow with its 10 tentacles.</v>
          </cell>
          <cell r="T976" t="str">
            <v>https://raw.githubusercontent.com/PokeAPI/sprites/master/sprites/pokemon/other/official-artwork/747.png</v>
          </cell>
          <cell r="U976" t="str">
            <v>https://raw.githubusercontent.com/PokeAPI/sprites/master/sprites/pokemon/other/official-artwork/shiny/747.png</v>
          </cell>
        </row>
        <row r="977">
          <cell r="A977">
            <v>748</v>
          </cell>
          <cell r="C977" t="str">
            <v>Toxapex</v>
          </cell>
          <cell r="D977" t="str">
            <v>Standard</v>
          </cell>
          <cell r="E977" t="str">
            <v>poison</v>
          </cell>
          <cell r="F977" t="str">
            <v>water</v>
          </cell>
          <cell r="G977">
            <v>50</v>
          </cell>
          <cell r="H977">
            <v>63</v>
          </cell>
          <cell r="I977">
            <v>152</v>
          </cell>
          <cell r="J977">
            <v>53</v>
          </cell>
          <cell r="K977">
            <v>142</v>
          </cell>
          <cell r="L977">
            <v>35</v>
          </cell>
          <cell r="M977">
            <v>495</v>
          </cell>
          <cell r="N977" t="str">
            <v>merciless</v>
          </cell>
          <cell r="O977" t="str">
            <v>limber</v>
          </cell>
          <cell r="P977" t="str">
            <v>regenerator</v>
          </cell>
          <cell r="Q977">
            <v>0.7</v>
          </cell>
          <cell r="R977">
            <v>14.5</v>
          </cell>
          <cell r="S977" t="str">
            <v>Toxapex crawls along the ocean floor on its 12 legs. It leaves a trail of Corsola bits scattered in its wake.</v>
          </cell>
          <cell r="T977" t="str">
            <v>https://raw.githubusercontent.com/PokeAPI/sprites/master/sprites/pokemon/other/official-artwork/748.png</v>
          </cell>
          <cell r="U977" t="str">
            <v>https://raw.githubusercontent.com/PokeAPI/sprites/master/sprites/pokemon/other/official-artwork/shiny/748.png</v>
          </cell>
        </row>
        <row r="978">
          <cell r="A978">
            <v>749</v>
          </cell>
          <cell r="C978" t="str">
            <v>Mudbray</v>
          </cell>
          <cell r="D978" t="str">
            <v>Standard</v>
          </cell>
          <cell r="E978" t="str">
            <v>ground</v>
          </cell>
          <cell r="G978">
            <v>70</v>
          </cell>
          <cell r="H978">
            <v>100</v>
          </cell>
          <cell r="I978">
            <v>70</v>
          </cell>
          <cell r="J978">
            <v>45</v>
          </cell>
          <cell r="K978">
            <v>55</v>
          </cell>
          <cell r="L978">
            <v>45</v>
          </cell>
          <cell r="M978">
            <v>385</v>
          </cell>
          <cell r="N978" t="str">
            <v>own-tempo</v>
          </cell>
          <cell r="O978" t="str">
            <v>stamina</v>
          </cell>
          <cell r="P978" t="str">
            <v>inner-focus</v>
          </cell>
          <cell r="Q978">
            <v>1</v>
          </cell>
          <cell r="R978">
            <v>110</v>
          </cell>
          <cell r="S978" t="str">
            <v>The mud stuck to Mudbray’s hooves enhances its grip and its powerful running gait.</v>
          </cell>
          <cell r="T978" t="str">
            <v>https://raw.githubusercontent.com/PokeAPI/sprites/master/sprites/pokemon/other/official-artwork/749.png</v>
          </cell>
          <cell r="U978" t="str">
            <v>https://raw.githubusercontent.com/PokeAPI/sprites/master/sprites/pokemon/other/official-artwork/shiny/749.png</v>
          </cell>
        </row>
        <row r="979">
          <cell r="A979">
            <v>750</v>
          </cell>
          <cell r="C979" t="str">
            <v>Mudsdale</v>
          </cell>
          <cell r="D979" t="str">
            <v>Standard</v>
          </cell>
          <cell r="E979" t="str">
            <v>ground</v>
          </cell>
          <cell r="G979">
            <v>100</v>
          </cell>
          <cell r="H979">
            <v>125</v>
          </cell>
          <cell r="I979">
            <v>100</v>
          </cell>
          <cell r="J979">
            <v>55</v>
          </cell>
          <cell r="K979">
            <v>85</v>
          </cell>
          <cell r="L979">
            <v>35</v>
          </cell>
          <cell r="M979">
            <v>500</v>
          </cell>
          <cell r="N979" t="str">
            <v>own-tempo</v>
          </cell>
          <cell r="O979" t="str">
            <v>stamina</v>
          </cell>
          <cell r="P979" t="str">
            <v>inner-focus</v>
          </cell>
          <cell r="Q979">
            <v>2.5</v>
          </cell>
          <cell r="R979">
            <v>920</v>
          </cell>
          <cell r="S979" t="str">
            <v>It spits a mud that provides resistance to both wind and rain, so the walls of old houses were often coated with it.</v>
          </cell>
          <cell r="T979" t="str">
            <v>https://raw.githubusercontent.com/PokeAPI/sprites/master/sprites/pokemon/other/official-artwork/750.png</v>
          </cell>
          <cell r="U979" t="str">
            <v>https://raw.githubusercontent.com/PokeAPI/sprites/master/sprites/pokemon/other/official-artwork/shiny/750.png</v>
          </cell>
        </row>
        <row r="980">
          <cell r="A980">
            <v>751</v>
          </cell>
          <cell r="C980" t="str">
            <v>Dewpider</v>
          </cell>
          <cell r="D980" t="str">
            <v>Standard</v>
          </cell>
          <cell r="E980" t="str">
            <v>water</v>
          </cell>
          <cell r="F980" t="str">
            <v>bug</v>
          </cell>
          <cell r="G980">
            <v>38</v>
          </cell>
          <cell r="H980">
            <v>40</v>
          </cell>
          <cell r="I980">
            <v>52</v>
          </cell>
          <cell r="J980">
            <v>40</v>
          </cell>
          <cell r="K980">
            <v>72</v>
          </cell>
          <cell r="L980">
            <v>27</v>
          </cell>
          <cell r="M980">
            <v>269</v>
          </cell>
          <cell r="N980" t="str">
            <v>water-bubble</v>
          </cell>
          <cell r="P980" t="str">
            <v>water-absorb</v>
          </cell>
          <cell r="Q980">
            <v>0.3</v>
          </cell>
          <cell r="R980">
            <v>4</v>
          </cell>
          <cell r="S980" t="str">
            <v>It crawls onto the land in search of food. Its water bubble allows it to breathe and protects its soft head.</v>
          </cell>
          <cell r="T980" t="str">
            <v>https://raw.githubusercontent.com/PokeAPI/sprites/master/sprites/pokemon/other/official-artwork/751.png</v>
          </cell>
          <cell r="U980" t="str">
            <v>https://raw.githubusercontent.com/PokeAPI/sprites/master/sprites/pokemon/other/official-artwork/shiny/751.png</v>
          </cell>
        </row>
        <row r="981">
          <cell r="A981">
            <v>752</v>
          </cell>
          <cell r="C981" t="str">
            <v>Araquanid</v>
          </cell>
          <cell r="D981" t="str">
            <v>Standard</v>
          </cell>
          <cell r="E981" t="str">
            <v>water</v>
          </cell>
          <cell r="F981" t="str">
            <v>bug</v>
          </cell>
          <cell r="G981">
            <v>68</v>
          </cell>
          <cell r="H981">
            <v>70</v>
          </cell>
          <cell r="I981">
            <v>92</v>
          </cell>
          <cell r="J981">
            <v>50</v>
          </cell>
          <cell r="K981">
            <v>132</v>
          </cell>
          <cell r="L981">
            <v>42</v>
          </cell>
          <cell r="M981">
            <v>454</v>
          </cell>
          <cell r="N981" t="str">
            <v>water-bubble</v>
          </cell>
          <cell r="P981" t="str">
            <v>water-absorb</v>
          </cell>
          <cell r="Q981">
            <v>1.8</v>
          </cell>
          <cell r="R981">
            <v>82</v>
          </cell>
          <cell r="S981" t="str">
            <v>It delivers headbutts with the water bubble on its head. Small Pokémon get sucked into the bubble, where they drown.</v>
          </cell>
          <cell r="T981" t="str">
            <v>https://raw.githubusercontent.com/PokeAPI/sprites/master/sprites/pokemon/other/official-artwork/752.png</v>
          </cell>
          <cell r="U981" t="str">
            <v>https://raw.githubusercontent.com/PokeAPI/sprites/master/sprites/pokemon/other/official-artwork/shiny/752.png</v>
          </cell>
        </row>
        <row r="982">
          <cell r="A982">
            <v>752</v>
          </cell>
          <cell r="C982" t="str">
            <v>Araquanid Totem</v>
          </cell>
          <cell r="D982" t="str">
            <v>Other</v>
          </cell>
          <cell r="E982" t="str">
            <v>water</v>
          </cell>
          <cell r="F982" t="str">
            <v>bug</v>
          </cell>
          <cell r="G982">
            <v>68</v>
          </cell>
          <cell r="H982">
            <v>70</v>
          </cell>
          <cell r="I982">
            <v>92</v>
          </cell>
          <cell r="J982">
            <v>50</v>
          </cell>
          <cell r="K982">
            <v>132</v>
          </cell>
          <cell r="L982">
            <v>42</v>
          </cell>
          <cell r="M982">
            <v>454</v>
          </cell>
          <cell r="N982" t="str">
            <v>water-bubble</v>
          </cell>
          <cell r="P982" t="str">
            <v>water-absorb</v>
          </cell>
          <cell r="Q982">
            <v>3.1</v>
          </cell>
          <cell r="R982">
            <v>217.5</v>
          </cell>
          <cell r="S982" t="str">
            <v>It delivers headbutts with the water bubble on its head. Small Pokémon get sucked into the bubble, where they drown.</v>
          </cell>
          <cell r="T982" t="str">
            <v>https://raw.githubusercontent.com/PokeAPI/sprites/master/sprites/pokemon/other/official-artwork/10153.png</v>
          </cell>
          <cell r="U982" t="str">
            <v>https://raw.githubusercontent.com/PokeAPI/sprites/master/sprites/pokemon/other/official-artwork/shiny/10153.png</v>
          </cell>
        </row>
        <row r="983">
          <cell r="A983">
            <v>753</v>
          </cell>
          <cell r="C983" t="str">
            <v>Fomantis</v>
          </cell>
          <cell r="D983" t="str">
            <v>Standard</v>
          </cell>
          <cell r="E983" t="str">
            <v>grass</v>
          </cell>
          <cell r="G983">
            <v>40</v>
          </cell>
          <cell r="H983">
            <v>55</v>
          </cell>
          <cell r="I983">
            <v>35</v>
          </cell>
          <cell r="J983">
            <v>50</v>
          </cell>
          <cell r="K983">
            <v>35</v>
          </cell>
          <cell r="L983">
            <v>35</v>
          </cell>
          <cell r="M983">
            <v>250</v>
          </cell>
          <cell r="N983" t="str">
            <v>leaf-guard</v>
          </cell>
          <cell r="P983" t="str">
            <v>contrary</v>
          </cell>
          <cell r="Q983">
            <v>0.3</v>
          </cell>
          <cell r="R983">
            <v>1.5</v>
          </cell>
          <cell r="S983" t="str">
            <v>During the day, it sleeps and soaks up light. When night falls, it walks around looking for a safer place to sleep.</v>
          </cell>
          <cell r="T983" t="str">
            <v>https://raw.githubusercontent.com/PokeAPI/sprites/master/sprites/pokemon/other/official-artwork/753.png</v>
          </cell>
          <cell r="U983" t="str">
            <v>https://raw.githubusercontent.com/PokeAPI/sprites/master/sprites/pokemon/other/official-artwork/shiny/753.png</v>
          </cell>
        </row>
        <row r="984">
          <cell r="A984">
            <v>754</v>
          </cell>
          <cell r="C984" t="str">
            <v>Lurantis</v>
          </cell>
          <cell r="D984" t="str">
            <v>Standard</v>
          </cell>
          <cell r="E984" t="str">
            <v>grass</v>
          </cell>
          <cell r="G984">
            <v>70</v>
          </cell>
          <cell r="H984">
            <v>105</v>
          </cell>
          <cell r="I984">
            <v>90</v>
          </cell>
          <cell r="J984">
            <v>80</v>
          </cell>
          <cell r="K984">
            <v>90</v>
          </cell>
          <cell r="L984">
            <v>45</v>
          </cell>
          <cell r="M984">
            <v>480</v>
          </cell>
          <cell r="N984" t="str">
            <v>leaf-guard</v>
          </cell>
          <cell r="P984" t="str">
            <v>contrary</v>
          </cell>
          <cell r="Q984">
            <v>0.9</v>
          </cell>
          <cell r="R984">
            <v>18.5</v>
          </cell>
          <cell r="S984" t="str">
            <v>It requires a lot of effort to maintain Lurantis’s vivid coloring, but some collectors enjoy this work and treat it as their hobby.</v>
          </cell>
          <cell r="T984" t="str">
            <v>https://raw.githubusercontent.com/PokeAPI/sprites/master/sprites/pokemon/other/official-artwork/754.png</v>
          </cell>
          <cell r="U984" t="str">
            <v>https://raw.githubusercontent.com/PokeAPI/sprites/master/sprites/pokemon/other/official-artwork/shiny/754.png</v>
          </cell>
        </row>
        <row r="985">
          <cell r="A985">
            <v>754</v>
          </cell>
          <cell r="C985" t="str">
            <v>Lurantis Totem</v>
          </cell>
          <cell r="D985" t="str">
            <v>Other</v>
          </cell>
          <cell r="E985" t="str">
            <v>grass</v>
          </cell>
          <cell r="G985">
            <v>70</v>
          </cell>
          <cell r="H985">
            <v>105</v>
          </cell>
          <cell r="I985">
            <v>90</v>
          </cell>
          <cell r="J985">
            <v>80</v>
          </cell>
          <cell r="K985">
            <v>90</v>
          </cell>
          <cell r="L985">
            <v>45</v>
          </cell>
          <cell r="M985">
            <v>480</v>
          </cell>
          <cell r="N985" t="str">
            <v>leaf-guard</v>
          </cell>
          <cell r="P985" t="str">
            <v>contrary</v>
          </cell>
          <cell r="Q985">
            <v>1.5</v>
          </cell>
          <cell r="R985">
            <v>58</v>
          </cell>
          <cell r="S985" t="str">
            <v>It requires a lot of effort to maintain Lurantis’s vivid coloring, but some collectors enjoy this work and treat it as their hobby.</v>
          </cell>
          <cell r="T985" t="str">
            <v>https://raw.githubusercontent.com/PokeAPI/sprites/master/sprites/pokemon/other/official-artwork/10128.png</v>
          </cell>
          <cell r="U985" t="str">
            <v>https://raw.githubusercontent.com/PokeAPI/sprites/master/sprites/pokemon/other/official-artwork/shiny/10128.png</v>
          </cell>
        </row>
        <row r="986">
          <cell r="A986">
            <v>755</v>
          </cell>
          <cell r="C986" t="str">
            <v>Morelull</v>
          </cell>
          <cell r="D986" t="str">
            <v>Standard</v>
          </cell>
          <cell r="E986" t="str">
            <v>grass</v>
          </cell>
          <cell r="F986" t="str">
            <v>fairy</v>
          </cell>
          <cell r="G986">
            <v>40</v>
          </cell>
          <cell r="H986">
            <v>35</v>
          </cell>
          <cell r="I986">
            <v>55</v>
          </cell>
          <cell r="J986">
            <v>65</v>
          </cell>
          <cell r="K986">
            <v>75</v>
          </cell>
          <cell r="L986">
            <v>15</v>
          </cell>
          <cell r="M986">
            <v>285</v>
          </cell>
          <cell r="N986" t="str">
            <v>illuminate</v>
          </cell>
          <cell r="O986" t="str">
            <v>effect-spore</v>
          </cell>
          <cell r="P986" t="str">
            <v>rain-dish</v>
          </cell>
          <cell r="Q986">
            <v>0.2</v>
          </cell>
          <cell r="R986">
            <v>1.5</v>
          </cell>
          <cell r="S986" t="str">
            <v>It scatters spores that flicker and glow. Anyone seeing these lights falls into a deep slumber.</v>
          </cell>
          <cell r="T986" t="str">
            <v>https://raw.githubusercontent.com/PokeAPI/sprites/master/sprites/pokemon/other/official-artwork/755.png</v>
          </cell>
          <cell r="U986" t="str">
            <v>https://raw.githubusercontent.com/PokeAPI/sprites/master/sprites/pokemon/other/official-artwork/shiny/755.png</v>
          </cell>
        </row>
        <row r="987">
          <cell r="A987">
            <v>756</v>
          </cell>
          <cell r="C987" t="str">
            <v>Shiinotic</v>
          </cell>
          <cell r="D987" t="str">
            <v>Standard</v>
          </cell>
          <cell r="E987" t="str">
            <v>grass</v>
          </cell>
          <cell r="F987" t="str">
            <v>fairy</v>
          </cell>
          <cell r="G987">
            <v>60</v>
          </cell>
          <cell r="H987">
            <v>45</v>
          </cell>
          <cell r="I987">
            <v>80</v>
          </cell>
          <cell r="J987">
            <v>90</v>
          </cell>
          <cell r="K987">
            <v>100</v>
          </cell>
          <cell r="L987">
            <v>30</v>
          </cell>
          <cell r="M987">
            <v>405</v>
          </cell>
          <cell r="N987" t="str">
            <v>illuminate</v>
          </cell>
          <cell r="O987" t="str">
            <v>effect-spore</v>
          </cell>
          <cell r="P987" t="str">
            <v>rain-dish</v>
          </cell>
          <cell r="Q987">
            <v>1</v>
          </cell>
          <cell r="R987">
            <v>11.5</v>
          </cell>
          <cell r="S987" t="str">
            <v>Forests where Shiinotic live are treacherous to enter at night. People confused by its strange lights can never find their way home again.</v>
          </cell>
          <cell r="T987" t="str">
            <v>https://raw.githubusercontent.com/PokeAPI/sprites/master/sprites/pokemon/other/official-artwork/756.png</v>
          </cell>
          <cell r="U987" t="str">
            <v>https://raw.githubusercontent.com/PokeAPI/sprites/master/sprites/pokemon/other/official-artwork/shiny/756.png</v>
          </cell>
        </row>
        <row r="988">
          <cell r="A988">
            <v>757</v>
          </cell>
          <cell r="C988" t="str">
            <v>Salandit</v>
          </cell>
          <cell r="D988" t="str">
            <v>Standard</v>
          </cell>
          <cell r="E988" t="str">
            <v>poison</v>
          </cell>
          <cell r="F988" t="str">
            <v>fire</v>
          </cell>
          <cell r="G988">
            <v>48</v>
          </cell>
          <cell r="H988">
            <v>44</v>
          </cell>
          <cell r="I988">
            <v>40</v>
          </cell>
          <cell r="J988">
            <v>71</v>
          </cell>
          <cell r="K988">
            <v>40</v>
          </cell>
          <cell r="L988">
            <v>77</v>
          </cell>
          <cell r="M988">
            <v>320</v>
          </cell>
          <cell r="N988" t="str">
            <v>corrosion</v>
          </cell>
          <cell r="P988" t="str">
            <v>oblivious</v>
          </cell>
          <cell r="Q988">
            <v>0.6</v>
          </cell>
          <cell r="R988">
            <v>4.8</v>
          </cell>
          <cell r="S988" t="str">
            <v>It burns its bodily fluids to create a poisonous gas. When its enemies become disoriented from inhaling the gas, it attacks them.</v>
          </cell>
          <cell r="T988" t="str">
            <v>https://raw.githubusercontent.com/PokeAPI/sprites/master/sprites/pokemon/other/official-artwork/757.png</v>
          </cell>
          <cell r="U988" t="str">
            <v>https://raw.githubusercontent.com/PokeAPI/sprites/master/sprites/pokemon/other/official-artwork/shiny/757.png</v>
          </cell>
        </row>
        <row r="989">
          <cell r="A989">
            <v>758</v>
          </cell>
          <cell r="C989" t="str">
            <v>Salazzle</v>
          </cell>
          <cell r="D989" t="str">
            <v>Standard</v>
          </cell>
          <cell r="E989" t="str">
            <v>poison</v>
          </cell>
          <cell r="F989" t="str">
            <v>fire</v>
          </cell>
          <cell r="G989">
            <v>68</v>
          </cell>
          <cell r="H989">
            <v>64</v>
          </cell>
          <cell r="I989">
            <v>60</v>
          </cell>
          <cell r="J989">
            <v>111</v>
          </cell>
          <cell r="K989">
            <v>60</v>
          </cell>
          <cell r="L989">
            <v>117</v>
          </cell>
          <cell r="M989">
            <v>480</v>
          </cell>
          <cell r="N989" t="str">
            <v>corrosion</v>
          </cell>
          <cell r="P989" t="str">
            <v>oblivious</v>
          </cell>
          <cell r="Q989">
            <v>1.2</v>
          </cell>
          <cell r="R989">
            <v>22.2</v>
          </cell>
          <cell r="S989" t="str">
            <v>For some reason, only females have been found. It creates a reverse harem of male Salandit that it lives with.</v>
          </cell>
          <cell r="T989" t="str">
            <v>https://raw.githubusercontent.com/PokeAPI/sprites/master/sprites/pokemon/other/official-artwork/758.png</v>
          </cell>
          <cell r="U989" t="str">
            <v>https://raw.githubusercontent.com/PokeAPI/sprites/master/sprites/pokemon/other/official-artwork/shiny/758.png</v>
          </cell>
        </row>
        <row r="990">
          <cell r="A990">
            <v>758</v>
          </cell>
          <cell r="C990" t="str">
            <v>Salazzle Totem</v>
          </cell>
          <cell r="D990" t="str">
            <v>Other</v>
          </cell>
          <cell r="E990" t="str">
            <v>poison</v>
          </cell>
          <cell r="F990" t="str">
            <v>fire</v>
          </cell>
          <cell r="G990">
            <v>68</v>
          </cell>
          <cell r="H990">
            <v>64</v>
          </cell>
          <cell r="I990">
            <v>60</v>
          </cell>
          <cell r="J990">
            <v>111</v>
          </cell>
          <cell r="K990">
            <v>60</v>
          </cell>
          <cell r="L990">
            <v>117</v>
          </cell>
          <cell r="M990">
            <v>480</v>
          </cell>
          <cell r="N990" t="str">
            <v>corrosion</v>
          </cell>
          <cell r="P990" t="str">
            <v>oblivious</v>
          </cell>
          <cell r="Q990">
            <v>2.1</v>
          </cell>
          <cell r="R990">
            <v>81</v>
          </cell>
          <cell r="S990" t="str">
            <v>For some reason, only females have been found. It creates a reverse harem of male Salandit that it lives with.</v>
          </cell>
          <cell r="T990" t="str">
            <v>https://raw.githubusercontent.com/PokeAPI/sprites/master/sprites/pokemon/other/official-artwork/10129.png</v>
          </cell>
          <cell r="U990" t="str">
            <v>https://raw.githubusercontent.com/PokeAPI/sprites/master/sprites/pokemon/other/official-artwork/shiny/10129.png</v>
          </cell>
        </row>
        <row r="991">
          <cell r="A991">
            <v>759</v>
          </cell>
          <cell r="C991" t="str">
            <v>Stufful</v>
          </cell>
          <cell r="D991" t="str">
            <v>Standard</v>
          </cell>
          <cell r="E991" t="str">
            <v>normal</v>
          </cell>
          <cell r="F991" t="str">
            <v>fighting</v>
          </cell>
          <cell r="G991">
            <v>70</v>
          </cell>
          <cell r="H991">
            <v>75</v>
          </cell>
          <cell r="I991">
            <v>50</v>
          </cell>
          <cell r="J991">
            <v>45</v>
          </cell>
          <cell r="K991">
            <v>50</v>
          </cell>
          <cell r="L991">
            <v>50</v>
          </cell>
          <cell r="M991">
            <v>340</v>
          </cell>
          <cell r="N991" t="str">
            <v>fluffy</v>
          </cell>
          <cell r="O991" t="str">
            <v>klutz</v>
          </cell>
          <cell r="P991" t="str">
            <v>cute-charm</v>
          </cell>
          <cell r="Q991">
            <v>0.5</v>
          </cell>
          <cell r="R991">
            <v>6.8</v>
          </cell>
          <cell r="S991" t="str">
            <v>Despite its adorable appearance, when it gets angry and flails about, its arms and legs could knock a pro wrestler sprawling.</v>
          </cell>
          <cell r="T991" t="str">
            <v>https://raw.githubusercontent.com/PokeAPI/sprites/master/sprites/pokemon/other/official-artwork/759.png</v>
          </cell>
          <cell r="U991" t="str">
            <v>https://raw.githubusercontent.com/PokeAPI/sprites/master/sprites/pokemon/other/official-artwork/shiny/759.png</v>
          </cell>
        </row>
        <row r="992">
          <cell r="A992">
            <v>760</v>
          </cell>
          <cell r="C992" t="str">
            <v>Bewear</v>
          </cell>
          <cell r="D992" t="str">
            <v>Standard</v>
          </cell>
          <cell r="E992" t="str">
            <v>normal</v>
          </cell>
          <cell r="F992" t="str">
            <v>fighting</v>
          </cell>
          <cell r="G992">
            <v>120</v>
          </cell>
          <cell r="H992">
            <v>125</v>
          </cell>
          <cell r="I992">
            <v>80</v>
          </cell>
          <cell r="J992">
            <v>55</v>
          </cell>
          <cell r="K992">
            <v>60</v>
          </cell>
          <cell r="L992">
            <v>60</v>
          </cell>
          <cell r="M992">
            <v>500</v>
          </cell>
          <cell r="N992" t="str">
            <v>fluffy</v>
          </cell>
          <cell r="O992" t="str">
            <v>klutz</v>
          </cell>
          <cell r="P992" t="str">
            <v>unnerve</v>
          </cell>
          <cell r="Q992">
            <v>2.1</v>
          </cell>
          <cell r="R992">
            <v>135</v>
          </cell>
          <cell r="S992" t="str">
            <v>This immensely dangerous Pokémon possesses overwhelming physical strength. Its habitat is generally off-limits.</v>
          </cell>
          <cell r="T992" t="str">
            <v>https://raw.githubusercontent.com/PokeAPI/sprites/master/sprites/pokemon/other/official-artwork/760.png</v>
          </cell>
          <cell r="U992" t="str">
            <v>https://raw.githubusercontent.com/PokeAPI/sprites/master/sprites/pokemon/other/official-artwork/shiny/760.png</v>
          </cell>
        </row>
        <row r="993">
          <cell r="A993">
            <v>761</v>
          </cell>
          <cell r="C993" t="str">
            <v>Bounsweet</v>
          </cell>
          <cell r="D993" t="str">
            <v>Standard</v>
          </cell>
          <cell r="E993" t="str">
            <v>grass</v>
          </cell>
          <cell r="G993">
            <v>42</v>
          </cell>
          <cell r="H993">
            <v>30</v>
          </cell>
          <cell r="I993">
            <v>38</v>
          </cell>
          <cell r="J993">
            <v>30</v>
          </cell>
          <cell r="K993">
            <v>38</v>
          </cell>
          <cell r="L993">
            <v>32</v>
          </cell>
          <cell r="M993">
            <v>210</v>
          </cell>
          <cell r="N993" t="str">
            <v>leaf-guard</v>
          </cell>
          <cell r="O993" t="str">
            <v>oblivious</v>
          </cell>
          <cell r="P993" t="str">
            <v>sweet-veil</v>
          </cell>
          <cell r="Q993">
            <v>0.3</v>
          </cell>
          <cell r="R993">
            <v>3.2</v>
          </cell>
          <cell r="S993" t="str">
            <v>A delectable aroma pours from its body. They are often swallowed whole by Toucannon lured by that wafting deliciousness.</v>
          </cell>
          <cell r="T993" t="str">
            <v>https://raw.githubusercontent.com/PokeAPI/sprites/master/sprites/pokemon/other/official-artwork/761.png</v>
          </cell>
          <cell r="U993" t="str">
            <v>https://raw.githubusercontent.com/PokeAPI/sprites/master/sprites/pokemon/other/official-artwork/shiny/761.png</v>
          </cell>
        </row>
        <row r="994">
          <cell r="A994">
            <v>762</v>
          </cell>
          <cell r="C994" t="str">
            <v>Steenee</v>
          </cell>
          <cell r="D994" t="str">
            <v>Standard</v>
          </cell>
          <cell r="E994" t="str">
            <v>grass</v>
          </cell>
          <cell r="G994">
            <v>52</v>
          </cell>
          <cell r="H994">
            <v>40</v>
          </cell>
          <cell r="I994">
            <v>48</v>
          </cell>
          <cell r="J994">
            <v>40</v>
          </cell>
          <cell r="K994">
            <v>48</v>
          </cell>
          <cell r="L994">
            <v>62</v>
          </cell>
          <cell r="M994">
            <v>290</v>
          </cell>
          <cell r="N994" t="str">
            <v>leaf-guard</v>
          </cell>
          <cell r="O994" t="str">
            <v>oblivious</v>
          </cell>
          <cell r="P994" t="str">
            <v>sweet-veil</v>
          </cell>
          <cell r="Q994">
            <v>0.7</v>
          </cell>
          <cell r="R994">
            <v>8.1999999999999993</v>
          </cell>
          <cell r="S994" t="str">
            <v>The sepals on its head developed to protect its body. These are quite hard, so even if pecked by bird Pokémon, this Pokémon is totally fine.</v>
          </cell>
          <cell r="T994" t="str">
            <v>https://raw.githubusercontent.com/PokeAPI/sprites/master/sprites/pokemon/other/official-artwork/762.png</v>
          </cell>
          <cell r="U994" t="str">
            <v>https://raw.githubusercontent.com/PokeAPI/sprites/master/sprites/pokemon/other/official-artwork/shiny/762.png</v>
          </cell>
        </row>
        <row r="995">
          <cell r="A995">
            <v>763</v>
          </cell>
          <cell r="C995" t="str">
            <v>Tsareena</v>
          </cell>
          <cell r="D995" t="str">
            <v>Standard</v>
          </cell>
          <cell r="E995" t="str">
            <v>grass</v>
          </cell>
          <cell r="G995">
            <v>72</v>
          </cell>
          <cell r="H995">
            <v>120</v>
          </cell>
          <cell r="I995">
            <v>98</v>
          </cell>
          <cell r="J995">
            <v>50</v>
          </cell>
          <cell r="K995">
            <v>98</v>
          </cell>
          <cell r="L995">
            <v>72</v>
          </cell>
          <cell r="M995">
            <v>510</v>
          </cell>
          <cell r="N995" t="str">
            <v>leaf-guard</v>
          </cell>
          <cell r="O995" t="str">
            <v>queenly-majesty</v>
          </cell>
          <cell r="P995" t="str">
            <v>sweet-veil</v>
          </cell>
          <cell r="Q995">
            <v>1.2</v>
          </cell>
          <cell r="R995">
            <v>21.4</v>
          </cell>
          <cell r="S995" t="str">
            <v>Its long, striking legs aren’t just for show but to be used to kick with skill. In victory, it shows off by kicking the defeated, laughing boisterously.</v>
          </cell>
          <cell r="T995" t="str">
            <v>https://raw.githubusercontent.com/PokeAPI/sprites/master/sprites/pokemon/other/official-artwork/763.png</v>
          </cell>
          <cell r="U995" t="str">
            <v>https://raw.githubusercontent.com/PokeAPI/sprites/master/sprites/pokemon/other/official-artwork/shiny/763.png</v>
          </cell>
        </row>
        <row r="996">
          <cell r="A996">
            <v>764</v>
          </cell>
          <cell r="C996" t="str">
            <v>Comfey</v>
          </cell>
          <cell r="D996" t="str">
            <v>Standard</v>
          </cell>
          <cell r="E996" t="str">
            <v>fairy</v>
          </cell>
          <cell r="G996">
            <v>51</v>
          </cell>
          <cell r="H996">
            <v>52</v>
          </cell>
          <cell r="I996">
            <v>90</v>
          </cell>
          <cell r="J996">
            <v>82</v>
          </cell>
          <cell r="K996">
            <v>110</v>
          </cell>
          <cell r="L996">
            <v>100</v>
          </cell>
          <cell r="M996">
            <v>485</v>
          </cell>
          <cell r="N996" t="str">
            <v>flower-veil</v>
          </cell>
          <cell r="O996" t="str">
            <v>triage</v>
          </cell>
          <cell r="P996" t="str">
            <v>natural-cure</v>
          </cell>
          <cell r="Q996">
            <v>0.1</v>
          </cell>
          <cell r="R996">
            <v>0.3</v>
          </cell>
          <cell r="S996" t="str">
            <v>It attaches flowers to its highly nutritious vine. This revitalizes the flowers, and they give off an aromatic scent.</v>
          </cell>
          <cell r="T996" t="str">
            <v>https://raw.githubusercontent.com/PokeAPI/sprites/master/sprites/pokemon/other/official-artwork/764.png</v>
          </cell>
          <cell r="U996" t="str">
            <v>https://raw.githubusercontent.com/PokeAPI/sprites/master/sprites/pokemon/other/official-artwork/shiny/764.png</v>
          </cell>
        </row>
        <row r="997">
          <cell r="A997">
            <v>765</v>
          </cell>
          <cell r="C997" t="str">
            <v>Oranguru</v>
          </cell>
          <cell r="D997" t="str">
            <v>Standard</v>
          </cell>
          <cell r="E997" t="str">
            <v>normal</v>
          </cell>
          <cell r="F997" t="str">
            <v>psychic</v>
          </cell>
          <cell r="G997">
            <v>90</v>
          </cell>
          <cell r="H997">
            <v>60</v>
          </cell>
          <cell r="I997">
            <v>80</v>
          </cell>
          <cell r="J997">
            <v>90</v>
          </cell>
          <cell r="K997">
            <v>110</v>
          </cell>
          <cell r="L997">
            <v>60</v>
          </cell>
          <cell r="M997">
            <v>490</v>
          </cell>
          <cell r="N997" t="str">
            <v>inner-focus</v>
          </cell>
          <cell r="O997" t="str">
            <v>telepathy</v>
          </cell>
          <cell r="P997" t="str">
            <v>symbiosis</v>
          </cell>
          <cell r="Q997">
            <v>1.5</v>
          </cell>
          <cell r="R997">
            <v>76</v>
          </cell>
          <cell r="S997" t="str">
            <v>Known for its extreme intelligence, this Pokémon will look down on inexperienced Trainers, so it’s best suited to veteran Trainers.</v>
          </cell>
          <cell r="T997" t="str">
            <v>https://raw.githubusercontent.com/PokeAPI/sprites/master/sprites/pokemon/other/official-artwork/765.png</v>
          </cell>
          <cell r="U997" t="str">
            <v>https://raw.githubusercontent.com/PokeAPI/sprites/master/sprites/pokemon/other/official-artwork/shiny/765.png</v>
          </cell>
        </row>
        <row r="998">
          <cell r="A998">
            <v>766</v>
          </cell>
          <cell r="C998" t="str">
            <v>Passimian</v>
          </cell>
          <cell r="D998" t="str">
            <v>Standard</v>
          </cell>
          <cell r="E998" t="str">
            <v>fighting</v>
          </cell>
          <cell r="G998">
            <v>100</v>
          </cell>
          <cell r="H998">
            <v>120</v>
          </cell>
          <cell r="I998">
            <v>90</v>
          </cell>
          <cell r="J998">
            <v>40</v>
          </cell>
          <cell r="K998">
            <v>60</v>
          </cell>
          <cell r="L998">
            <v>80</v>
          </cell>
          <cell r="M998">
            <v>490</v>
          </cell>
          <cell r="N998" t="str">
            <v>receiver</v>
          </cell>
          <cell r="P998" t="str">
            <v>defiant</v>
          </cell>
          <cell r="Q998">
            <v>2</v>
          </cell>
          <cell r="R998">
            <v>82.8</v>
          </cell>
          <cell r="S998" t="str">
            <v>They form groups of roughly 20 individuals. Their mutual bond is remarkable—they will never let down a comrade.</v>
          </cell>
          <cell r="T998" t="str">
            <v>https://raw.githubusercontent.com/PokeAPI/sprites/master/sprites/pokemon/other/official-artwork/766.png</v>
          </cell>
          <cell r="U998" t="str">
            <v>https://raw.githubusercontent.com/PokeAPI/sprites/master/sprites/pokemon/other/official-artwork/shiny/766.png</v>
          </cell>
        </row>
        <row r="999">
          <cell r="A999">
            <v>767</v>
          </cell>
          <cell r="C999" t="str">
            <v>Wimpod</v>
          </cell>
          <cell r="D999" t="str">
            <v>Standard</v>
          </cell>
          <cell r="E999" t="str">
            <v>bug</v>
          </cell>
          <cell r="F999" t="str">
            <v>water</v>
          </cell>
          <cell r="G999">
            <v>25</v>
          </cell>
          <cell r="H999">
            <v>35</v>
          </cell>
          <cell r="I999">
            <v>40</v>
          </cell>
          <cell r="J999">
            <v>20</v>
          </cell>
          <cell r="K999">
            <v>30</v>
          </cell>
          <cell r="L999">
            <v>80</v>
          </cell>
          <cell r="M999">
            <v>230</v>
          </cell>
          <cell r="N999" t="str">
            <v>wimp-out</v>
          </cell>
          <cell r="Q999">
            <v>0.5</v>
          </cell>
          <cell r="R999">
            <v>12</v>
          </cell>
          <cell r="S999" t="str">
            <v>This Pokémon is a coward. As it desperately dashes off, the flailing of its many legs leaves a sparkling clean path in its wake.</v>
          </cell>
          <cell r="T999" t="str">
            <v>https://raw.githubusercontent.com/PokeAPI/sprites/master/sprites/pokemon/other/official-artwork/767.png</v>
          </cell>
          <cell r="U999" t="str">
            <v>https://raw.githubusercontent.com/PokeAPI/sprites/master/sprites/pokemon/other/official-artwork/shiny/767.png</v>
          </cell>
        </row>
        <row r="1000">
          <cell r="A1000">
            <v>768</v>
          </cell>
          <cell r="C1000" t="str">
            <v>Golisopod</v>
          </cell>
          <cell r="D1000" t="str">
            <v>Standard</v>
          </cell>
          <cell r="E1000" t="str">
            <v>bug</v>
          </cell>
          <cell r="F1000" t="str">
            <v>water</v>
          </cell>
          <cell r="G1000">
            <v>75</v>
          </cell>
          <cell r="H1000">
            <v>125</v>
          </cell>
          <cell r="I1000">
            <v>140</v>
          </cell>
          <cell r="J1000">
            <v>60</v>
          </cell>
          <cell r="K1000">
            <v>90</v>
          </cell>
          <cell r="L1000">
            <v>40</v>
          </cell>
          <cell r="M1000">
            <v>530</v>
          </cell>
          <cell r="N1000" t="str">
            <v>emergency-exit</v>
          </cell>
          <cell r="Q1000">
            <v>2</v>
          </cell>
          <cell r="R1000">
            <v>108</v>
          </cell>
          <cell r="S1000" t="str">
            <v>With a flashing slash of its giant sharp claws, it cleaves seawater—or even air—right in two.</v>
          </cell>
          <cell r="T1000" t="str">
            <v>https://raw.githubusercontent.com/PokeAPI/sprites/master/sprites/pokemon/other/official-artwork/768.png</v>
          </cell>
          <cell r="U1000" t="str">
            <v>https://raw.githubusercontent.com/PokeAPI/sprites/master/sprites/pokemon/other/official-artwork/shiny/768.png</v>
          </cell>
        </row>
        <row r="1001">
          <cell r="A1001">
            <v>768</v>
          </cell>
          <cell r="C1001" t="str">
            <v>Golisopod Mega</v>
          </cell>
          <cell r="D1001" t="str">
            <v>Mega</v>
          </cell>
          <cell r="E1001" t="str">
            <v>bug</v>
          </cell>
          <cell r="F1001" t="str">
            <v>steel</v>
          </cell>
          <cell r="G1001">
            <v>75</v>
          </cell>
          <cell r="H1001">
            <v>150</v>
          </cell>
          <cell r="I1001">
            <v>175</v>
          </cell>
          <cell r="J1001">
            <v>70</v>
          </cell>
          <cell r="K1001">
            <v>120</v>
          </cell>
          <cell r="L1001">
            <v>40</v>
          </cell>
          <cell r="M1001">
            <v>630</v>
          </cell>
          <cell r="Q1001">
            <v>2.2999999999999998</v>
          </cell>
          <cell r="R1001">
            <v>148</v>
          </cell>
          <cell r="S1001" t="str">
            <v>With a flashing slash of its giant sharp claws, it cleaves seawater—or even air—right in two.</v>
          </cell>
        </row>
        <row r="1002">
          <cell r="A1002">
            <v>769</v>
          </cell>
          <cell r="C1002" t="str">
            <v>Sandygast</v>
          </cell>
          <cell r="D1002" t="str">
            <v>Standard</v>
          </cell>
          <cell r="E1002" t="str">
            <v>ghost</v>
          </cell>
          <cell r="F1002" t="str">
            <v>ground</v>
          </cell>
          <cell r="G1002">
            <v>55</v>
          </cell>
          <cell r="H1002">
            <v>55</v>
          </cell>
          <cell r="I1002">
            <v>80</v>
          </cell>
          <cell r="J1002">
            <v>70</v>
          </cell>
          <cell r="K1002">
            <v>45</v>
          </cell>
          <cell r="L1002">
            <v>15</v>
          </cell>
          <cell r="M1002">
            <v>320</v>
          </cell>
          <cell r="N1002" t="str">
            <v>water-compaction</v>
          </cell>
          <cell r="P1002" t="str">
            <v>sand-veil</v>
          </cell>
          <cell r="Q1002">
            <v>0.5</v>
          </cell>
          <cell r="R1002">
            <v>70</v>
          </cell>
          <cell r="S1002" t="str">
            <v>Born from a sand mound playfully built by a child, this Pokémon embodies the grudges of the departed.</v>
          </cell>
          <cell r="T1002" t="str">
            <v>https://raw.githubusercontent.com/PokeAPI/sprites/master/sprites/pokemon/other/official-artwork/769.png</v>
          </cell>
          <cell r="U1002" t="str">
            <v>https://raw.githubusercontent.com/PokeAPI/sprites/master/sprites/pokemon/other/official-artwork/shiny/769.png</v>
          </cell>
        </row>
        <row r="1003">
          <cell r="A1003">
            <v>770</v>
          </cell>
          <cell r="C1003" t="str">
            <v>Palossand</v>
          </cell>
          <cell r="D1003" t="str">
            <v>Standard</v>
          </cell>
          <cell r="E1003" t="str">
            <v>ghost</v>
          </cell>
          <cell r="F1003" t="str">
            <v>ground</v>
          </cell>
          <cell r="G1003">
            <v>85</v>
          </cell>
          <cell r="H1003">
            <v>75</v>
          </cell>
          <cell r="I1003">
            <v>110</v>
          </cell>
          <cell r="J1003">
            <v>100</v>
          </cell>
          <cell r="K1003">
            <v>75</v>
          </cell>
          <cell r="L1003">
            <v>35</v>
          </cell>
          <cell r="M1003">
            <v>480</v>
          </cell>
          <cell r="N1003" t="str">
            <v>water-compaction</v>
          </cell>
          <cell r="P1003" t="str">
            <v>sand-veil</v>
          </cell>
          <cell r="Q1003">
            <v>1.3</v>
          </cell>
          <cell r="R1003">
            <v>250</v>
          </cell>
          <cell r="S1003" t="str">
            <v>Possessed people controlled by this Pokémon transformed its sand mound into a castle. As it evolved, its power to curse grew ever stronger.</v>
          </cell>
          <cell r="T1003" t="str">
            <v>https://raw.githubusercontent.com/PokeAPI/sprites/master/sprites/pokemon/other/official-artwork/770.png</v>
          </cell>
          <cell r="U1003" t="str">
            <v>https://raw.githubusercontent.com/PokeAPI/sprites/master/sprites/pokemon/other/official-artwork/shiny/770.png</v>
          </cell>
        </row>
        <row r="1004">
          <cell r="A1004">
            <v>771</v>
          </cell>
          <cell r="C1004" t="str">
            <v>Pyukumuku</v>
          </cell>
          <cell r="D1004" t="str">
            <v>Standard</v>
          </cell>
          <cell r="E1004" t="str">
            <v>water</v>
          </cell>
          <cell r="G1004">
            <v>55</v>
          </cell>
          <cell r="H1004">
            <v>60</v>
          </cell>
          <cell r="I1004">
            <v>130</v>
          </cell>
          <cell r="J1004">
            <v>30</v>
          </cell>
          <cell r="K1004">
            <v>130</v>
          </cell>
          <cell r="L1004">
            <v>5</v>
          </cell>
          <cell r="M1004">
            <v>410</v>
          </cell>
          <cell r="N1004" t="str">
            <v>innards-out</v>
          </cell>
          <cell r="P1004" t="str">
            <v>unaware</v>
          </cell>
          <cell r="Q1004">
            <v>0.3</v>
          </cell>
          <cell r="R1004">
            <v>1.2</v>
          </cell>
          <cell r="S1004" t="str">
            <v>It’s covered in a slime that keeps its skin moist, allowing it to stay on land for days without drying up.</v>
          </cell>
          <cell r="T1004" t="str">
            <v>https://raw.githubusercontent.com/PokeAPI/sprites/master/sprites/pokemon/other/official-artwork/771.png</v>
          </cell>
          <cell r="U1004" t="str">
            <v>https://raw.githubusercontent.com/PokeAPI/sprites/master/sprites/pokemon/other/official-artwork/shiny/771.png</v>
          </cell>
        </row>
        <row r="1005">
          <cell r="A1005">
            <v>772</v>
          </cell>
          <cell r="C1005" t="str">
            <v>Type Null</v>
          </cell>
          <cell r="D1005" t="str">
            <v>Other</v>
          </cell>
          <cell r="E1005" t="str">
            <v>normal</v>
          </cell>
          <cell r="G1005">
            <v>95</v>
          </cell>
          <cell r="H1005">
            <v>95</v>
          </cell>
          <cell r="I1005">
            <v>95</v>
          </cell>
          <cell r="J1005">
            <v>95</v>
          </cell>
          <cell r="K1005">
            <v>95</v>
          </cell>
          <cell r="L1005">
            <v>59</v>
          </cell>
          <cell r="M1005">
            <v>534</v>
          </cell>
          <cell r="N1005" t="str">
            <v>battle-armor</v>
          </cell>
          <cell r="Q1005">
            <v>1.9</v>
          </cell>
          <cell r="R1005">
            <v>120.5</v>
          </cell>
          <cell r="S1005" t="str">
            <v>The heavy control mask it wears suppresses its intrinsic capabilities. This Pokémon has some hidden special power.</v>
          </cell>
          <cell r="T1005" t="str">
            <v>https://raw.githubusercontent.com/PokeAPI/sprites/master/sprites/pokemon/other/official-artwork/772.png</v>
          </cell>
          <cell r="U1005" t="str">
            <v>https://raw.githubusercontent.com/PokeAPI/sprites/master/sprites/pokemon/other/official-artwork/shiny/772.png</v>
          </cell>
        </row>
        <row r="1006">
          <cell r="A1006">
            <v>773</v>
          </cell>
          <cell r="C1006" t="str">
            <v>Silvally</v>
          </cell>
          <cell r="D1006" t="str">
            <v>Standard</v>
          </cell>
          <cell r="E1006" t="str">
            <v>normal</v>
          </cell>
          <cell r="G1006">
            <v>95</v>
          </cell>
          <cell r="H1006">
            <v>95</v>
          </cell>
          <cell r="I1006">
            <v>95</v>
          </cell>
          <cell r="J1006">
            <v>95</v>
          </cell>
          <cell r="K1006">
            <v>95</v>
          </cell>
          <cell r="L1006">
            <v>95</v>
          </cell>
          <cell r="M1006">
            <v>570</v>
          </cell>
          <cell r="N1006" t="str">
            <v>rks-system</v>
          </cell>
          <cell r="Q1006">
            <v>2.2999999999999998</v>
          </cell>
          <cell r="R1006">
            <v>100.5</v>
          </cell>
          <cell r="S1006" t="str">
            <v>Its trust in its partner is what awakens it. This Pokémon is capable of changing its type, a flexibility that is well displayed in battle.</v>
          </cell>
          <cell r="T1006" t="str">
            <v>https://raw.githubusercontent.com/PokeAPI/sprites/master/sprites/pokemon/other/official-artwork/773.png</v>
          </cell>
          <cell r="U1006" t="str">
            <v>https://raw.githubusercontent.com/PokeAPI/sprites/master/sprites/pokemon/other/official-artwork/shiny/773.png</v>
          </cell>
        </row>
        <row r="1007">
          <cell r="A1007">
            <v>774</v>
          </cell>
          <cell r="C1007" t="str">
            <v>Minior Blue</v>
          </cell>
          <cell r="D1007" t="str">
            <v>Other</v>
          </cell>
          <cell r="E1007" t="str">
            <v>rock</v>
          </cell>
          <cell r="F1007" t="str">
            <v>flying</v>
          </cell>
          <cell r="G1007">
            <v>60</v>
          </cell>
          <cell r="H1007">
            <v>100</v>
          </cell>
          <cell r="I1007">
            <v>60</v>
          </cell>
          <cell r="J1007">
            <v>100</v>
          </cell>
          <cell r="K1007">
            <v>60</v>
          </cell>
          <cell r="L1007">
            <v>120</v>
          </cell>
          <cell r="M1007">
            <v>500</v>
          </cell>
          <cell r="N1007" t="str">
            <v>shields-down</v>
          </cell>
          <cell r="Q1007">
            <v>0.3</v>
          </cell>
          <cell r="R1007">
            <v>0.3</v>
          </cell>
          <cell r="S1007" t="str">
            <v>Originally making its home in the ozone layer, it hurtles to the ground when the shell enclosing its body grows too heavy.</v>
          </cell>
          <cell r="T1007" t="str">
            <v>https://raw.githubusercontent.com/PokeAPI/sprites/master/sprites/pokemon/other/official-artwork/10140.png</v>
          </cell>
          <cell r="U1007" t="str">
            <v>https://raw.githubusercontent.com/PokeAPI/sprites/master/sprites/pokemon/other/official-artwork/shiny/10140.png</v>
          </cell>
        </row>
        <row r="1008">
          <cell r="A1008">
            <v>774</v>
          </cell>
          <cell r="C1008" t="str">
            <v>Minior Blue Meteor</v>
          </cell>
          <cell r="D1008" t="str">
            <v>Other</v>
          </cell>
          <cell r="E1008" t="str">
            <v>rock</v>
          </cell>
          <cell r="F1008" t="str">
            <v>flying</v>
          </cell>
          <cell r="G1008">
            <v>60</v>
          </cell>
          <cell r="H1008">
            <v>60</v>
          </cell>
          <cell r="I1008">
            <v>100</v>
          </cell>
          <cell r="J1008">
            <v>60</v>
          </cell>
          <cell r="K1008">
            <v>100</v>
          </cell>
          <cell r="L1008">
            <v>60</v>
          </cell>
          <cell r="M1008">
            <v>440</v>
          </cell>
          <cell r="N1008" t="str">
            <v>shields-down</v>
          </cell>
          <cell r="Q1008">
            <v>0.3</v>
          </cell>
          <cell r="R1008">
            <v>40</v>
          </cell>
          <cell r="S1008" t="str">
            <v>Originally making its home in the ozone layer, it hurtles to the ground when the shell enclosing its body grows too heavy.</v>
          </cell>
          <cell r="T1008" t="str">
            <v>https://raw.githubusercontent.com/PokeAPI/sprites/master/sprites/pokemon/other/official-artwork/10133.png</v>
          </cell>
          <cell r="U1008" t="str">
            <v>https://raw.githubusercontent.com/PokeAPI/sprites/master/sprites/pokemon/other/official-artwork/shiny/10133.png</v>
          </cell>
        </row>
        <row r="1009">
          <cell r="A1009">
            <v>774</v>
          </cell>
          <cell r="C1009" t="str">
            <v>Minior Green</v>
          </cell>
          <cell r="D1009" t="str">
            <v>Other</v>
          </cell>
          <cell r="E1009" t="str">
            <v>rock</v>
          </cell>
          <cell r="F1009" t="str">
            <v>flying</v>
          </cell>
          <cell r="G1009">
            <v>60</v>
          </cell>
          <cell r="H1009">
            <v>100</v>
          </cell>
          <cell r="I1009">
            <v>60</v>
          </cell>
          <cell r="J1009">
            <v>100</v>
          </cell>
          <cell r="K1009">
            <v>60</v>
          </cell>
          <cell r="L1009">
            <v>120</v>
          </cell>
          <cell r="M1009">
            <v>500</v>
          </cell>
          <cell r="N1009" t="str">
            <v>shields-down</v>
          </cell>
          <cell r="Q1009">
            <v>0.3</v>
          </cell>
          <cell r="R1009">
            <v>0.3</v>
          </cell>
          <cell r="S1009" t="str">
            <v>Originally making its home in the ozone layer, it hurtles to the ground when the shell enclosing its body grows too heavy.</v>
          </cell>
          <cell r="T1009" t="str">
            <v>https://raw.githubusercontent.com/PokeAPI/sprites/master/sprites/pokemon/other/official-artwork/10139.png</v>
          </cell>
          <cell r="U1009" t="str">
            <v>https://raw.githubusercontent.com/PokeAPI/sprites/master/sprites/pokemon/other/official-artwork/shiny/10139.png</v>
          </cell>
        </row>
        <row r="1010">
          <cell r="A1010">
            <v>774</v>
          </cell>
          <cell r="C1010" t="str">
            <v>Minior Green Meteor</v>
          </cell>
          <cell r="D1010" t="str">
            <v>Other</v>
          </cell>
          <cell r="E1010" t="str">
            <v>rock</v>
          </cell>
          <cell r="F1010" t="str">
            <v>flying</v>
          </cell>
          <cell r="G1010">
            <v>60</v>
          </cell>
          <cell r="H1010">
            <v>60</v>
          </cell>
          <cell r="I1010">
            <v>100</v>
          </cell>
          <cell r="J1010">
            <v>60</v>
          </cell>
          <cell r="K1010">
            <v>100</v>
          </cell>
          <cell r="L1010">
            <v>60</v>
          </cell>
          <cell r="M1010">
            <v>440</v>
          </cell>
          <cell r="N1010" t="str">
            <v>shields-down</v>
          </cell>
          <cell r="Q1010">
            <v>0.3</v>
          </cell>
          <cell r="R1010">
            <v>40</v>
          </cell>
          <cell r="S1010" t="str">
            <v>Originally making its home in the ozone layer, it hurtles to the ground when the shell enclosing its body grows too heavy.</v>
          </cell>
          <cell r="T1010" t="str">
            <v>https://raw.githubusercontent.com/PokeAPI/sprites/master/sprites/pokemon/other/official-artwork/10132.png</v>
          </cell>
          <cell r="U1010" t="str">
            <v>https://raw.githubusercontent.com/PokeAPI/sprites/master/sprites/pokemon/other/official-artwork/shiny/10132.png</v>
          </cell>
        </row>
        <row r="1011">
          <cell r="A1011">
            <v>774</v>
          </cell>
          <cell r="C1011" t="str">
            <v>Minior Indigo</v>
          </cell>
          <cell r="D1011" t="str">
            <v>Other</v>
          </cell>
          <cell r="E1011" t="str">
            <v>rock</v>
          </cell>
          <cell r="F1011" t="str">
            <v>flying</v>
          </cell>
          <cell r="G1011">
            <v>60</v>
          </cell>
          <cell r="H1011">
            <v>100</v>
          </cell>
          <cell r="I1011">
            <v>60</v>
          </cell>
          <cell r="J1011">
            <v>100</v>
          </cell>
          <cell r="K1011">
            <v>60</v>
          </cell>
          <cell r="L1011">
            <v>120</v>
          </cell>
          <cell r="M1011">
            <v>500</v>
          </cell>
          <cell r="N1011" t="str">
            <v>shields-down</v>
          </cell>
          <cell r="Q1011">
            <v>0.3</v>
          </cell>
          <cell r="R1011">
            <v>0.3</v>
          </cell>
          <cell r="S1011" t="str">
            <v>Originally making its home in the ozone layer, it hurtles to the ground when the shell enclosing its body grows too heavy.</v>
          </cell>
          <cell r="T1011" t="str">
            <v>https://raw.githubusercontent.com/PokeAPI/sprites/master/sprites/pokemon/other/official-artwork/10141.png</v>
          </cell>
          <cell r="U1011" t="str">
            <v>https://raw.githubusercontent.com/PokeAPI/sprites/master/sprites/pokemon/other/official-artwork/shiny/10141.png</v>
          </cell>
        </row>
        <row r="1012">
          <cell r="A1012">
            <v>774</v>
          </cell>
          <cell r="C1012" t="str">
            <v>Minior Indigo Meteor</v>
          </cell>
          <cell r="D1012" t="str">
            <v>Other</v>
          </cell>
          <cell r="E1012" t="str">
            <v>rock</v>
          </cell>
          <cell r="F1012" t="str">
            <v>flying</v>
          </cell>
          <cell r="G1012">
            <v>60</v>
          </cell>
          <cell r="H1012">
            <v>60</v>
          </cell>
          <cell r="I1012">
            <v>100</v>
          </cell>
          <cell r="J1012">
            <v>60</v>
          </cell>
          <cell r="K1012">
            <v>100</v>
          </cell>
          <cell r="L1012">
            <v>60</v>
          </cell>
          <cell r="M1012">
            <v>440</v>
          </cell>
          <cell r="N1012" t="str">
            <v>shields-down</v>
          </cell>
          <cell r="Q1012">
            <v>0.3</v>
          </cell>
          <cell r="R1012">
            <v>40</v>
          </cell>
          <cell r="S1012" t="str">
            <v>Originally making its home in the ozone layer, it hurtles to the ground when the shell enclosing its body grows too heavy.</v>
          </cell>
          <cell r="T1012" t="str">
            <v>https://raw.githubusercontent.com/PokeAPI/sprites/master/sprites/pokemon/other/official-artwork/10134.png</v>
          </cell>
          <cell r="U1012" t="str">
            <v>https://raw.githubusercontent.com/PokeAPI/sprites/master/sprites/pokemon/other/official-artwork/shiny/10134.png</v>
          </cell>
        </row>
        <row r="1013">
          <cell r="A1013">
            <v>774</v>
          </cell>
          <cell r="C1013" t="str">
            <v>Minior Orange</v>
          </cell>
          <cell r="D1013" t="str">
            <v>Other</v>
          </cell>
          <cell r="E1013" t="str">
            <v>rock</v>
          </cell>
          <cell r="F1013" t="str">
            <v>flying</v>
          </cell>
          <cell r="G1013">
            <v>60</v>
          </cell>
          <cell r="H1013">
            <v>100</v>
          </cell>
          <cell r="I1013">
            <v>60</v>
          </cell>
          <cell r="J1013">
            <v>100</v>
          </cell>
          <cell r="K1013">
            <v>60</v>
          </cell>
          <cell r="L1013">
            <v>120</v>
          </cell>
          <cell r="M1013">
            <v>500</v>
          </cell>
          <cell r="N1013" t="str">
            <v>shields-down</v>
          </cell>
          <cell r="Q1013">
            <v>0.3</v>
          </cell>
          <cell r="R1013">
            <v>0.3</v>
          </cell>
          <cell r="S1013" t="str">
            <v>Originally making its home in the ozone layer, it hurtles to the ground when the shell enclosing its body grows too heavy.</v>
          </cell>
          <cell r="T1013" t="str">
            <v>https://raw.githubusercontent.com/PokeAPI/sprites/master/sprites/pokemon/other/official-artwork/10137.png</v>
          </cell>
          <cell r="U1013" t="str">
            <v>https://raw.githubusercontent.com/PokeAPI/sprites/master/sprites/pokemon/other/official-artwork/shiny/10137.png</v>
          </cell>
        </row>
        <row r="1014">
          <cell r="A1014">
            <v>774</v>
          </cell>
          <cell r="C1014" t="str">
            <v>Minior Orange Meteor</v>
          </cell>
          <cell r="D1014" t="str">
            <v>Other</v>
          </cell>
          <cell r="E1014" t="str">
            <v>rock</v>
          </cell>
          <cell r="F1014" t="str">
            <v>flying</v>
          </cell>
          <cell r="G1014">
            <v>60</v>
          </cell>
          <cell r="H1014">
            <v>60</v>
          </cell>
          <cell r="I1014">
            <v>100</v>
          </cell>
          <cell r="J1014">
            <v>60</v>
          </cell>
          <cell r="K1014">
            <v>100</v>
          </cell>
          <cell r="L1014">
            <v>60</v>
          </cell>
          <cell r="M1014">
            <v>440</v>
          </cell>
          <cell r="N1014" t="str">
            <v>shields-down</v>
          </cell>
          <cell r="Q1014">
            <v>0.3</v>
          </cell>
          <cell r="R1014">
            <v>40</v>
          </cell>
          <cell r="S1014" t="str">
            <v>Originally making its home in the ozone layer, it hurtles to the ground when the shell enclosing its body grows too heavy.</v>
          </cell>
          <cell r="T1014" t="str">
            <v>https://raw.githubusercontent.com/PokeAPI/sprites/master/sprites/pokemon/other/official-artwork/10130.png</v>
          </cell>
          <cell r="U1014" t="str">
            <v>https://raw.githubusercontent.com/PokeAPI/sprites/master/sprites/pokemon/other/official-artwork/shiny/10130.png</v>
          </cell>
        </row>
        <row r="1015">
          <cell r="A1015">
            <v>774</v>
          </cell>
          <cell r="C1015" t="str">
            <v>Minior Red</v>
          </cell>
          <cell r="D1015" t="str">
            <v>Other</v>
          </cell>
          <cell r="E1015" t="str">
            <v>rock</v>
          </cell>
          <cell r="F1015" t="str">
            <v>flying</v>
          </cell>
          <cell r="G1015">
            <v>60</v>
          </cell>
          <cell r="H1015">
            <v>100</v>
          </cell>
          <cell r="I1015">
            <v>60</v>
          </cell>
          <cell r="J1015">
            <v>100</v>
          </cell>
          <cell r="K1015">
            <v>60</v>
          </cell>
          <cell r="L1015">
            <v>120</v>
          </cell>
          <cell r="M1015">
            <v>500</v>
          </cell>
          <cell r="N1015" t="str">
            <v>shields-down</v>
          </cell>
          <cell r="Q1015">
            <v>0.3</v>
          </cell>
          <cell r="R1015">
            <v>0.3</v>
          </cell>
          <cell r="S1015" t="str">
            <v>Originally making its home in the ozone layer, it hurtles to the ground when the shell enclosing its body grows too heavy.</v>
          </cell>
          <cell r="T1015" t="str">
            <v>https://raw.githubusercontent.com/PokeAPI/sprites/master/sprites/pokemon/other/official-artwork/10136.png</v>
          </cell>
          <cell r="U1015" t="str">
            <v>https://raw.githubusercontent.com/PokeAPI/sprites/master/sprites/pokemon/other/official-artwork/shiny/10136.png</v>
          </cell>
        </row>
        <row r="1016">
          <cell r="A1016">
            <v>774</v>
          </cell>
          <cell r="C1016" t="str">
            <v>Minior Red Meteor</v>
          </cell>
          <cell r="D1016" t="str">
            <v>Other</v>
          </cell>
          <cell r="E1016" t="str">
            <v>rock</v>
          </cell>
          <cell r="F1016" t="str">
            <v>flying</v>
          </cell>
          <cell r="G1016">
            <v>60</v>
          </cell>
          <cell r="H1016">
            <v>60</v>
          </cell>
          <cell r="I1016">
            <v>100</v>
          </cell>
          <cell r="J1016">
            <v>60</v>
          </cell>
          <cell r="K1016">
            <v>100</v>
          </cell>
          <cell r="L1016">
            <v>60</v>
          </cell>
          <cell r="M1016">
            <v>440</v>
          </cell>
          <cell r="N1016" t="str">
            <v>shields-down</v>
          </cell>
          <cell r="Q1016">
            <v>0.3</v>
          </cell>
          <cell r="R1016">
            <v>40</v>
          </cell>
          <cell r="S1016" t="str">
            <v>Originally making its home in the ozone layer, it hurtles to the ground when the shell enclosing its body grows too heavy.</v>
          </cell>
          <cell r="T1016" t="str">
            <v>https://raw.githubusercontent.com/PokeAPI/sprites/master/sprites/pokemon/other/official-artwork/774.png</v>
          </cell>
          <cell r="U1016" t="str">
            <v>https://raw.githubusercontent.com/PokeAPI/sprites/master/sprites/pokemon/other/official-artwork/shiny/774.png</v>
          </cell>
        </row>
        <row r="1017">
          <cell r="A1017">
            <v>774</v>
          </cell>
          <cell r="C1017" t="str">
            <v>Minior Violet</v>
          </cell>
          <cell r="D1017" t="str">
            <v>Other</v>
          </cell>
          <cell r="E1017" t="str">
            <v>rock</v>
          </cell>
          <cell r="F1017" t="str">
            <v>flying</v>
          </cell>
          <cell r="G1017">
            <v>60</v>
          </cell>
          <cell r="H1017">
            <v>100</v>
          </cell>
          <cell r="I1017">
            <v>60</v>
          </cell>
          <cell r="J1017">
            <v>100</v>
          </cell>
          <cell r="K1017">
            <v>60</v>
          </cell>
          <cell r="L1017">
            <v>120</v>
          </cell>
          <cell r="M1017">
            <v>500</v>
          </cell>
          <cell r="N1017" t="str">
            <v>shields-down</v>
          </cell>
          <cell r="Q1017">
            <v>0.3</v>
          </cell>
          <cell r="R1017">
            <v>0.3</v>
          </cell>
          <cell r="S1017" t="str">
            <v>Originally making its home in the ozone layer, it hurtles to the ground when the shell enclosing its body grows too heavy.</v>
          </cell>
          <cell r="T1017" t="str">
            <v>https://raw.githubusercontent.com/PokeAPI/sprites/master/sprites/pokemon/other/official-artwork/10142.png</v>
          </cell>
          <cell r="U1017" t="str">
            <v>https://raw.githubusercontent.com/PokeAPI/sprites/master/sprites/pokemon/other/official-artwork/shiny/10142.png</v>
          </cell>
        </row>
        <row r="1018">
          <cell r="A1018">
            <v>774</v>
          </cell>
          <cell r="C1018" t="str">
            <v>Minior Violet Meteor</v>
          </cell>
          <cell r="D1018" t="str">
            <v>Other</v>
          </cell>
          <cell r="E1018" t="str">
            <v>rock</v>
          </cell>
          <cell r="F1018" t="str">
            <v>flying</v>
          </cell>
          <cell r="G1018">
            <v>60</v>
          </cell>
          <cell r="H1018">
            <v>60</v>
          </cell>
          <cell r="I1018">
            <v>100</v>
          </cell>
          <cell r="J1018">
            <v>60</v>
          </cell>
          <cell r="K1018">
            <v>100</v>
          </cell>
          <cell r="L1018">
            <v>60</v>
          </cell>
          <cell r="M1018">
            <v>440</v>
          </cell>
          <cell r="N1018" t="str">
            <v>shields-down</v>
          </cell>
          <cell r="Q1018">
            <v>0.3</v>
          </cell>
          <cell r="R1018">
            <v>40</v>
          </cell>
          <cell r="S1018" t="str">
            <v>Originally making its home in the ozone layer, it hurtles to the ground when the shell enclosing its body grows too heavy.</v>
          </cell>
          <cell r="T1018" t="str">
            <v>https://raw.githubusercontent.com/PokeAPI/sprites/master/sprites/pokemon/other/official-artwork/10135.png</v>
          </cell>
          <cell r="U1018" t="str">
            <v>https://raw.githubusercontent.com/PokeAPI/sprites/master/sprites/pokemon/other/official-artwork/shiny/10135.png</v>
          </cell>
        </row>
        <row r="1019">
          <cell r="A1019">
            <v>774</v>
          </cell>
          <cell r="C1019" t="str">
            <v>Minior Yellow</v>
          </cell>
          <cell r="D1019" t="str">
            <v>Other</v>
          </cell>
          <cell r="E1019" t="str">
            <v>rock</v>
          </cell>
          <cell r="F1019" t="str">
            <v>flying</v>
          </cell>
          <cell r="G1019">
            <v>60</v>
          </cell>
          <cell r="H1019">
            <v>100</v>
          </cell>
          <cell r="I1019">
            <v>60</v>
          </cell>
          <cell r="J1019">
            <v>100</v>
          </cell>
          <cell r="K1019">
            <v>60</v>
          </cell>
          <cell r="L1019">
            <v>120</v>
          </cell>
          <cell r="M1019">
            <v>500</v>
          </cell>
          <cell r="N1019" t="str">
            <v>shields-down</v>
          </cell>
          <cell r="Q1019">
            <v>0.3</v>
          </cell>
          <cell r="R1019">
            <v>0.3</v>
          </cell>
          <cell r="S1019" t="str">
            <v>Originally making its home in the ozone layer, it hurtles to the ground when the shell enclosing its body grows too heavy.</v>
          </cell>
          <cell r="T1019" t="str">
            <v>https://raw.githubusercontent.com/PokeAPI/sprites/master/sprites/pokemon/other/official-artwork/10138.png</v>
          </cell>
          <cell r="U1019" t="str">
            <v>https://raw.githubusercontent.com/PokeAPI/sprites/master/sprites/pokemon/other/official-artwork/shiny/10138.png</v>
          </cell>
        </row>
        <row r="1020">
          <cell r="A1020">
            <v>774</v>
          </cell>
          <cell r="C1020" t="str">
            <v>Minior Yellow Meteor</v>
          </cell>
          <cell r="D1020" t="str">
            <v>Other</v>
          </cell>
          <cell r="E1020" t="str">
            <v>rock</v>
          </cell>
          <cell r="F1020" t="str">
            <v>flying</v>
          </cell>
          <cell r="G1020">
            <v>60</v>
          </cell>
          <cell r="H1020">
            <v>60</v>
          </cell>
          <cell r="I1020">
            <v>100</v>
          </cell>
          <cell r="J1020">
            <v>60</v>
          </cell>
          <cell r="K1020">
            <v>100</v>
          </cell>
          <cell r="L1020">
            <v>60</v>
          </cell>
          <cell r="M1020">
            <v>440</v>
          </cell>
          <cell r="N1020" t="str">
            <v>shields-down</v>
          </cell>
          <cell r="Q1020">
            <v>0.3</v>
          </cell>
          <cell r="R1020">
            <v>40</v>
          </cell>
          <cell r="S1020" t="str">
            <v>Originally making its home in the ozone layer, it hurtles to the ground when the shell enclosing its body grows too heavy.</v>
          </cell>
          <cell r="T1020" t="str">
            <v>https://raw.githubusercontent.com/PokeAPI/sprites/master/sprites/pokemon/other/official-artwork/10131.png</v>
          </cell>
          <cell r="U1020" t="str">
            <v>https://raw.githubusercontent.com/PokeAPI/sprites/master/sprites/pokemon/other/official-artwork/shiny/10131.png</v>
          </cell>
        </row>
        <row r="1021">
          <cell r="A1021">
            <v>775</v>
          </cell>
          <cell r="C1021" t="str">
            <v>Komala</v>
          </cell>
          <cell r="D1021" t="str">
            <v>Standard</v>
          </cell>
          <cell r="E1021" t="str">
            <v>normal</v>
          </cell>
          <cell r="G1021">
            <v>65</v>
          </cell>
          <cell r="H1021">
            <v>115</v>
          </cell>
          <cell r="I1021">
            <v>65</v>
          </cell>
          <cell r="J1021">
            <v>75</v>
          </cell>
          <cell r="K1021">
            <v>95</v>
          </cell>
          <cell r="L1021">
            <v>65</v>
          </cell>
          <cell r="M1021">
            <v>480</v>
          </cell>
          <cell r="N1021" t="str">
            <v>comatose</v>
          </cell>
          <cell r="Q1021">
            <v>0.4</v>
          </cell>
          <cell r="R1021">
            <v>19.899999999999999</v>
          </cell>
          <cell r="S1021" t="str">
            <v>It is born asleep, and it dies asleep. All its movements are apparently no more than the results of it tossing and turning in its dreams.</v>
          </cell>
          <cell r="T1021" t="str">
            <v>https://raw.githubusercontent.com/PokeAPI/sprites/master/sprites/pokemon/other/official-artwork/775.png</v>
          </cell>
          <cell r="U1021" t="str">
            <v>https://raw.githubusercontent.com/PokeAPI/sprites/master/sprites/pokemon/other/official-artwork/shiny/775.png</v>
          </cell>
        </row>
        <row r="1022">
          <cell r="A1022">
            <v>776</v>
          </cell>
          <cell r="C1022" t="str">
            <v>Turtonator</v>
          </cell>
          <cell r="D1022" t="str">
            <v>Standard</v>
          </cell>
          <cell r="E1022" t="str">
            <v>fire</v>
          </cell>
          <cell r="F1022" t="str">
            <v>dragon</v>
          </cell>
          <cell r="G1022">
            <v>60</v>
          </cell>
          <cell r="H1022">
            <v>78</v>
          </cell>
          <cell r="I1022">
            <v>135</v>
          </cell>
          <cell r="J1022">
            <v>91</v>
          </cell>
          <cell r="K1022">
            <v>85</v>
          </cell>
          <cell r="L1022">
            <v>36</v>
          </cell>
          <cell r="M1022">
            <v>485</v>
          </cell>
          <cell r="N1022" t="str">
            <v>shell-armor</v>
          </cell>
          <cell r="Q1022">
            <v>2</v>
          </cell>
          <cell r="R1022">
            <v>212</v>
          </cell>
          <cell r="S1022" t="str">
            <v>The shell on its back is chemically unstable and explodes violently if struck. The hole in its stomach is its weak point.</v>
          </cell>
          <cell r="T1022" t="str">
            <v>https://raw.githubusercontent.com/PokeAPI/sprites/master/sprites/pokemon/other/official-artwork/776.png</v>
          </cell>
          <cell r="U1022" t="str">
            <v>https://raw.githubusercontent.com/PokeAPI/sprites/master/sprites/pokemon/other/official-artwork/shiny/776.png</v>
          </cell>
        </row>
        <row r="1023">
          <cell r="A1023">
            <v>777</v>
          </cell>
          <cell r="C1023" t="str">
            <v>Togedemaru</v>
          </cell>
          <cell r="D1023" t="str">
            <v>Standard</v>
          </cell>
          <cell r="E1023" t="str">
            <v>electric</v>
          </cell>
          <cell r="F1023" t="str">
            <v>steel</v>
          </cell>
          <cell r="G1023">
            <v>65</v>
          </cell>
          <cell r="H1023">
            <v>98</v>
          </cell>
          <cell r="I1023">
            <v>63</v>
          </cell>
          <cell r="J1023">
            <v>40</v>
          </cell>
          <cell r="K1023">
            <v>73</v>
          </cell>
          <cell r="L1023">
            <v>96</v>
          </cell>
          <cell r="M1023">
            <v>435</v>
          </cell>
          <cell r="N1023" t="str">
            <v>iron-barbs</v>
          </cell>
          <cell r="O1023" t="str">
            <v>lightning-rod</v>
          </cell>
          <cell r="P1023" t="str">
            <v>sturdy</v>
          </cell>
          <cell r="Q1023">
            <v>0.3</v>
          </cell>
          <cell r="R1023">
            <v>3.3</v>
          </cell>
          <cell r="S1023" t="str">
            <v>The spiny fur on its back is normally at rest. When this Pokémon becomes agitated, its fur stands on end and stabs into its attackers.</v>
          </cell>
          <cell r="T1023" t="str">
            <v>https://raw.githubusercontent.com/PokeAPI/sprites/master/sprites/pokemon/other/official-artwork/777.png</v>
          </cell>
          <cell r="U1023" t="str">
            <v>https://raw.githubusercontent.com/PokeAPI/sprites/master/sprites/pokemon/other/official-artwork/shiny/777.png</v>
          </cell>
        </row>
        <row r="1024">
          <cell r="A1024">
            <v>777</v>
          </cell>
          <cell r="C1024" t="str">
            <v>Togedemaru Totem</v>
          </cell>
          <cell r="D1024" t="str">
            <v>Other</v>
          </cell>
          <cell r="E1024" t="str">
            <v>electric</v>
          </cell>
          <cell r="F1024" t="str">
            <v>steel</v>
          </cell>
          <cell r="G1024">
            <v>65</v>
          </cell>
          <cell r="H1024">
            <v>98</v>
          </cell>
          <cell r="I1024">
            <v>63</v>
          </cell>
          <cell r="J1024">
            <v>40</v>
          </cell>
          <cell r="K1024">
            <v>73</v>
          </cell>
          <cell r="L1024">
            <v>96</v>
          </cell>
          <cell r="M1024">
            <v>435</v>
          </cell>
          <cell r="N1024" t="str">
            <v>iron-barbs</v>
          </cell>
          <cell r="O1024" t="str">
            <v>lightning-rod</v>
          </cell>
          <cell r="P1024" t="str">
            <v>sturdy</v>
          </cell>
          <cell r="Q1024">
            <v>0.6</v>
          </cell>
          <cell r="R1024">
            <v>13</v>
          </cell>
          <cell r="S1024" t="str">
            <v>The spiny fur on its back is normally at rest. When this Pokémon becomes agitated, its fur stands on end and stabs into its attackers.</v>
          </cell>
          <cell r="T1024" t="str">
            <v>https://raw.githubusercontent.com/PokeAPI/sprites/master/sprites/pokemon/other/official-artwork/10154.png</v>
          </cell>
          <cell r="U1024" t="str">
            <v>https://raw.githubusercontent.com/PokeAPI/sprites/master/sprites/pokemon/other/official-artwork/shiny/10154.png</v>
          </cell>
        </row>
        <row r="1025">
          <cell r="A1025">
            <v>778</v>
          </cell>
          <cell r="C1025" t="str">
            <v>Mimikyu Busted</v>
          </cell>
          <cell r="D1025" t="str">
            <v>Other</v>
          </cell>
          <cell r="E1025" t="str">
            <v>ghost</v>
          </cell>
          <cell r="F1025" t="str">
            <v>fairy</v>
          </cell>
          <cell r="G1025">
            <v>55</v>
          </cell>
          <cell r="H1025">
            <v>90</v>
          </cell>
          <cell r="I1025">
            <v>80</v>
          </cell>
          <cell r="J1025">
            <v>50</v>
          </cell>
          <cell r="K1025">
            <v>105</v>
          </cell>
          <cell r="L1025">
            <v>96</v>
          </cell>
          <cell r="M1025">
            <v>476</v>
          </cell>
          <cell r="N1025" t="str">
            <v>disguise</v>
          </cell>
          <cell r="Q1025">
            <v>0.2</v>
          </cell>
          <cell r="R1025">
            <v>0.7</v>
          </cell>
          <cell r="S1025" t="str">
            <v>Its actual appearance is unknown. A scholar who saw what was under its rag was overwhelmed by terror and died from the shock.</v>
          </cell>
          <cell r="T1025" t="str">
            <v>https://raw.githubusercontent.com/PokeAPI/sprites/master/sprites/pokemon/10143.png</v>
          </cell>
          <cell r="U1025" t="str">
            <v>https://raw.githubusercontent.com/PokeAPI/sprites/master/sprites/pokemon/other/official-artwork/shiny/10143.png</v>
          </cell>
        </row>
        <row r="1026">
          <cell r="A1026">
            <v>778</v>
          </cell>
          <cell r="C1026" t="str">
            <v>Mimikyu Disguised</v>
          </cell>
          <cell r="D1026" t="str">
            <v>Other</v>
          </cell>
          <cell r="E1026" t="str">
            <v>ghost</v>
          </cell>
          <cell r="F1026" t="str">
            <v>fairy</v>
          </cell>
          <cell r="G1026">
            <v>55</v>
          </cell>
          <cell r="H1026">
            <v>90</v>
          </cell>
          <cell r="I1026">
            <v>80</v>
          </cell>
          <cell r="J1026">
            <v>50</v>
          </cell>
          <cell r="K1026">
            <v>105</v>
          </cell>
          <cell r="L1026">
            <v>96</v>
          </cell>
          <cell r="M1026">
            <v>476</v>
          </cell>
          <cell r="N1026" t="str">
            <v>disguise</v>
          </cell>
          <cell r="Q1026">
            <v>0.2</v>
          </cell>
          <cell r="R1026">
            <v>0.7</v>
          </cell>
          <cell r="S1026" t="str">
            <v>Its actual appearance is unknown. A scholar who saw what was under its rag was overwhelmed by terror and died from the shock.</v>
          </cell>
          <cell r="T1026" t="str">
            <v>https://raw.githubusercontent.com/PokeAPI/sprites/master/sprites/pokemon/other/official-artwork/778.png</v>
          </cell>
          <cell r="U1026" t="str">
            <v>https://raw.githubusercontent.com/PokeAPI/sprites/master/sprites/pokemon/other/official-artwork/shiny/778.png</v>
          </cell>
        </row>
        <row r="1027">
          <cell r="A1027">
            <v>778</v>
          </cell>
          <cell r="C1027" t="str">
            <v>Mimikyu Totem Busted</v>
          </cell>
          <cell r="D1027" t="str">
            <v>Other</v>
          </cell>
          <cell r="E1027" t="str">
            <v>ghost</v>
          </cell>
          <cell r="F1027" t="str">
            <v>fairy</v>
          </cell>
          <cell r="G1027">
            <v>55</v>
          </cell>
          <cell r="H1027">
            <v>90</v>
          </cell>
          <cell r="I1027">
            <v>80</v>
          </cell>
          <cell r="J1027">
            <v>50</v>
          </cell>
          <cell r="K1027">
            <v>105</v>
          </cell>
          <cell r="L1027">
            <v>96</v>
          </cell>
          <cell r="M1027">
            <v>476</v>
          </cell>
          <cell r="N1027" t="str">
            <v>disguise</v>
          </cell>
          <cell r="Q1027">
            <v>0.4</v>
          </cell>
          <cell r="R1027">
            <v>2.8</v>
          </cell>
          <cell r="S1027" t="str">
            <v>Its actual appearance is unknown. A scholar who saw what was under its rag was overwhelmed by terror and died from the shock.</v>
          </cell>
          <cell r="T1027" t="str">
            <v>https://raw.githubusercontent.com/PokeAPI/sprites/master/sprites/pokemon/10145.png</v>
          </cell>
          <cell r="U1027" t="str">
            <v>https://raw.githubusercontent.com/PokeAPI/sprites/master/sprites/pokemon/shiny/778-totem-busted.png</v>
          </cell>
        </row>
        <row r="1028">
          <cell r="A1028">
            <v>778</v>
          </cell>
          <cell r="C1028" t="str">
            <v>Mimikyu Totem Disguised</v>
          </cell>
          <cell r="D1028" t="str">
            <v>Other</v>
          </cell>
          <cell r="E1028" t="str">
            <v>ghost</v>
          </cell>
          <cell r="F1028" t="str">
            <v>fairy</v>
          </cell>
          <cell r="G1028">
            <v>55</v>
          </cell>
          <cell r="H1028">
            <v>90</v>
          </cell>
          <cell r="I1028">
            <v>80</v>
          </cell>
          <cell r="J1028">
            <v>50</v>
          </cell>
          <cell r="K1028">
            <v>105</v>
          </cell>
          <cell r="L1028">
            <v>96</v>
          </cell>
          <cell r="M1028">
            <v>476</v>
          </cell>
          <cell r="N1028" t="str">
            <v>disguise</v>
          </cell>
          <cell r="Q1028">
            <v>0.4</v>
          </cell>
          <cell r="R1028">
            <v>2.8</v>
          </cell>
          <cell r="S1028" t="str">
            <v>Its actual appearance is unknown. A scholar who saw what was under its rag was overwhelmed by terror and died from the shock.</v>
          </cell>
          <cell r="T1028" t="str">
            <v>https://raw.githubusercontent.com/PokeAPI/sprites/master/sprites/pokemon/other/official-artwork/10144.png</v>
          </cell>
          <cell r="U1028" t="str">
            <v>https://raw.githubusercontent.com/PokeAPI/sprites/master/sprites/pokemon/shiny/778-totem-disguised.png</v>
          </cell>
        </row>
        <row r="1029">
          <cell r="A1029">
            <v>779</v>
          </cell>
          <cell r="C1029" t="str">
            <v>Bruxish</v>
          </cell>
          <cell r="D1029" t="str">
            <v>Standard</v>
          </cell>
          <cell r="E1029" t="str">
            <v>water</v>
          </cell>
          <cell r="F1029" t="str">
            <v>psychic</v>
          </cell>
          <cell r="G1029">
            <v>68</v>
          </cell>
          <cell r="H1029">
            <v>105</v>
          </cell>
          <cell r="I1029">
            <v>70</v>
          </cell>
          <cell r="J1029">
            <v>70</v>
          </cell>
          <cell r="K1029">
            <v>70</v>
          </cell>
          <cell r="L1029">
            <v>92</v>
          </cell>
          <cell r="M1029">
            <v>475</v>
          </cell>
          <cell r="N1029" t="str">
            <v>dazzling</v>
          </cell>
          <cell r="O1029" t="str">
            <v>strong-jaw</v>
          </cell>
          <cell r="P1029" t="str">
            <v>wonder-skin</v>
          </cell>
          <cell r="Q1029">
            <v>0.9</v>
          </cell>
          <cell r="R1029">
            <v>19</v>
          </cell>
          <cell r="S1029" t="str">
            <v>When it unleashes its psychic power from the protuberance on its head, the grating sound of grinding teeth echoes through the area.</v>
          </cell>
          <cell r="T1029" t="str">
            <v>https://raw.githubusercontent.com/PokeAPI/sprites/master/sprites/pokemon/other/official-artwork/779.png</v>
          </cell>
          <cell r="U1029" t="str">
            <v>https://raw.githubusercontent.com/PokeAPI/sprites/master/sprites/pokemon/other/official-artwork/shiny/779.png</v>
          </cell>
        </row>
        <row r="1030">
          <cell r="A1030">
            <v>780</v>
          </cell>
          <cell r="C1030" t="str">
            <v>Drampa</v>
          </cell>
          <cell r="D1030" t="str">
            <v>Standard</v>
          </cell>
          <cell r="E1030" t="str">
            <v>normal</v>
          </cell>
          <cell r="F1030" t="str">
            <v>dragon</v>
          </cell>
          <cell r="G1030">
            <v>78</v>
          </cell>
          <cell r="H1030">
            <v>60</v>
          </cell>
          <cell r="I1030">
            <v>85</v>
          </cell>
          <cell r="J1030">
            <v>135</v>
          </cell>
          <cell r="K1030">
            <v>91</v>
          </cell>
          <cell r="L1030">
            <v>36</v>
          </cell>
          <cell r="M1030">
            <v>485</v>
          </cell>
          <cell r="N1030" t="str">
            <v>berserk</v>
          </cell>
          <cell r="O1030" t="str">
            <v>sap-sipper</v>
          </cell>
          <cell r="P1030" t="str">
            <v>cloud-nine</v>
          </cell>
          <cell r="Q1030">
            <v>3</v>
          </cell>
          <cell r="R1030">
            <v>185</v>
          </cell>
          <cell r="S1030" t="str">
            <v>It has a compassionate personality, but if it is angered, it completely destroys its surroundings with its intense breath.</v>
          </cell>
          <cell r="T1030" t="str">
            <v>https://raw.githubusercontent.com/PokeAPI/sprites/master/sprites/pokemon/other/official-artwork/780.png</v>
          </cell>
          <cell r="U1030" t="str">
            <v>https://raw.githubusercontent.com/PokeAPI/sprites/master/sprites/pokemon/other/official-artwork/shiny/780.png</v>
          </cell>
        </row>
        <row r="1031">
          <cell r="A1031">
            <v>780</v>
          </cell>
          <cell r="C1031" t="str">
            <v>Drampa Mega</v>
          </cell>
          <cell r="D1031" t="str">
            <v>Mega</v>
          </cell>
          <cell r="E1031" t="str">
            <v>normal</v>
          </cell>
          <cell r="F1031" t="str">
            <v>dragon</v>
          </cell>
          <cell r="G1031">
            <v>78</v>
          </cell>
          <cell r="H1031">
            <v>85</v>
          </cell>
          <cell r="I1031">
            <v>110</v>
          </cell>
          <cell r="J1031">
            <v>160</v>
          </cell>
          <cell r="K1031">
            <v>116</v>
          </cell>
          <cell r="L1031">
            <v>36</v>
          </cell>
          <cell r="M1031">
            <v>585</v>
          </cell>
          <cell r="Q1031">
            <v>3</v>
          </cell>
          <cell r="R1031">
            <v>240.5</v>
          </cell>
          <cell r="S1031" t="str">
            <v>It has a compassionate personality, but if it is angered, it completely destroys its surroundings with its intense breath.</v>
          </cell>
        </row>
        <row r="1032">
          <cell r="A1032">
            <v>781</v>
          </cell>
          <cell r="C1032" t="str">
            <v>Dhelmise</v>
          </cell>
          <cell r="D1032" t="str">
            <v>Standard</v>
          </cell>
          <cell r="E1032" t="str">
            <v>ghost</v>
          </cell>
          <cell r="F1032" t="str">
            <v>grass</v>
          </cell>
          <cell r="G1032">
            <v>70</v>
          </cell>
          <cell r="H1032">
            <v>131</v>
          </cell>
          <cell r="I1032">
            <v>100</v>
          </cell>
          <cell r="J1032">
            <v>86</v>
          </cell>
          <cell r="K1032">
            <v>90</v>
          </cell>
          <cell r="L1032">
            <v>40</v>
          </cell>
          <cell r="M1032">
            <v>517</v>
          </cell>
          <cell r="N1032" t="str">
            <v>steelworker</v>
          </cell>
          <cell r="Q1032">
            <v>3.9</v>
          </cell>
          <cell r="R1032">
            <v>210</v>
          </cell>
          <cell r="S1032" t="str">
            <v>Swinging its massive anchor, it can KO Wailord in a single blow. What appears to be green seaweed is actually its body.</v>
          </cell>
          <cell r="T1032" t="str">
            <v>https://raw.githubusercontent.com/PokeAPI/sprites/master/sprites/pokemon/other/official-artwork/781.png</v>
          </cell>
          <cell r="U1032" t="str">
            <v>https://raw.githubusercontent.com/PokeAPI/sprites/master/sprites/pokemon/other/official-artwork/shiny/781.png</v>
          </cell>
        </row>
        <row r="1033">
          <cell r="A1033">
            <v>782</v>
          </cell>
          <cell r="C1033" t="str">
            <v>Jangmo O</v>
          </cell>
          <cell r="D1033" t="str">
            <v>Other</v>
          </cell>
          <cell r="E1033" t="str">
            <v>dragon</v>
          </cell>
          <cell r="G1033">
            <v>45</v>
          </cell>
          <cell r="H1033">
            <v>55</v>
          </cell>
          <cell r="I1033">
            <v>65</v>
          </cell>
          <cell r="J1033">
            <v>45</v>
          </cell>
          <cell r="K1033">
            <v>45</v>
          </cell>
          <cell r="L1033">
            <v>45</v>
          </cell>
          <cell r="M1033">
            <v>300</v>
          </cell>
          <cell r="N1033" t="str">
            <v>bulletproof</v>
          </cell>
          <cell r="O1033" t="str">
            <v>soundproof</v>
          </cell>
          <cell r="P1033" t="str">
            <v>overcoat</v>
          </cell>
          <cell r="Q1033">
            <v>0.6</v>
          </cell>
          <cell r="R1033">
            <v>29.7</v>
          </cell>
          <cell r="S1033" t="str">
            <v>It expresses its feelings by smacking its scales. Metallic sounds echo through the tall mountains where Jangmo-o lives.</v>
          </cell>
          <cell r="T1033" t="str">
            <v>https://raw.githubusercontent.com/PokeAPI/sprites/master/sprites/pokemon/other/official-artwork/782.png</v>
          </cell>
          <cell r="U1033" t="str">
            <v>https://raw.githubusercontent.com/PokeAPI/sprites/master/sprites/pokemon/other/official-artwork/shiny/782.png</v>
          </cell>
        </row>
        <row r="1034">
          <cell r="A1034">
            <v>783</v>
          </cell>
          <cell r="C1034" t="str">
            <v>Hakamo O</v>
          </cell>
          <cell r="D1034" t="str">
            <v>Other</v>
          </cell>
          <cell r="E1034" t="str">
            <v>dragon</v>
          </cell>
          <cell r="F1034" t="str">
            <v>fighting</v>
          </cell>
          <cell r="G1034">
            <v>55</v>
          </cell>
          <cell r="H1034">
            <v>75</v>
          </cell>
          <cell r="I1034">
            <v>90</v>
          </cell>
          <cell r="J1034">
            <v>65</v>
          </cell>
          <cell r="K1034">
            <v>70</v>
          </cell>
          <cell r="L1034">
            <v>65</v>
          </cell>
          <cell r="M1034">
            <v>420</v>
          </cell>
          <cell r="N1034" t="str">
            <v>bulletproof</v>
          </cell>
          <cell r="O1034" t="str">
            <v>soundproof</v>
          </cell>
          <cell r="P1034" t="str">
            <v>overcoat</v>
          </cell>
          <cell r="Q1034">
            <v>1.2</v>
          </cell>
          <cell r="R1034">
            <v>47</v>
          </cell>
          <cell r="S1034" t="str">
            <v>It leaps at its prey with a courageous shout. Its scaly punches tear its opponents to shreds.</v>
          </cell>
          <cell r="T1034" t="str">
            <v>https://raw.githubusercontent.com/PokeAPI/sprites/master/sprites/pokemon/other/official-artwork/783.png</v>
          </cell>
          <cell r="U1034" t="str">
            <v>https://raw.githubusercontent.com/PokeAPI/sprites/master/sprites/pokemon/other/official-artwork/shiny/783.png</v>
          </cell>
        </row>
        <row r="1035">
          <cell r="A1035">
            <v>784</v>
          </cell>
          <cell r="C1035" t="str">
            <v>Kommo O</v>
          </cell>
          <cell r="D1035" t="str">
            <v>Other</v>
          </cell>
          <cell r="E1035" t="str">
            <v>dragon</v>
          </cell>
          <cell r="F1035" t="str">
            <v>fighting</v>
          </cell>
          <cell r="G1035">
            <v>75</v>
          </cell>
          <cell r="H1035">
            <v>110</v>
          </cell>
          <cell r="I1035">
            <v>125</v>
          </cell>
          <cell r="J1035">
            <v>100</v>
          </cell>
          <cell r="K1035">
            <v>105</v>
          </cell>
          <cell r="L1035">
            <v>85</v>
          </cell>
          <cell r="M1035">
            <v>600</v>
          </cell>
          <cell r="N1035" t="str">
            <v>bulletproof</v>
          </cell>
          <cell r="O1035" t="str">
            <v>soundproof</v>
          </cell>
          <cell r="P1035" t="str">
            <v>overcoat</v>
          </cell>
          <cell r="Q1035">
            <v>1.6</v>
          </cell>
          <cell r="R1035">
            <v>78.2</v>
          </cell>
          <cell r="S1035" t="str">
            <v>When it spots enemies, it threatens them by jingling the scales on its tail. Weak opponents will crack and flee in panic.</v>
          </cell>
          <cell r="T1035" t="str">
            <v>https://raw.githubusercontent.com/PokeAPI/sprites/master/sprites/pokemon/other/official-artwork/784.png</v>
          </cell>
          <cell r="U1035" t="str">
            <v>https://raw.githubusercontent.com/PokeAPI/sprites/master/sprites/pokemon/other/official-artwork/shiny/784.png</v>
          </cell>
        </row>
        <row r="1036">
          <cell r="A1036">
            <v>784</v>
          </cell>
          <cell r="C1036" t="str">
            <v>Kommo O Totem</v>
          </cell>
          <cell r="D1036" t="str">
            <v>Other</v>
          </cell>
          <cell r="E1036" t="str">
            <v>dragon</v>
          </cell>
          <cell r="F1036" t="str">
            <v>fighting</v>
          </cell>
          <cell r="G1036">
            <v>75</v>
          </cell>
          <cell r="H1036">
            <v>110</v>
          </cell>
          <cell r="I1036">
            <v>125</v>
          </cell>
          <cell r="J1036">
            <v>100</v>
          </cell>
          <cell r="K1036">
            <v>105</v>
          </cell>
          <cell r="L1036">
            <v>85</v>
          </cell>
          <cell r="M1036">
            <v>600</v>
          </cell>
          <cell r="N1036" t="str">
            <v>bulletproof</v>
          </cell>
          <cell r="O1036" t="str">
            <v>soundproof</v>
          </cell>
          <cell r="P1036" t="str">
            <v>overcoat</v>
          </cell>
          <cell r="Q1036">
            <v>2.4</v>
          </cell>
          <cell r="R1036">
            <v>207.5</v>
          </cell>
          <cell r="S1036" t="str">
            <v>When it spots enemies, it threatens them by jingling the scales on its tail. Weak opponents will crack and flee in panic.</v>
          </cell>
          <cell r="T1036" t="str">
            <v>https://raw.githubusercontent.com/PokeAPI/sprites/master/sprites/pokemon/other/official-artwork/10146.png</v>
          </cell>
          <cell r="U1036" t="str">
            <v>https://raw.githubusercontent.com/PokeAPI/sprites/master/sprites/pokemon/other/official-artwork/shiny/10146.png</v>
          </cell>
        </row>
        <row r="1037">
          <cell r="A1037">
            <v>785</v>
          </cell>
          <cell r="C1037" t="str">
            <v>Tapu Koko</v>
          </cell>
          <cell r="D1037" t="str">
            <v>Other</v>
          </cell>
          <cell r="E1037" t="str">
            <v>electric</v>
          </cell>
          <cell r="F1037" t="str">
            <v>fairy</v>
          </cell>
          <cell r="G1037">
            <v>70</v>
          </cell>
          <cell r="H1037">
            <v>115</v>
          </cell>
          <cell r="I1037">
            <v>85</v>
          </cell>
          <cell r="J1037">
            <v>95</v>
          </cell>
          <cell r="K1037">
            <v>75</v>
          </cell>
          <cell r="L1037">
            <v>130</v>
          </cell>
          <cell r="M1037">
            <v>570</v>
          </cell>
          <cell r="N1037" t="str">
            <v>electric-surge</v>
          </cell>
          <cell r="P1037" t="str">
            <v>telepathy</v>
          </cell>
          <cell r="Q1037">
            <v>1.8</v>
          </cell>
          <cell r="R1037">
            <v>20.5</v>
          </cell>
          <cell r="S1037" t="str">
            <v>This guardian deity of Melemele is brimming with curiosity. It summons thunderclouds and stores their lightning inside its body.</v>
          </cell>
          <cell r="T1037" t="str">
            <v>https://raw.githubusercontent.com/PokeAPI/sprites/master/sprites/pokemon/other/official-artwork/785.png</v>
          </cell>
          <cell r="U1037" t="str">
            <v>https://raw.githubusercontent.com/PokeAPI/sprites/master/sprites/pokemon/other/official-artwork/shiny/785.png</v>
          </cell>
        </row>
        <row r="1038">
          <cell r="A1038">
            <v>786</v>
          </cell>
          <cell r="C1038" t="str">
            <v>Tapu Lele</v>
          </cell>
          <cell r="D1038" t="str">
            <v>Other</v>
          </cell>
          <cell r="E1038" t="str">
            <v>psychic</v>
          </cell>
          <cell r="F1038" t="str">
            <v>fairy</v>
          </cell>
          <cell r="G1038">
            <v>70</v>
          </cell>
          <cell r="H1038">
            <v>85</v>
          </cell>
          <cell r="I1038">
            <v>75</v>
          </cell>
          <cell r="J1038">
            <v>130</v>
          </cell>
          <cell r="K1038">
            <v>115</v>
          </cell>
          <cell r="L1038">
            <v>95</v>
          </cell>
          <cell r="M1038">
            <v>570</v>
          </cell>
          <cell r="N1038" t="str">
            <v>psychic-surge</v>
          </cell>
          <cell r="P1038" t="str">
            <v>telepathy</v>
          </cell>
          <cell r="Q1038">
            <v>1.2</v>
          </cell>
          <cell r="R1038">
            <v>18.600000000000001</v>
          </cell>
          <cell r="S1038" t="str">
            <v>This guardian deity of Akala is guilelessly cruel. The fragrant aroma of flowers is the source of its energy.</v>
          </cell>
          <cell r="T1038" t="str">
            <v>https://raw.githubusercontent.com/PokeAPI/sprites/master/sprites/pokemon/other/official-artwork/786.png</v>
          </cell>
          <cell r="U1038" t="str">
            <v>https://raw.githubusercontent.com/PokeAPI/sprites/master/sprites/pokemon/other/official-artwork/shiny/786.png</v>
          </cell>
        </row>
        <row r="1039">
          <cell r="A1039">
            <v>787</v>
          </cell>
          <cell r="C1039" t="str">
            <v>Tapu Bulu</v>
          </cell>
          <cell r="D1039" t="str">
            <v>Other</v>
          </cell>
          <cell r="E1039" t="str">
            <v>grass</v>
          </cell>
          <cell r="F1039" t="str">
            <v>fairy</v>
          </cell>
          <cell r="G1039">
            <v>70</v>
          </cell>
          <cell r="H1039">
            <v>130</v>
          </cell>
          <cell r="I1039">
            <v>115</v>
          </cell>
          <cell r="J1039">
            <v>85</v>
          </cell>
          <cell r="K1039">
            <v>95</v>
          </cell>
          <cell r="L1039">
            <v>75</v>
          </cell>
          <cell r="M1039">
            <v>570</v>
          </cell>
          <cell r="N1039" t="str">
            <v>grassy-surge</v>
          </cell>
          <cell r="P1039" t="str">
            <v>telepathy</v>
          </cell>
          <cell r="Q1039">
            <v>1.9</v>
          </cell>
          <cell r="R1039">
            <v>45.5</v>
          </cell>
          <cell r="S1039" t="str">
            <v>It pulls large trees up by the roots and swings them around. It causes vegetation to grow, and then it absorbs energy from the growth.</v>
          </cell>
          <cell r="T1039" t="str">
            <v>https://raw.githubusercontent.com/PokeAPI/sprites/master/sprites/pokemon/other/official-artwork/787.png</v>
          </cell>
          <cell r="U1039" t="str">
            <v>https://raw.githubusercontent.com/PokeAPI/sprites/master/sprites/pokemon/other/official-artwork/shiny/787.png</v>
          </cell>
        </row>
        <row r="1040">
          <cell r="A1040">
            <v>788</v>
          </cell>
          <cell r="C1040" t="str">
            <v>Tapu Fini</v>
          </cell>
          <cell r="D1040" t="str">
            <v>Other</v>
          </cell>
          <cell r="E1040" t="str">
            <v>water</v>
          </cell>
          <cell r="F1040" t="str">
            <v>fairy</v>
          </cell>
          <cell r="G1040">
            <v>70</v>
          </cell>
          <cell r="H1040">
            <v>75</v>
          </cell>
          <cell r="I1040">
            <v>115</v>
          </cell>
          <cell r="J1040">
            <v>95</v>
          </cell>
          <cell r="K1040">
            <v>130</v>
          </cell>
          <cell r="L1040">
            <v>85</v>
          </cell>
          <cell r="M1040">
            <v>570</v>
          </cell>
          <cell r="N1040" t="str">
            <v>misty-surge</v>
          </cell>
          <cell r="P1040" t="str">
            <v>telepathy</v>
          </cell>
          <cell r="Q1040">
            <v>1.3</v>
          </cell>
          <cell r="R1040">
            <v>21.2</v>
          </cell>
          <cell r="S1040" t="str">
            <v>The dense fog it creates brings the downfall and destruction of its confused enemies. Ocean currents are the source of its energy.</v>
          </cell>
          <cell r="T1040" t="str">
            <v>https://raw.githubusercontent.com/PokeAPI/sprites/master/sprites/pokemon/other/official-artwork/788.png</v>
          </cell>
          <cell r="U1040" t="str">
            <v>https://raw.githubusercontent.com/PokeAPI/sprites/master/sprites/pokemon/other/official-artwork/shiny/788.png</v>
          </cell>
        </row>
        <row r="1041">
          <cell r="A1041">
            <v>789</v>
          </cell>
          <cell r="C1041" t="str">
            <v>Cosmog</v>
          </cell>
          <cell r="D1041" t="str">
            <v>Standard</v>
          </cell>
          <cell r="E1041" t="str">
            <v>psychic</v>
          </cell>
          <cell r="G1041">
            <v>43</v>
          </cell>
          <cell r="H1041">
            <v>29</v>
          </cell>
          <cell r="I1041">
            <v>31</v>
          </cell>
          <cell r="J1041">
            <v>29</v>
          </cell>
          <cell r="K1041">
            <v>31</v>
          </cell>
          <cell r="L1041">
            <v>37</v>
          </cell>
          <cell r="M1041">
            <v>200</v>
          </cell>
          <cell r="N1041" t="str">
            <v>unaware</v>
          </cell>
          <cell r="Q1041">
            <v>0.2</v>
          </cell>
          <cell r="R1041">
            <v>0.1</v>
          </cell>
          <cell r="S1041" t="str">
            <v>Its body is gaseous and frail. It slowly grows as it collects dust from the atmosphere.</v>
          </cell>
          <cell r="T1041" t="str">
            <v>https://raw.githubusercontent.com/PokeAPI/sprites/master/sprites/pokemon/other/official-artwork/789.png</v>
          </cell>
          <cell r="U1041" t="str">
            <v>https://raw.githubusercontent.com/PokeAPI/sprites/master/sprites/pokemon/other/official-artwork/shiny/789.png</v>
          </cell>
        </row>
        <row r="1042">
          <cell r="A1042">
            <v>790</v>
          </cell>
          <cell r="C1042" t="str">
            <v>Cosmoem</v>
          </cell>
          <cell r="D1042" t="str">
            <v>Standard</v>
          </cell>
          <cell r="E1042" t="str">
            <v>psychic</v>
          </cell>
          <cell r="G1042">
            <v>43</v>
          </cell>
          <cell r="H1042">
            <v>29</v>
          </cell>
          <cell r="I1042">
            <v>131</v>
          </cell>
          <cell r="J1042">
            <v>29</v>
          </cell>
          <cell r="K1042">
            <v>131</v>
          </cell>
          <cell r="L1042">
            <v>37</v>
          </cell>
          <cell r="M1042">
            <v>400</v>
          </cell>
          <cell r="N1042" t="str">
            <v>sturdy</v>
          </cell>
          <cell r="Q1042">
            <v>0.1</v>
          </cell>
          <cell r="R1042">
            <v>999.9</v>
          </cell>
          <cell r="S1042" t="str">
            <v>Motionless as if dead, its body is faintly warm to the touch. In the distant past, it was called the cocoon of the stars.</v>
          </cell>
          <cell r="T1042" t="str">
            <v>https://raw.githubusercontent.com/PokeAPI/sprites/master/sprites/pokemon/other/official-artwork/790.png</v>
          </cell>
          <cell r="U1042" t="str">
            <v>https://raw.githubusercontent.com/PokeAPI/sprites/master/sprites/pokemon/other/official-artwork/shiny/790.png</v>
          </cell>
        </row>
        <row r="1043">
          <cell r="A1043">
            <v>791</v>
          </cell>
          <cell r="C1043" t="str">
            <v>Solgaleo</v>
          </cell>
          <cell r="D1043" t="str">
            <v>Standard</v>
          </cell>
          <cell r="E1043" t="str">
            <v>psychic</v>
          </cell>
          <cell r="F1043" t="str">
            <v>steel</v>
          </cell>
          <cell r="G1043">
            <v>137</v>
          </cell>
          <cell r="H1043">
            <v>137</v>
          </cell>
          <cell r="I1043">
            <v>107</v>
          </cell>
          <cell r="J1043">
            <v>113</v>
          </cell>
          <cell r="K1043">
            <v>89</v>
          </cell>
          <cell r="L1043">
            <v>97</v>
          </cell>
          <cell r="M1043">
            <v>680</v>
          </cell>
          <cell r="N1043" t="str">
            <v>full-metal-body</v>
          </cell>
          <cell r="Q1043">
            <v>3.4</v>
          </cell>
          <cell r="R1043">
            <v>230</v>
          </cell>
          <cell r="S1043" t="str">
            <v>It is said to live in another world. The intense light it radiates from the surface of its body can make the darkest of nights light up like midday.</v>
          </cell>
          <cell r="T1043" t="str">
            <v>https://raw.githubusercontent.com/PokeAPI/sprites/master/sprites/pokemon/other/official-artwork/791.png</v>
          </cell>
          <cell r="U1043" t="str">
            <v>https://raw.githubusercontent.com/PokeAPI/sprites/master/sprites/pokemon/other/official-artwork/shiny/791.png</v>
          </cell>
        </row>
        <row r="1044">
          <cell r="A1044">
            <v>792</v>
          </cell>
          <cell r="C1044" t="str">
            <v>Lunala</v>
          </cell>
          <cell r="D1044" t="str">
            <v>Standard</v>
          </cell>
          <cell r="E1044" t="str">
            <v>psychic</v>
          </cell>
          <cell r="F1044" t="str">
            <v>ghost</v>
          </cell>
          <cell r="G1044">
            <v>137</v>
          </cell>
          <cell r="H1044">
            <v>113</v>
          </cell>
          <cell r="I1044">
            <v>89</v>
          </cell>
          <cell r="J1044">
            <v>137</v>
          </cell>
          <cell r="K1044">
            <v>107</v>
          </cell>
          <cell r="L1044">
            <v>97</v>
          </cell>
          <cell r="M1044">
            <v>680</v>
          </cell>
          <cell r="N1044" t="str">
            <v>shadow-shield</v>
          </cell>
          <cell r="Q1044">
            <v>4</v>
          </cell>
          <cell r="R1044">
            <v>120</v>
          </cell>
          <cell r="S1044" t="str">
            <v>It is said to be a female evolution of Cosmog. When its third eye activates, away it flies to another world.</v>
          </cell>
          <cell r="T1044" t="str">
            <v>https://raw.githubusercontent.com/PokeAPI/sprites/master/sprites/pokemon/other/official-artwork/792.png</v>
          </cell>
          <cell r="U1044" t="str">
            <v>https://raw.githubusercontent.com/PokeAPI/sprites/master/sprites/pokemon/other/official-artwork/shiny/792.png</v>
          </cell>
        </row>
        <row r="1045">
          <cell r="A1045">
            <v>793</v>
          </cell>
          <cell r="C1045" t="str">
            <v>Nihilego</v>
          </cell>
          <cell r="D1045" t="str">
            <v>Standard</v>
          </cell>
          <cell r="E1045" t="str">
            <v>rock</v>
          </cell>
          <cell r="F1045" t="str">
            <v>poison</v>
          </cell>
          <cell r="G1045">
            <v>109</v>
          </cell>
          <cell r="H1045">
            <v>53</v>
          </cell>
          <cell r="I1045">
            <v>47</v>
          </cell>
          <cell r="J1045">
            <v>127</v>
          </cell>
          <cell r="K1045">
            <v>131</v>
          </cell>
          <cell r="L1045">
            <v>103</v>
          </cell>
          <cell r="M1045">
            <v>570</v>
          </cell>
          <cell r="N1045" t="str">
            <v>beast-boost</v>
          </cell>
          <cell r="Q1045">
            <v>1.2</v>
          </cell>
          <cell r="R1045">
            <v>55.5</v>
          </cell>
          <cell r="S1045" t="str">
            <v>One of several mysterious Ultra Beasts. People on the street report observing those infested by it suddenly becoming violent.</v>
          </cell>
          <cell r="T1045" t="str">
            <v>https://raw.githubusercontent.com/PokeAPI/sprites/master/sprites/pokemon/other/official-artwork/793.png</v>
          </cell>
          <cell r="U1045" t="str">
            <v>https://raw.githubusercontent.com/PokeAPI/sprites/master/sprites/pokemon/other/official-artwork/shiny/793.png</v>
          </cell>
        </row>
        <row r="1046">
          <cell r="A1046">
            <v>794</v>
          </cell>
          <cell r="C1046" t="str">
            <v>Buzzwole</v>
          </cell>
          <cell r="D1046" t="str">
            <v>Standard</v>
          </cell>
          <cell r="E1046" t="str">
            <v>bug</v>
          </cell>
          <cell r="F1046" t="str">
            <v>fighting</v>
          </cell>
          <cell r="G1046">
            <v>107</v>
          </cell>
          <cell r="H1046">
            <v>139</v>
          </cell>
          <cell r="I1046">
            <v>139</v>
          </cell>
          <cell r="J1046">
            <v>53</v>
          </cell>
          <cell r="K1046">
            <v>53</v>
          </cell>
          <cell r="L1046">
            <v>79</v>
          </cell>
          <cell r="M1046">
            <v>570</v>
          </cell>
          <cell r="N1046" t="str">
            <v>beast-boost</v>
          </cell>
          <cell r="Q1046">
            <v>2.4</v>
          </cell>
          <cell r="R1046">
            <v>333.6</v>
          </cell>
          <cell r="S1046" t="str">
            <v>This Ultra Beast appeared from another world. It shows off its body, but whether that display is a boast or a threat remains unclear.</v>
          </cell>
          <cell r="T1046" t="str">
            <v>https://raw.githubusercontent.com/PokeAPI/sprites/master/sprites/pokemon/other/official-artwork/794.png</v>
          </cell>
          <cell r="U1046" t="str">
            <v>https://raw.githubusercontent.com/PokeAPI/sprites/master/sprites/pokemon/other/official-artwork/shiny/794.png</v>
          </cell>
        </row>
        <row r="1047">
          <cell r="A1047">
            <v>795</v>
          </cell>
          <cell r="C1047" t="str">
            <v>Pheromosa</v>
          </cell>
          <cell r="D1047" t="str">
            <v>Standard</v>
          </cell>
          <cell r="E1047" t="str">
            <v>bug</v>
          </cell>
          <cell r="F1047" t="str">
            <v>fighting</v>
          </cell>
          <cell r="G1047">
            <v>71</v>
          </cell>
          <cell r="H1047">
            <v>137</v>
          </cell>
          <cell r="I1047">
            <v>37</v>
          </cell>
          <cell r="J1047">
            <v>137</v>
          </cell>
          <cell r="K1047">
            <v>37</v>
          </cell>
          <cell r="L1047">
            <v>151</v>
          </cell>
          <cell r="M1047">
            <v>570</v>
          </cell>
          <cell r="N1047" t="str">
            <v>beast-boost</v>
          </cell>
          <cell r="Q1047">
            <v>1.8</v>
          </cell>
          <cell r="R1047">
            <v>25</v>
          </cell>
          <cell r="S1047" t="str">
            <v>One of the dangerous Ultra Beasts, it has been spotted running across the land at terrific speeds.</v>
          </cell>
          <cell r="T1047" t="str">
            <v>https://raw.githubusercontent.com/PokeAPI/sprites/master/sprites/pokemon/other/official-artwork/795.png</v>
          </cell>
          <cell r="U1047" t="str">
            <v>https://raw.githubusercontent.com/PokeAPI/sprites/master/sprites/pokemon/other/official-artwork/shiny/795.png</v>
          </cell>
        </row>
        <row r="1048">
          <cell r="A1048">
            <v>796</v>
          </cell>
          <cell r="C1048" t="str">
            <v>Xurkitree</v>
          </cell>
          <cell r="D1048" t="str">
            <v>Standard</v>
          </cell>
          <cell r="E1048" t="str">
            <v>electric</v>
          </cell>
          <cell r="G1048">
            <v>83</v>
          </cell>
          <cell r="H1048">
            <v>89</v>
          </cell>
          <cell r="I1048">
            <v>71</v>
          </cell>
          <cell r="J1048">
            <v>173</v>
          </cell>
          <cell r="K1048">
            <v>71</v>
          </cell>
          <cell r="L1048">
            <v>83</v>
          </cell>
          <cell r="M1048">
            <v>570</v>
          </cell>
          <cell r="N1048" t="str">
            <v>beast-boost</v>
          </cell>
          <cell r="Q1048">
            <v>3.8</v>
          </cell>
          <cell r="R1048">
            <v>100</v>
          </cell>
          <cell r="S1048" t="str">
            <v>One of the mysterious life-forms known as Ultra Beasts. Astonishing electric shocks emanate from its entire body, according to witnesses.</v>
          </cell>
          <cell r="T1048" t="str">
            <v>https://raw.githubusercontent.com/PokeAPI/sprites/master/sprites/pokemon/other/official-artwork/796.png</v>
          </cell>
          <cell r="U1048" t="str">
            <v>https://raw.githubusercontent.com/PokeAPI/sprites/master/sprites/pokemon/other/official-artwork/shiny/796.png</v>
          </cell>
        </row>
        <row r="1049">
          <cell r="A1049">
            <v>797</v>
          </cell>
          <cell r="C1049" t="str">
            <v>Celesteela</v>
          </cell>
          <cell r="D1049" t="str">
            <v>Standard</v>
          </cell>
          <cell r="E1049" t="str">
            <v>steel</v>
          </cell>
          <cell r="F1049" t="str">
            <v>flying</v>
          </cell>
          <cell r="G1049">
            <v>97</v>
          </cell>
          <cell r="H1049">
            <v>101</v>
          </cell>
          <cell r="I1049">
            <v>103</v>
          </cell>
          <cell r="J1049">
            <v>107</v>
          </cell>
          <cell r="K1049">
            <v>101</v>
          </cell>
          <cell r="L1049">
            <v>61</v>
          </cell>
          <cell r="M1049">
            <v>570</v>
          </cell>
          <cell r="N1049" t="str">
            <v>beast-boost</v>
          </cell>
          <cell r="Q1049">
            <v>9.1999999999999993</v>
          </cell>
          <cell r="R1049">
            <v>999.9</v>
          </cell>
          <cell r="S1049" t="str">
            <v>It appeared from the Ultra Wormhole. Witnesses observed it flying across the sky at high speed.</v>
          </cell>
          <cell r="T1049" t="str">
            <v>https://raw.githubusercontent.com/PokeAPI/sprites/master/sprites/pokemon/other/official-artwork/797.png</v>
          </cell>
          <cell r="U1049" t="str">
            <v>https://raw.githubusercontent.com/PokeAPI/sprites/master/sprites/pokemon/other/official-artwork/shiny/797.png</v>
          </cell>
        </row>
        <row r="1050">
          <cell r="A1050">
            <v>798</v>
          </cell>
          <cell r="C1050" t="str">
            <v>Kartana</v>
          </cell>
          <cell r="D1050" t="str">
            <v>Standard</v>
          </cell>
          <cell r="E1050" t="str">
            <v>grass</v>
          </cell>
          <cell r="F1050" t="str">
            <v>steel</v>
          </cell>
          <cell r="G1050">
            <v>59</v>
          </cell>
          <cell r="H1050">
            <v>181</v>
          </cell>
          <cell r="I1050">
            <v>131</v>
          </cell>
          <cell r="J1050">
            <v>59</v>
          </cell>
          <cell r="K1050">
            <v>31</v>
          </cell>
          <cell r="L1050">
            <v>109</v>
          </cell>
          <cell r="M1050">
            <v>570</v>
          </cell>
          <cell r="N1050" t="str">
            <v>beast-boost</v>
          </cell>
          <cell r="Q1050">
            <v>0.3</v>
          </cell>
          <cell r="R1050">
            <v>0.1</v>
          </cell>
          <cell r="S1050" t="str">
            <v>This Ultra Beast came from the Ultra Wormhole. It seems not to attack enemies on its own, but its sharp body is a dangerous weapon in itself.</v>
          </cell>
          <cell r="T1050" t="str">
            <v>https://raw.githubusercontent.com/PokeAPI/sprites/master/sprites/pokemon/other/official-artwork/798.png</v>
          </cell>
          <cell r="U1050" t="str">
            <v>https://raw.githubusercontent.com/PokeAPI/sprites/master/sprites/pokemon/other/official-artwork/shiny/798.png</v>
          </cell>
        </row>
        <row r="1051">
          <cell r="A1051">
            <v>799</v>
          </cell>
          <cell r="C1051" t="str">
            <v>Guzzlord</v>
          </cell>
          <cell r="D1051" t="str">
            <v>Standard</v>
          </cell>
          <cell r="E1051" t="str">
            <v>dark</v>
          </cell>
          <cell r="F1051" t="str">
            <v>dragon</v>
          </cell>
          <cell r="G1051">
            <v>223</v>
          </cell>
          <cell r="H1051">
            <v>101</v>
          </cell>
          <cell r="I1051">
            <v>53</v>
          </cell>
          <cell r="J1051">
            <v>97</v>
          </cell>
          <cell r="K1051">
            <v>53</v>
          </cell>
          <cell r="L1051">
            <v>43</v>
          </cell>
          <cell r="M1051">
            <v>570</v>
          </cell>
          <cell r="N1051" t="str">
            <v>beast-boost</v>
          </cell>
          <cell r="Q1051">
            <v>5.5</v>
          </cell>
          <cell r="R1051">
            <v>888</v>
          </cell>
          <cell r="S1051" t="str">
            <v>It has gobbled mountains and swallowed whole buildings, according to reports. It’s one of the Ultra Beasts.</v>
          </cell>
          <cell r="T1051" t="str">
            <v>https://raw.githubusercontent.com/PokeAPI/sprites/master/sprites/pokemon/other/official-artwork/799.png</v>
          </cell>
          <cell r="U1051" t="str">
            <v>https://raw.githubusercontent.com/PokeAPI/sprites/master/sprites/pokemon/other/official-artwork/shiny/799.png</v>
          </cell>
        </row>
        <row r="1052">
          <cell r="A1052">
            <v>800</v>
          </cell>
          <cell r="C1052" t="str">
            <v>Necrozma</v>
          </cell>
          <cell r="D1052" t="str">
            <v>Standard</v>
          </cell>
          <cell r="E1052" t="str">
            <v>psychic</v>
          </cell>
          <cell r="G1052">
            <v>97</v>
          </cell>
          <cell r="H1052">
            <v>107</v>
          </cell>
          <cell r="I1052">
            <v>101</v>
          </cell>
          <cell r="J1052">
            <v>127</v>
          </cell>
          <cell r="K1052">
            <v>89</v>
          </cell>
          <cell r="L1052">
            <v>79</v>
          </cell>
          <cell r="M1052">
            <v>600</v>
          </cell>
          <cell r="N1052" t="str">
            <v>prism-armor</v>
          </cell>
          <cell r="Q1052">
            <v>2.4</v>
          </cell>
          <cell r="R1052">
            <v>230</v>
          </cell>
          <cell r="S1052" t="str">
            <v>Reminiscent of the Ultra Beasts, this life-form, apparently asleep underground, is thought to have come from another world in ancient times.</v>
          </cell>
          <cell r="T1052" t="str">
            <v>https://raw.githubusercontent.com/PokeAPI/sprites/master/sprites/pokemon/other/official-artwork/800.png</v>
          </cell>
          <cell r="U1052" t="str">
            <v>https://raw.githubusercontent.com/PokeAPI/sprites/master/sprites/pokemon/other/official-artwork/shiny/800.png</v>
          </cell>
        </row>
        <row r="1053">
          <cell r="A1053">
            <v>800</v>
          </cell>
          <cell r="C1053" t="str">
            <v>Necrozma Dawn</v>
          </cell>
          <cell r="D1053" t="str">
            <v>Other</v>
          </cell>
          <cell r="E1053" t="str">
            <v>psychic</v>
          </cell>
          <cell r="F1053" t="str">
            <v>ghost</v>
          </cell>
          <cell r="G1053">
            <v>97</v>
          </cell>
          <cell r="H1053">
            <v>113</v>
          </cell>
          <cell r="I1053">
            <v>109</v>
          </cell>
          <cell r="J1053">
            <v>157</v>
          </cell>
          <cell r="K1053">
            <v>127</v>
          </cell>
          <cell r="L1053">
            <v>77</v>
          </cell>
          <cell r="M1053">
            <v>680</v>
          </cell>
          <cell r="N1053" t="str">
            <v>prism-armor</v>
          </cell>
          <cell r="Q1053">
            <v>4.2</v>
          </cell>
          <cell r="R1053">
            <v>350</v>
          </cell>
          <cell r="S1053" t="str">
            <v>Reminiscent of the Ultra Beasts, this life-form, apparently asleep underground, is thought to have come from another world in ancient times.</v>
          </cell>
          <cell r="T1053" t="str">
            <v>https://raw.githubusercontent.com/PokeAPI/sprites/master/sprites/pokemon/other/official-artwork/10156.png</v>
          </cell>
          <cell r="U1053" t="str">
            <v>https://raw.githubusercontent.com/PokeAPI/sprites/master/sprites/pokemon/other/official-artwork/shiny/10156.png</v>
          </cell>
        </row>
        <row r="1054">
          <cell r="A1054">
            <v>800</v>
          </cell>
          <cell r="C1054" t="str">
            <v>Necrozma Dusk</v>
          </cell>
          <cell r="D1054" t="str">
            <v>Other</v>
          </cell>
          <cell r="E1054" t="str">
            <v>psychic</v>
          </cell>
          <cell r="F1054" t="str">
            <v>steel</v>
          </cell>
          <cell r="G1054">
            <v>97</v>
          </cell>
          <cell r="H1054">
            <v>157</v>
          </cell>
          <cell r="I1054">
            <v>127</v>
          </cell>
          <cell r="J1054">
            <v>113</v>
          </cell>
          <cell r="K1054">
            <v>109</v>
          </cell>
          <cell r="L1054">
            <v>77</v>
          </cell>
          <cell r="M1054">
            <v>680</v>
          </cell>
          <cell r="N1054" t="str">
            <v>prism-armor</v>
          </cell>
          <cell r="Q1054">
            <v>3.8</v>
          </cell>
          <cell r="R1054">
            <v>460</v>
          </cell>
          <cell r="S1054" t="str">
            <v>Reminiscent of the Ultra Beasts, this life-form, apparently asleep underground, is thought to have come from another world in ancient times.</v>
          </cell>
          <cell r="T1054" t="str">
            <v>https://raw.githubusercontent.com/PokeAPI/sprites/master/sprites/pokemon/other/official-artwork/10155.png</v>
          </cell>
          <cell r="U1054" t="str">
            <v>https://raw.githubusercontent.com/PokeAPI/sprites/master/sprites/pokemon/other/official-artwork/shiny/10155.png</v>
          </cell>
        </row>
        <row r="1055">
          <cell r="A1055">
            <v>800</v>
          </cell>
          <cell r="C1055" t="str">
            <v>Necrozma Ultra</v>
          </cell>
          <cell r="D1055" t="str">
            <v>Other</v>
          </cell>
          <cell r="E1055" t="str">
            <v>psychic</v>
          </cell>
          <cell r="F1055" t="str">
            <v>dragon</v>
          </cell>
          <cell r="G1055">
            <v>97</v>
          </cell>
          <cell r="H1055">
            <v>167</v>
          </cell>
          <cell r="I1055">
            <v>97</v>
          </cell>
          <cell r="J1055">
            <v>167</v>
          </cell>
          <cell r="K1055">
            <v>97</v>
          </cell>
          <cell r="L1055">
            <v>129</v>
          </cell>
          <cell r="M1055">
            <v>754</v>
          </cell>
          <cell r="N1055" t="str">
            <v>neuroforce</v>
          </cell>
          <cell r="Q1055">
            <v>7.5</v>
          </cell>
          <cell r="R1055">
            <v>230</v>
          </cell>
          <cell r="S1055" t="str">
            <v>Reminiscent of the Ultra Beasts, this life-form, apparently asleep underground, is thought to have come from another world in ancient times.</v>
          </cell>
          <cell r="T1055" t="str">
            <v>https://raw.githubusercontent.com/PokeAPI/sprites/master/sprites/pokemon/other/official-artwork/10157.png</v>
          </cell>
          <cell r="U1055" t="str">
            <v>https://raw.githubusercontent.com/PokeAPI/sprites/master/sprites/pokemon/other/official-artwork/shiny/10157.png</v>
          </cell>
        </row>
        <row r="1056">
          <cell r="A1056">
            <v>801</v>
          </cell>
          <cell r="C1056" t="str">
            <v>Magearna</v>
          </cell>
          <cell r="D1056" t="str">
            <v>Standard</v>
          </cell>
          <cell r="E1056" t="str">
            <v>steel</v>
          </cell>
          <cell r="F1056" t="str">
            <v>fairy</v>
          </cell>
          <cell r="G1056">
            <v>80</v>
          </cell>
          <cell r="H1056">
            <v>95</v>
          </cell>
          <cell r="I1056">
            <v>115</v>
          </cell>
          <cell r="J1056">
            <v>130</v>
          </cell>
          <cell r="K1056">
            <v>115</v>
          </cell>
          <cell r="L1056">
            <v>65</v>
          </cell>
          <cell r="M1056">
            <v>600</v>
          </cell>
          <cell r="N1056" t="str">
            <v>soul-heart</v>
          </cell>
          <cell r="Q1056">
            <v>1</v>
          </cell>
          <cell r="R1056">
            <v>80.5</v>
          </cell>
          <cell r="S1056" t="str">
            <v>This artificial Pokémon, constructed more than 500 years ago, can understand human speech but cannot itself speak.</v>
          </cell>
          <cell r="T1056" t="str">
            <v>https://raw.githubusercontent.com/PokeAPI/sprites/master/sprites/pokemon/other/official-artwork/801.png</v>
          </cell>
          <cell r="U1056" t="str">
            <v>https://raw.githubusercontent.com/PokeAPI/sprites/master/sprites/pokemon/other/official-artwork/shiny/801.png</v>
          </cell>
        </row>
        <row r="1057">
          <cell r="A1057">
            <v>801</v>
          </cell>
          <cell r="C1057" t="str">
            <v>Magearna Mega</v>
          </cell>
          <cell r="D1057" t="str">
            <v>Mega</v>
          </cell>
          <cell r="E1057" t="str">
            <v>steel</v>
          </cell>
          <cell r="F1057" t="str">
            <v>fairy</v>
          </cell>
          <cell r="G1057">
            <v>80</v>
          </cell>
          <cell r="H1057">
            <v>125</v>
          </cell>
          <cell r="I1057">
            <v>115</v>
          </cell>
          <cell r="J1057">
            <v>170</v>
          </cell>
          <cell r="K1057">
            <v>115</v>
          </cell>
          <cell r="L1057">
            <v>95</v>
          </cell>
          <cell r="M1057">
            <v>700</v>
          </cell>
          <cell r="Q1057">
            <v>1.3</v>
          </cell>
          <cell r="R1057">
            <v>248.1</v>
          </cell>
          <cell r="S1057" t="str">
            <v>This artificial Pokémon, constructed more than 500 years ago, can understand human speech but cannot itself speak.</v>
          </cell>
        </row>
        <row r="1058">
          <cell r="A1058">
            <v>801</v>
          </cell>
          <cell r="C1058" t="str">
            <v>Magearna Original</v>
          </cell>
          <cell r="D1058" t="str">
            <v>Other</v>
          </cell>
          <cell r="E1058" t="str">
            <v>steel</v>
          </cell>
          <cell r="F1058" t="str">
            <v>fairy</v>
          </cell>
          <cell r="G1058">
            <v>80</v>
          </cell>
          <cell r="H1058">
            <v>95</v>
          </cell>
          <cell r="I1058">
            <v>115</v>
          </cell>
          <cell r="J1058">
            <v>130</v>
          </cell>
          <cell r="K1058">
            <v>115</v>
          </cell>
          <cell r="L1058">
            <v>65</v>
          </cell>
          <cell r="M1058">
            <v>600</v>
          </cell>
          <cell r="N1058" t="str">
            <v>soul-heart</v>
          </cell>
          <cell r="Q1058">
            <v>1</v>
          </cell>
          <cell r="R1058">
            <v>80.5</v>
          </cell>
          <cell r="S1058" t="str">
            <v>This artificial Pokémon, constructed more than 500 years ago, can understand human speech but cannot itself speak.</v>
          </cell>
          <cell r="T1058" t="str">
            <v>https://raw.githubusercontent.com/PokeAPI/sprites/master/sprites/pokemon/other/official-artwork/10147.png</v>
          </cell>
          <cell r="U1058" t="str">
            <v>https://raw.githubusercontent.com/PokeAPI/sprites/master/sprites/pokemon/other/official-artwork/shiny/10147.png</v>
          </cell>
        </row>
        <row r="1059">
          <cell r="A1059">
            <v>801</v>
          </cell>
          <cell r="C1059" t="str">
            <v>Magearna Original Mega</v>
          </cell>
          <cell r="D1059" t="str">
            <v>Mega</v>
          </cell>
          <cell r="E1059" t="str">
            <v>steel</v>
          </cell>
          <cell r="F1059" t="str">
            <v>fairy</v>
          </cell>
          <cell r="G1059">
            <v>80</v>
          </cell>
          <cell r="H1059">
            <v>125</v>
          </cell>
          <cell r="I1059">
            <v>115</v>
          </cell>
          <cell r="J1059">
            <v>170</v>
          </cell>
          <cell r="K1059">
            <v>115</v>
          </cell>
          <cell r="L1059">
            <v>95</v>
          </cell>
          <cell r="M1059">
            <v>700</v>
          </cell>
          <cell r="Q1059">
            <v>1.3</v>
          </cell>
          <cell r="R1059">
            <v>248.1</v>
          </cell>
          <cell r="S1059" t="str">
            <v>This artificial Pokémon, constructed more than 500 years ago, can understand human speech but cannot itself speak.</v>
          </cell>
        </row>
        <row r="1060">
          <cell r="A1060">
            <v>802</v>
          </cell>
          <cell r="C1060" t="str">
            <v>Marshadow</v>
          </cell>
          <cell r="D1060" t="str">
            <v>Standard</v>
          </cell>
          <cell r="E1060" t="str">
            <v>fighting</v>
          </cell>
          <cell r="F1060" t="str">
            <v>ghost</v>
          </cell>
          <cell r="G1060">
            <v>90</v>
          </cell>
          <cell r="H1060">
            <v>125</v>
          </cell>
          <cell r="I1060">
            <v>80</v>
          </cell>
          <cell r="J1060">
            <v>90</v>
          </cell>
          <cell r="K1060">
            <v>90</v>
          </cell>
          <cell r="L1060">
            <v>125</v>
          </cell>
          <cell r="M1060">
            <v>600</v>
          </cell>
          <cell r="N1060" t="str">
            <v>technician</v>
          </cell>
          <cell r="Q1060">
            <v>0.7</v>
          </cell>
          <cell r="R1060">
            <v>22.2</v>
          </cell>
          <cell r="S1060" t="str">
            <v>Able to conceal itself in shadows, it never appears before humans, so its very existence was the stuff of myth.</v>
          </cell>
          <cell r="T1060" t="str">
            <v>https://raw.githubusercontent.com/PokeAPI/sprites/master/sprites/pokemon/other/official-artwork/802.png</v>
          </cell>
          <cell r="U1060" t="str">
            <v>https://raw.githubusercontent.com/PokeAPI/sprites/master/sprites/pokemon/other/official-artwork/shiny/802.png</v>
          </cell>
        </row>
        <row r="1061">
          <cell r="A1061">
            <v>803</v>
          </cell>
          <cell r="C1061" t="str">
            <v>Poipole</v>
          </cell>
          <cell r="D1061" t="str">
            <v>Standard</v>
          </cell>
          <cell r="E1061" t="str">
            <v>poison</v>
          </cell>
          <cell r="G1061">
            <v>67</v>
          </cell>
          <cell r="H1061">
            <v>73</v>
          </cell>
          <cell r="I1061">
            <v>67</v>
          </cell>
          <cell r="J1061">
            <v>73</v>
          </cell>
          <cell r="K1061">
            <v>67</v>
          </cell>
          <cell r="L1061">
            <v>73</v>
          </cell>
          <cell r="M1061">
            <v>420</v>
          </cell>
          <cell r="N1061" t="str">
            <v>beast-boost</v>
          </cell>
          <cell r="Q1061">
            <v>0.6</v>
          </cell>
          <cell r="R1061">
            <v>1.8</v>
          </cell>
          <cell r="S1061" t="str">
            <v>This Ultra Beast is well enough liked to be chosen as a first partner in its own world.</v>
          </cell>
          <cell r="T1061" t="str">
            <v>https://raw.githubusercontent.com/PokeAPI/sprites/master/sprites/pokemon/other/official-artwork/803.png</v>
          </cell>
          <cell r="U1061" t="str">
            <v>https://raw.githubusercontent.com/PokeAPI/sprites/master/sprites/pokemon/other/official-artwork/shiny/803.png</v>
          </cell>
        </row>
        <row r="1062">
          <cell r="A1062">
            <v>804</v>
          </cell>
          <cell r="C1062" t="str">
            <v>Naganadel</v>
          </cell>
          <cell r="D1062" t="str">
            <v>Standard</v>
          </cell>
          <cell r="E1062" t="str">
            <v>poison</v>
          </cell>
          <cell r="F1062" t="str">
            <v>dragon</v>
          </cell>
          <cell r="G1062">
            <v>73</v>
          </cell>
          <cell r="H1062">
            <v>73</v>
          </cell>
          <cell r="I1062">
            <v>73</v>
          </cell>
          <cell r="J1062">
            <v>127</v>
          </cell>
          <cell r="K1062">
            <v>73</v>
          </cell>
          <cell r="L1062">
            <v>121</v>
          </cell>
          <cell r="M1062">
            <v>540</v>
          </cell>
          <cell r="N1062" t="str">
            <v>beast-boost</v>
          </cell>
          <cell r="Q1062">
            <v>3.6</v>
          </cell>
          <cell r="R1062">
            <v>150</v>
          </cell>
          <cell r="S1062" t="str">
            <v>It stores hundreds of liters of poisonous liquid inside its body. It is one of the organisms known as UBs.</v>
          </cell>
          <cell r="T1062" t="str">
            <v>https://raw.githubusercontent.com/PokeAPI/sprites/master/sprites/pokemon/other/official-artwork/804.png</v>
          </cell>
          <cell r="U1062" t="str">
            <v>https://raw.githubusercontent.com/PokeAPI/sprites/master/sprites/pokemon/other/official-artwork/shiny/804.png</v>
          </cell>
        </row>
        <row r="1063">
          <cell r="A1063">
            <v>805</v>
          </cell>
          <cell r="C1063" t="str">
            <v>Stakataka</v>
          </cell>
          <cell r="D1063" t="str">
            <v>Standard</v>
          </cell>
          <cell r="E1063" t="str">
            <v>rock</v>
          </cell>
          <cell r="F1063" t="str">
            <v>steel</v>
          </cell>
          <cell r="G1063">
            <v>61</v>
          </cell>
          <cell r="H1063">
            <v>131</v>
          </cell>
          <cell r="I1063">
            <v>211</v>
          </cell>
          <cell r="J1063">
            <v>53</v>
          </cell>
          <cell r="K1063">
            <v>101</v>
          </cell>
          <cell r="L1063">
            <v>13</v>
          </cell>
          <cell r="M1063">
            <v>570</v>
          </cell>
          <cell r="N1063" t="str">
            <v>beast-boost</v>
          </cell>
          <cell r="Q1063">
            <v>5.5</v>
          </cell>
          <cell r="R1063">
            <v>820</v>
          </cell>
          <cell r="S1063" t="str">
            <v>It appeared from an Ultra Wormhole. Each one appears to be made up of many life-forms stacked one on top of each other.</v>
          </cell>
          <cell r="T1063" t="str">
            <v>https://raw.githubusercontent.com/PokeAPI/sprites/master/sprites/pokemon/other/official-artwork/805.png</v>
          </cell>
          <cell r="U1063" t="str">
            <v>https://raw.githubusercontent.com/PokeAPI/sprites/master/sprites/pokemon/other/official-artwork/shiny/805.png</v>
          </cell>
        </row>
        <row r="1064">
          <cell r="A1064">
            <v>806</v>
          </cell>
          <cell r="C1064" t="str">
            <v>Blacephalon</v>
          </cell>
          <cell r="D1064" t="str">
            <v>Standard</v>
          </cell>
          <cell r="E1064" t="str">
            <v>fire</v>
          </cell>
          <cell r="F1064" t="str">
            <v>ghost</v>
          </cell>
          <cell r="G1064">
            <v>53</v>
          </cell>
          <cell r="H1064">
            <v>127</v>
          </cell>
          <cell r="I1064">
            <v>53</v>
          </cell>
          <cell r="J1064">
            <v>151</v>
          </cell>
          <cell r="K1064">
            <v>79</v>
          </cell>
          <cell r="L1064">
            <v>107</v>
          </cell>
          <cell r="M1064">
            <v>570</v>
          </cell>
          <cell r="N1064" t="str">
            <v>beast-boost</v>
          </cell>
          <cell r="Q1064">
            <v>1.8</v>
          </cell>
          <cell r="R1064">
            <v>13</v>
          </cell>
          <cell r="S1064" t="str">
            <v>It slithers toward people. Then, without warning, it triggers the explosion of its own head. It’s apparently one kind of Ultra Beast.</v>
          </cell>
          <cell r="T1064" t="str">
            <v>https://raw.githubusercontent.com/PokeAPI/sprites/master/sprites/pokemon/other/official-artwork/806.png</v>
          </cell>
          <cell r="U1064" t="str">
            <v>https://raw.githubusercontent.com/PokeAPI/sprites/master/sprites/pokemon/other/official-artwork/shiny/806.png</v>
          </cell>
        </row>
        <row r="1065">
          <cell r="A1065">
            <v>807</v>
          </cell>
          <cell r="C1065" t="str">
            <v>Zeraora</v>
          </cell>
          <cell r="D1065" t="str">
            <v>Standard</v>
          </cell>
          <cell r="E1065" t="str">
            <v>electric</v>
          </cell>
          <cell r="G1065">
            <v>88</v>
          </cell>
          <cell r="H1065">
            <v>112</v>
          </cell>
          <cell r="I1065">
            <v>75</v>
          </cell>
          <cell r="J1065">
            <v>102</v>
          </cell>
          <cell r="K1065">
            <v>80</v>
          </cell>
          <cell r="L1065">
            <v>143</v>
          </cell>
          <cell r="M1065">
            <v>600</v>
          </cell>
          <cell r="N1065" t="str">
            <v>volt-absorb</v>
          </cell>
          <cell r="Q1065">
            <v>1.5</v>
          </cell>
          <cell r="R1065">
            <v>44.5</v>
          </cell>
          <cell r="S1065" t="str">
            <v>It electrifies its claws and tears its opponents apart with them. Even if they dodge its attack, they’ll be electrocuted by the flying sparks.</v>
          </cell>
          <cell r="T1065" t="str">
            <v>https://raw.githubusercontent.com/PokeAPI/sprites/master/sprites/pokemon/other/official-artwork/807.png</v>
          </cell>
          <cell r="U1065" t="str">
            <v>https://raw.githubusercontent.com/PokeAPI/sprites/master/sprites/pokemon/other/official-artwork/shiny/807.png</v>
          </cell>
        </row>
        <row r="1066">
          <cell r="A1066">
            <v>807</v>
          </cell>
          <cell r="C1066" t="str">
            <v>Zeraora Mega</v>
          </cell>
          <cell r="D1066" t="str">
            <v>Mega</v>
          </cell>
          <cell r="E1066" t="str">
            <v>electric</v>
          </cell>
          <cell r="G1066">
            <v>88</v>
          </cell>
          <cell r="H1066">
            <v>157</v>
          </cell>
          <cell r="I1066">
            <v>75</v>
          </cell>
          <cell r="J1066">
            <v>147</v>
          </cell>
          <cell r="K1066">
            <v>80</v>
          </cell>
          <cell r="L1066">
            <v>153</v>
          </cell>
          <cell r="M1066">
            <v>700</v>
          </cell>
          <cell r="Q1066">
            <v>1.5</v>
          </cell>
          <cell r="R1066">
            <v>44.5</v>
          </cell>
          <cell r="S1066" t="str">
            <v>It electrifies its claws and tears its opponents apart with them. Even if they dodge its attack, they’ll be electrocuted by the flying sparks.</v>
          </cell>
        </row>
        <row r="1067">
          <cell r="A1067">
            <v>808</v>
          </cell>
          <cell r="C1067" t="str">
            <v>Meltan</v>
          </cell>
          <cell r="D1067" t="str">
            <v>Standard</v>
          </cell>
          <cell r="E1067" t="str">
            <v>steel</v>
          </cell>
          <cell r="G1067">
            <v>46</v>
          </cell>
          <cell r="H1067">
            <v>65</v>
          </cell>
          <cell r="I1067">
            <v>65</v>
          </cell>
          <cell r="J1067">
            <v>55</v>
          </cell>
          <cell r="K1067">
            <v>35</v>
          </cell>
          <cell r="L1067">
            <v>34</v>
          </cell>
          <cell r="M1067">
            <v>300</v>
          </cell>
          <cell r="N1067" t="str">
            <v>magnet-pull</v>
          </cell>
          <cell r="Q1067">
            <v>0.2</v>
          </cell>
          <cell r="R1067">
            <v>8</v>
          </cell>
          <cell r="S1067" t="str">
            <v>It melts particles of iron and other metals found in the subsoil, so it can absorb them into its body of molten steel.</v>
          </cell>
          <cell r="T1067" t="str">
            <v>https://raw.githubusercontent.com/PokeAPI/sprites/master/sprites/pokemon/other/official-artwork/808.png</v>
          </cell>
          <cell r="U1067" t="str">
            <v>https://raw.githubusercontent.com/PokeAPI/sprites/master/sprites/pokemon/other/official-artwork/shiny/808.png</v>
          </cell>
        </row>
        <row r="1068">
          <cell r="A1068">
            <v>809</v>
          </cell>
          <cell r="C1068" t="str">
            <v>Melmetal</v>
          </cell>
          <cell r="D1068" t="str">
            <v>Standard</v>
          </cell>
          <cell r="E1068" t="str">
            <v>steel</v>
          </cell>
          <cell r="G1068">
            <v>135</v>
          </cell>
          <cell r="H1068">
            <v>143</v>
          </cell>
          <cell r="I1068">
            <v>143</v>
          </cell>
          <cell r="J1068">
            <v>80</v>
          </cell>
          <cell r="K1068">
            <v>65</v>
          </cell>
          <cell r="L1068">
            <v>34</v>
          </cell>
          <cell r="M1068">
            <v>600</v>
          </cell>
          <cell r="N1068" t="str">
            <v>iron-fist</v>
          </cell>
          <cell r="Q1068">
            <v>2.5</v>
          </cell>
          <cell r="R1068">
            <v>800</v>
          </cell>
          <cell r="S1068" t="str">
            <v>Revered long ago for its capacity to create iron from nothing, for some reason it has come back to life after 3,000 years.</v>
          </cell>
          <cell r="T1068" t="str">
            <v>https://raw.githubusercontent.com/PokeAPI/sprites/master/sprites/pokemon/other/official-artwork/809.png</v>
          </cell>
          <cell r="U1068" t="str">
            <v>https://raw.githubusercontent.com/PokeAPI/sprites/master/sprites/pokemon/other/official-artwork/shiny/809.png</v>
          </cell>
        </row>
        <row r="1069">
          <cell r="A1069">
            <v>809</v>
          </cell>
          <cell r="C1069" t="str">
            <v>Melmetal Gmax</v>
          </cell>
          <cell r="D1069" t="str">
            <v>Gigantamax</v>
          </cell>
          <cell r="E1069" t="str">
            <v>steel</v>
          </cell>
          <cell r="G1069">
            <v>135</v>
          </cell>
          <cell r="H1069">
            <v>143</v>
          </cell>
          <cell r="I1069">
            <v>143</v>
          </cell>
          <cell r="J1069">
            <v>80</v>
          </cell>
          <cell r="K1069">
            <v>65</v>
          </cell>
          <cell r="L1069">
            <v>34</v>
          </cell>
          <cell r="M1069">
            <v>600</v>
          </cell>
          <cell r="N1069" t="str">
            <v>iron-fist</v>
          </cell>
          <cell r="Q1069">
            <v>25</v>
          </cell>
          <cell r="R1069">
            <v>1000</v>
          </cell>
          <cell r="S1069" t="str">
            <v>Revered long ago for its capacity to create iron from nothing, for some reason it has come back to life after 3,000 years.</v>
          </cell>
          <cell r="T1069" t="str">
            <v>https://raw.githubusercontent.com/PokeAPI/sprites/master/sprites/pokemon/other/official-artwork/10208.png</v>
          </cell>
          <cell r="U1069" t="str">
            <v>https://raw.githubusercontent.com/PokeAPI/sprites/master/sprites/pokemon/other/official-artwork/shiny/10208.png</v>
          </cell>
        </row>
        <row r="1070">
          <cell r="A1070">
            <v>810</v>
          </cell>
          <cell r="C1070" t="str">
            <v>Grookey</v>
          </cell>
          <cell r="D1070" t="str">
            <v>Standard</v>
          </cell>
          <cell r="E1070" t="str">
            <v>grass</v>
          </cell>
          <cell r="G1070">
            <v>50</v>
          </cell>
          <cell r="H1070">
            <v>65</v>
          </cell>
          <cell r="I1070">
            <v>50</v>
          </cell>
          <cell r="J1070">
            <v>40</v>
          </cell>
          <cell r="K1070">
            <v>40</v>
          </cell>
          <cell r="L1070">
            <v>65</v>
          </cell>
          <cell r="M1070">
            <v>310</v>
          </cell>
          <cell r="N1070" t="str">
            <v>overgrow</v>
          </cell>
          <cell r="P1070" t="str">
            <v>grassy-surge</v>
          </cell>
          <cell r="Q1070">
            <v>0.3</v>
          </cell>
          <cell r="R1070">
            <v>5</v>
          </cell>
          <cell r="S1070" t="str">
            <v>When it uses its special stick to strike up a beat, the sound waves produced carry revitalizing energy to the plants and flowers in the area.</v>
          </cell>
          <cell r="T1070" t="str">
            <v>https://raw.githubusercontent.com/PokeAPI/sprites/master/sprites/pokemon/other/official-artwork/810.png</v>
          </cell>
          <cell r="U1070" t="str">
            <v>https://raw.githubusercontent.com/PokeAPI/sprites/master/sprites/pokemon/other/official-artwork/shiny/810.png</v>
          </cell>
        </row>
        <row r="1071">
          <cell r="A1071">
            <v>811</v>
          </cell>
          <cell r="C1071" t="str">
            <v>Thwackey</v>
          </cell>
          <cell r="D1071" t="str">
            <v>Standard</v>
          </cell>
          <cell r="E1071" t="str">
            <v>grass</v>
          </cell>
          <cell r="G1071">
            <v>70</v>
          </cell>
          <cell r="H1071">
            <v>85</v>
          </cell>
          <cell r="I1071">
            <v>70</v>
          </cell>
          <cell r="J1071">
            <v>55</v>
          </cell>
          <cell r="K1071">
            <v>60</v>
          </cell>
          <cell r="L1071">
            <v>80</v>
          </cell>
          <cell r="M1071">
            <v>420</v>
          </cell>
          <cell r="N1071" t="str">
            <v>overgrow</v>
          </cell>
          <cell r="P1071" t="str">
            <v>grassy-surge</v>
          </cell>
          <cell r="Q1071">
            <v>0.7</v>
          </cell>
          <cell r="R1071">
            <v>14</v>
          </cell>
          <cell r="S1071" t="str">
            <v>The faster a Thwackey can beat out a rhythm with its two sticks, the more respect it wins from its peers.</v>
          </cell>
          <cell r="T1071" t="str">
            <v>https://raw.githubusercontent.com/PokeAPI/sprites/master/sprites/pokemon/other/official-artwork/811.png</v>
          </cell>
          <cell r="U1071" t="str">
            <v>https://raw.githubusercontent.com/PokeAPI/sprites/master/sprites/pokemon/other/official-artwork/shiny/811.png</v>
          </cell>
        </row>
        <row r="1072">
          <cell r="A1072">
            <v>812</v>
          </cell>
          <cell r="C1072" t="str">
            <v>Rillaboom</v>
          </cell>
          <cell r="D1072" t="str">
            <v>Standard</v>
          </cell>
          <cell r="E1072" t="str">
            <v>grass</v>
          </cell>
          <cell r="G1072">
            <v>100</v>
          </cell>
          <cell r="H1072">
            <v>125</v>
          </cell>
          <cell r="I1072">
            <v>90</v>
          </cell>
          <cell r="J1072">
            <v>60</v>
          </cell>
          <cell r="K1072">
            <v>70</v>
          </cell>
          <cell r="L1072">
            <v>85</v>
          </cell>
          <cell r="M1072">
            <v>530</v>
          </cell>
          <cell r="N1072" t="str">
            <v>overgrow</v>
          </cell>
          <cell r="P1072" t="str">
            <v>grassy-surge</v>
          </cell>
          <cell r="Q1072">
            <v>2.1</v>
          </cell>
          <cell r="R1072">
            <v>90</v>
          </cell>
          <cell r="S1072" t="str">
            <v>By drumming, it taps into the power of its special tree stump. The roots of the stump follow its direction in battle.</v>
          </cell>
          <cell r="T1072" t="str">
            <v>https://raw.githubusercontent.com/PokeAPI/sprites/master/sprites/pokemon/other/official-artwork/812.png</v>
          </cell>
          <cell r="U1072" t="str">
            <v>https://raw.githubusercontent.com/PokeAPI/sprites/master/sprites/pokemon/other/official-artwork/shiny/812.png</v>
          </cell>
        </row>
        <row r="1073">
          <cell r="A1073">
            <v>812</v>
          </cell>
          <cell r="C1073" t="str">
            <v>Rillaboom Gmax</v>
          </cell>
          <cell r="D1073" t="str">
            <v>Gigantamax</v>
          </cell>
          <cell r="E1073" t="str">
            <v>grass</v>
          </cell>
          <cell r="G1073">
            <v>100</v>
          </cell>
          <cell r="H1073">
            <v>125</v>
          </cell>
          <cell r="I1073">
            <v>90</v>
          </cell>
          <cell r="J1073">
            <v>60</v>
          </cell>
          <cell r="K1073">
            <v>70</v>
          </cell>
          <cell r="L1073">
            <v>85</v>
          </cell>
          <cell r="M1073">
            <v>530</v>
          </cell>
          <cell r="N1073" t="str">
            <v>overgrow</v>
          </cell>
          <cell r="P1073" t="str">
            <v>grassy-surge</v>
          </cell>
          <cell r="Q1073">
            <v>28</v>
          </cell>
          <cell r="R1073">
            <v>1000</v>
          </cell>
          <cell r="S1073" t="str">
            <v>By drumming, it taps into the power of its special tree stump. The roots of the stump follow its direction in battle.</v>
          </cell>
          <cell r="T1073" t="str">
            <v>https://raw.githubusercontent.com/PokeAPI/sprites/master/sprites/pokemon/other/official-artwork/10209.png</v>
          </cell>
          <cell r="U1073" t="str">
            <v>https://raw.githubusercontent.com/PokeAPI/sprites/master/sprites/pokemon/other/official-artwork/shiny/10209.png</v>
          </cell>
        </row>
        <row r="1074">
          <cell r="A1074">
            <v>813</v>
          </cell>
          <cell r="C1074" t="str">
            <v>Scorbunny</v>
          </cell>
          <cell r="D1074" t="str">
            <v>Standard</v>
          </cell>
          <cell r="E1074" t="str">
            <v>fire</v>
          </cell>
          <cell r="G1074">
            <v>50</v>
          </cell>
          <cell r="H1074">
            <v>71</v>
          </cell>
          <cell r="I1074">
            <v>40</v>
          </cell>
          <cell r="J1074">
            <v>40</v>
          </cell>
          <cell r="K1074">
            <v>40</v>
          </cell>
          <cell r="L1074">
            <v>69</v>
          </cell>
          <cell r="M1074">
            <v>310</v>
          </cell>
          <cell r="N1074" t="str">
            <v>blaze</v>
          </cell>
          <cell r="P1074" t="str">
            <v>libero</v>
          </cell>
          <cell r="Q1074">
            <v>0.3</v>
          </cell>
          <cell r="R1074">
            <v>4.5</v>
          </cell>
          <cell r="S1074" t="str">
            <v>A warm-up of running around gets fire energy coursing through this Pokémon’s body. Once that happens, it’s ready to fight at full power.</v>
          </cell>
          <cell r="T1074" t="str">
            <v>https://raw.githubusercontent.com/PokeAPI/sprites/master/sprites/pokemon/other/official-artwork/813.png</v>
          </cell>
          <cell r="U1074" t="str">
            <v>https://raw.githubusercontent.com/PokeAPI/sprites/master/sprites/pokemon/other/official-artwork/shiny/813.png</v>
          </cell>
        </row>
        <row r="1075">
          <cell r="A1075">
            <v>814</v>
          </cell>
          <cell r="C1075" t="str">
            <v>Raboot</v>
          </cell>
          <cell r="D1075" t="str">
            <v>Standard</v>
          </cell>
          <cell r="E1075" t="str">
            <v>fire</v>
          </cell>
          <cell r="G1075">
            <v>65</v>
          </cell>
          <cell r="H1075">
            <v>86</v>
          </cell>
          <cell r="I1075">
            <v>60</v>
          </cell>
          <cell r="J1075">
            <v>55</v>
          </cell>
          <cell r="K1075">
            <v>60</v>
          </cell>
          <cell r="L1075">
            <v>94</v>
          </cell>
          <cell r="M1075">
            <v>420</v>
          </cell>
          <cell r="N1075" t="str">
            <v>blaze</v>
          </cell>
          <cell r="P1075" t="str">
            <v>libero</v>
          </cell>
          <cell r="Q1075">
            <v>0.6</v>
          </cell>
          <cell r="R1075">
            <v>9</v>
          </cell>
          <cell r="S1075" t="str">
            <v>Its thick and fluffy fur protects it from the cold and enables it to use hotter fire moves.</v>
          </cell>
          <cell r="T1075" t="str">
            <v>https://raw.githubusercontent.com/PokeAPI/sprites/master/sprites/pokemon/other/official-artwork/814.png</v>
          </cell>
          <cell r="U1075" t="str">
            <v>https://raw.githubusercontent.com/PokeAPI/sprites/master/sprites/pokemon/other/official-artwork/shiny/814.png</v>
          </cell>
        </row>
        <row r="1076">
          <cell r="A1076">
            <v>815</v>
          </cell>
          <cell r="C1076" t="str">
            <v>Cinderace</v>
          </cell>
          <cell r="D1076" t="str">
            <v>Standard</v>
          </cell>
          <cell r="E1076" t="str">
            <v>fire</v>
          </cell>
          <cell r="G1076">
            <v>80</v>
          </cell>
          <cell r="H1076">
            <v>116</v>
          </cell>
          <cell r="I1076">
            <v>75</v>
          </cell>
          <cell r="J1076">
            <v>65</v>
          </cell>
          <cell r="K1076">
            <v>75</v>
          </cell>
          <cell r="L1076">
            <v>119</v>
          </cell>
          <cell r="M1076">
            <v>530</v>
          </cell>
          <cell r="N1076" t="str">
            <v>blaze</v>
          </cell>
          <cell r="P1076" t="str">
            <v>libero</v>
          </cell>
          <cell r="Q1076">
            <v>1.4</v>
          </cell>
          <cell r="R1076">
            <v>33</v>
          </cell>
          <cell r="S1076" t="str">
            <v>It juggles a pebble with its feet, turning it into a burning soccer ball. Its shots strike opponents hard and leave them scorched.</v>
          </cell>
          <cell r="T1076" t="str">
            <v>https://raw.githubusercontent.com/PokeAPI/sprites/master/sprites/pokemon/other/official-artwork/815.png</v>
          </cell>
          <cell r="U1076" t="str">
            <v>https://raw.githubusercontent.com/PokeAPI/sprites/master/sprites/pokemon/other/official-artwork/shiny/815.png</v>
          </cell>
        </row>
        <row r="1077">
          <cell r="A1077">
            <v>815</v>
          </cell>
          <cell r="C1077" t="str">
            <v>Cinderace Gmax</v>
          </cell>
          <cell r="D1077" t="str">
            <v>Gigantamax</v>
          </cell>
          <cell r="E1077" t="str">
            <v>fire</v>
          </cell>
          <cell r="G1077">
            <v>80</v>
          </cell>
          <cell r="H1077">
            <v>116</v>
          </cell>
          <cell r="I1077">
            <v>75</v>
          </cell>
          <cell r="J1077">
            <v>65</v>
          </cell>
          <cell r="K1077">
            <v>75</v>
          </cell>
          <cell r="L1077">
            <v>119</v>
          </cell>
          <cell r="M1077">
            <v>530</v>
          </cell>
          <cell r="N1077" t="str">
            <v>blaze</v>
          </cell>
          <cell r="P1077" t="str">
            <v>libero</v>
          </cell>
          <cell r="Q1077">
            <v>27</v>
          </cell>
          <cell r="R1077">
            <v>1000</v>
          </cell>
          <cell r="S1077" t="str">
            <v>It juggles a pebble with its feet, turning it into a burning soccer ball. Its shots strike opponents hard and leave them scorched.</v>
          </cell>
          <cell r="T1077" t="str">
            <v>https://raw.githubusercontent.com/PokeAPI/sprites/master/sprites/pokemon/other/official-artwork/10210.png</v>
          </cell>
          <cell r="U1077" t="str">
            <v>https://raw.githubusercontent.com/PokeAPI/sprites/master/sprites/pokemon/other/official-artwork/shiny/10210.png</v>
          </cell>
        </row>
        <row r="1078">
          <cell r="A1078">
            <v>816</v>
          </cell>
          <cell r="C1078" t="str">
            <v>Sobble</v>
          </cell>
          <cell r="D1078" t="str">
            <v>Standard</v>
          </cell>
          <cell r="E1078" t="str">
            <v>water</v>
          </cell>
          <cell r="G1078">
            <v>50</v>
          </cell>
          <cell r="H1078">
            <v>40</v>
          </cell>
          <cell r="I1078">
            <v>40</v>
          </cell>
          <cell r="J1078">
            <v>70</v>
          </cell>
          <cell r="K1078">
            <v>40</v>
          </cell>
          <cell r="L1078">
            <v>70</v>
          </cell>
          <cell r="M1078">
            <v>310</v>
          </cell>
          <cell r="N1078" t="str">
            <v>torrent</v>
          </cell>
          <cell r="P1078" t="str">
            <v>sniper</v>
          </cell>
          <cell r="Q1078">
            <v>0.3</v>
          </cell>
          <cell r="R1078">
            <v>4</v>
          </cell>
          <cell r="S1078" t="str">
            <v>When scared, this Pokémon cries. Its tears pack the chemical punch of 100 onions, and attackers won’t be able to resist weeping.</v>
          </cell>
          <cell r="T1078" t="str">
            <v>https://raw.githubusercontent.com/PokeAPI/sprites/master/sprites/pokemon/other/official-artwork/816.png</v>
          </cell>
          <cell r="U1078" t="str">
            <v>https://raw.githubusercontent.com/PokeAPI/sprites/master/sprites/pokemon/other/official-artwork/shiny/816.png</v>
          </cell>
        </row>
        <row r="1079">
          <cell r="A1079">
            <v>817</v>
          </cell>
          <cell r="C1079" t="str">
            <v>Drizzile</v>
          </cell>
          <cell r="D1079" t="str">
            <v>Standard</v>
          </cell>
          <cell r="E1079" t="str">
            <v>water</v>
          </cell>
          <cell r="G1079">
            <v>65</v>
          </cell>
          <cell r="H1079">
            <v>60</v>
          </cell>
          <cell r="I1079">
            <v>55</v>
          </cell>
          <cell r="J1079">
            <v>95</v>
          </cell>
          <cell r="K1079">
            <v>55</v>
          </cell>
          <cell r="L1079">
            <v>90</v>
          </cell>
          <cell r="M1079">
            <v>420</v>
          </cell>
          <cell r="N1079" t="str">
            <v>torrent</v>
          </cell>
          <cell r="P1079" t="str">
            <v>sniper</v>
          </cell>
          <cell r="Q1079">
            <v>0.7</v>
          </cell>
          <cell r="R1079">
            <v>11.5</v>
          </cell>
          <cell r="S1079" t="str">
            <v>A clever combatant, this Pokémon battles using water balloons created with moisture secreted from its palms.</v>
          </cell>
          <cell r="T1079" t="str">
            <v>https://raw.githubusercontent.com/PokeAPI/sprites/master/sprites/pokemon/other/official-artwork/817.png</v>
          </cell>
          <cell r="U1079" t="str">
            <v>https://raw.githubusercontent.com/PokeAPI/sprites/master/sprites/pokemon/other/official-artwork/shiny/817.png</v>
          </cell>
        </row>
        <row r="1080">
          <cell r="A1080">
            <v>818</v>
          </cell>
          <cell r="C1080" t="str">
            <v>Inteleon</v>
          </cell>
          <cell r="D1080" t="str">
            <v>Standard</v>
          </cell>
          <cell r="E1080" t="str">
            <v>water</v>
          </cell>
          <cell r="G1080">
            <v>70</v>
          </cell>
          <cell r="H1080">
            <v>85</v>
          </cell>
          <cell r="I1080">
            <v>65</v>
          </cell>
          <cell r="J1080">
            <v>125</v>
          </cell>
          <cell r="K1080">
            <v>65</v>
          </cell>
          <cell r="L1080">
            <v>120</v>
          </cell>
          <cell r="M1080">
            <v>530</v>
          </cell>
          <cell r="N1080" t="str">
            <v>torrent</v>
          </cell>
          <cell r="P1080" t="str">
            <v>sniper</v>
          </cell>
          <cell r="Q1080">
            <v>1.9</v>
          </cell>
          <cell r="R1080">
            <v>45.2</v>
          </cell>
          <cell r="S1080" t="str">
            <v>It has many hidden capabilities, such as fingertips that can shoot water and a membrane on its back that it can use to glide through the air.</v>
          </cell>
          <cell r="T1080" t="str">
            <v>https://raw.githubusercontent.com/PokeAPI/sprites/master/sprites/pokemon/other/official-artwork/818.png</v>
          </cell>
          <cell r="U1080" t="str">
            <v>https://raw.githubusercontent.com/PokeAPI/sprites/master/sprites/pokemon/other/official-artwork/shiny/818.png</v>
          </cell>
        </row>
        <row r="1081">
          <cell r="A1081">
            <v>818</v>
          </cell>
          <cell r="C1081" t="str">
            <v>Inteleon Gmax</v>
          </cell>
          <cell r="D1081" t="str">
            <v>Gigantamax</v>
          </cell>
          <cell r="E1081" t="str">
            <v>water</v>
          </cell>
          <cell r="G1081">
            <v>70</v>
          </cell>
          <cell r="H1081">
            <v>85</v>
          </cell>
          <cell r="I1081">
            <v>65</v>
          </cell>
          <cell r="J1081">
            <v>125</v>
          </cell>
          <cell r="K1081">
            <v>65</v>
          </cell>
          <cell r="L1081">
            <v>120</v>
          </cell>
          <cell r="M1081">
            <v>530</v>
          </cell>
          <cell r="N1081" t="str">
            <v>torrent</v>
          </cell>
          <cell r="P1081" t="str">
            <v>sniper</v>
          </cell>
          <cell r="Q1081">
            <v>40</v>
          </cell>
          <cell r="R1081">
            <v>1000</v>
          </cell>
          <cell r="S1081" t="str">
            <v>It has many hidden capabilities, such as fingertips that can shoot water and a membrane on its back that it can use to glide through the air.</v>
          </cell>
          <cell r="T1081" t="str">
            <v>https://raw.githubusercontent.com/PokeAPI/sprites/master/sprites/pokemon/other/official-artwork/10211.png</v>
          </cell>
          <cell r="U1081" t="str">
            <v>https://raw.githubusercontent.com/PokeAPI/sprites/master/sprites/pokemon/other/official-artwork/shiny/10211.png</v>
          </cell>
        </row>
        <row r="1082">
          <cell r="A1082">
            <v>819</v>
          </cell>
          <cell r="C1082" t="str">
            <v>Skwovet</v>
          </cell>
          <cell r="D1082" t="str">
            <v>Standard</v>
          </cell>
          <cell r="E1082" t="str">
            <v>normal</v>
          </cell>
          <cell r="G1082">
            <v>70</v>
          </cell>
          <cell r="H1082">
            <v>55</v>
          </cell>
          <cell r="I1082">
            <v>55</v>
          </cell>
          <cell r="J1082">
            <v>35</v>
          </cell>
          <cell r="K1082">
            <v>35</v>
          </cell>
          <cell r="L1082">
            <v>25</v>
          </cell>
          <cell r="M1082">
            <v>275</v>
          </cell>
          <cell r="N1082" t="str">
            <v>cheek-pouch</v>
          </cell>
          <cell r="P1082" t="str">
            <v>gluttony</v>
          </cell>
          <cell r="Q1082">
            <v>0.3</v>
          </cell>
          <cell r="R1082">
            <v>2.5</v>
          </cell>
          <cell r="S1082" t="str">
            <v>Found throughout the Galar region, this Pokémon becomes uneasy if its cheeks are ever completely empty of berries.</v>
          </cell>
          <cell r="T1082" t="str">
            <v>https://raw.githubusercontent.com/PokeAPI/sprites/master/sprites/pokemon/other/official-artwork/819.png</v>
          </cell>
          <cell r="U1082" t="str">
            <v>https://raw.githubusercontent.com/PokeAPI/sprites/master/sprites/pokemon/other/official-artwork/shiny/819.png</v>
          </cell>
        </row>
        <row r="1083">
          <cell r="A1083">
            <v>820</v>
          </cell>
          <cell r="C1083" t="str">
            <v>Greedent</v>
          </cell>
          <cell r="D1083" t="str">
            <v>Standard</v>
          </cell>
          <cell r="E1083" t="str">
            <v>normal</v>
          </cell>
          <cell r="G1083">
            <v>120</v>
          </cell>
          <cell r="H1083">
            <v>95</v>
          </cell>
          <cell r="I1083">
            <v>95</v>
          </cell>
          <cell r="J1083">
            <v>55</v>
          </cell>
          <cell r="K1083">
            <v>75</v>
          </cell>
          <cell r="L1083">
            <v>20</v>
          </cell>
          <cell r="M1083">
            <v>460</v>
          </cell>
          <cell r="N1083" t="str">
            <v>cheek-pouch</v>
          </cell>
          <cell r="P1083" t="str">
            <v>gluttony</v>
          </cell>
          <cell r="Q1083">
            <v>0.6</v>
          </cell>
          <cell r="R1083">
            <v>6</v>
          </cell>
          <cell r="S1083" t="str">
            <v>It stashes berries in its tail—so many berries that they fall out constantly. But this Pokémon is a bit slow-witted, so it doesn’t notice the loss.</v>
          </cell>
          <cell r="T1083" t="str">
            <v>https://raw.githubusercontent.com/PokeAPI/sprites/master/sprites/pokemon/other/official-artwork/820.png</v>
          </cell>
          <cell r="U1083" t="str">
            <v>https://raw.githubusercontent.com/PokeAPI/sprites/master/sprites/pokemon/other/official-artwork/shiny/820.png</v>
          </cell>
        </row>
        <row r="1084">
          <cell r="A1084">
            <v>821</v>
          </cell>
          <cell r="C1084" t="str">
            <v>Rookidee</v>
          </cell>
          <cell r="D1084" t="str">
            <v>Standard</v>
          </cell>
          <cell r="E1084" t="str">
            <v>flying</v>
          </cell>
          <cell r="G1084">
            <v>38</v>
          </cell>
          <cell r="H1084">
            <v>47</v>
          </cell>
          <cell r="I1084">
            <v>35</v>
          </cell>
          <cell r="J1084">
            <v>33</v>
          </cell>
          <cell r="K1084">
            <v>35</v>
          </cell>
          <cell r="L1084">
            <v>57</v>
          </cell>
          <cell r="M1084">
            <v>245</v>
          </cell>
          <cell r="N1084" t="str">
            <v>keen-eye</v>
          </cell>
          <cell r="O1084" t="str">
            <v>unnerve</v>
          </cell>
          <cell r="P1084" t="str">
            <v>big-pecks</v>
          </cell>
          <cell r="Q1084">
            <v>0.2</v>
          </cell>
          <cell r="R1084">
            <v>1.8</v>
          </cell>
          <cell r="S1084" t="str">
            <v>It will bravely challenge any opponent, no matter how powerful. This Pokémon benefits from every battle—even a defeat increases its strength a bit.</v>
          </cell>
          <cell r="T1084" t="str">
            <v>https://raw.githubusercontent.com/PokeAPI/sprites/master/sprites/pokemon/other/official-artwork/821.png</v>
          </cell>
          <cell r="U1084" t="str">
            <v>https://raw.githubusercontent.com/PokeAPI/sprites/master/sprites/pokemon/other/official-artwork/shiny/821.png</v>
          </cell>
        </row>
        <row r="1085">
          <cell r="A1085">
            <v>822</v>
          </cell>
          <cell r="C1085" t="str">
            <v>Corvisquire</v>
          </cell>
          <cell r="D1085" t="str">
            <v>Standard</v>
          </cell>
          <cell r="E1085" t="str">
            <v>flying</v>
          </cell>
          <cell r="G1085">
            <v>68</v>
          </cell>
          <cell r="H1085">
            <v>67</v>
          </cell>
          <cell r="I1085">
            <v>55</v>
          </cell>
          <cell r="J1085">
            <v>43</v>
          </cell>
          <cell r="K1085">
            <v>55</v>
          </cell>
          <cell r="L1085">
            <v>77</v>
          </cell>
          <cell r="M1085">
            <v>365</v>
          </cell>
          <cell r="N1085" t="str">
            <v>keen-eye</v>
          </cell>
          <cell r="O1085" t="str">
            <v>unnerve</v>
          </cell>
          <cell r="P1085" t="str">
            <v>big-pecks</v>
          </cell>
          <cell r="Q1085">
            <v>0.8</v>
          </cell>
          <cell r="R1085">
            <v>16</v>
          </cell>
          <cell r="S1085" t="str">
            <v>Smart enough to use tools in battle, these Pokémon have been seen picking up rocks and flinging them or using ropes to wrap up enemies.</v>
          </cell>
          <cell r="T1085" t="str">
            <v>https://raw.githubusercontent.com/PokeAPI/sprites/master/sprites/pokemon/other/official-artwork/822.png</v>
          </cell>
          <cell r="U1085" t="str">
            <v>https://raw.githubusercontent.com/PokeAPI/sprites/master/sprites/pokemon/other/official-artwork/shiny/822.png</v>
          </cell>
        </row>
        <row r="1086">
          <cell r="A1086">
            <v>823</v>
          </cell>
          <cell r="C1086" t="str">
            <v>Corviknight</v>
          </cell>
          <cell r="D1086" t="str">
            <v>Standard</v>
          </cell>
          <cell r="E1086" t="str">
            <v>flying</v>
          </cell>
          <cell r="F1086" t="str">
            <v>steel</v>
          </cell>
          <cell r="G1086">
            <v>98</v>
          </cell>
          <cell r="H1086">
            <v>87</v>
          </cell>
          <cell r="I1086">
            <v>105</v>
          </cell>
          <cell r="J1086">
            <v>53</v>
          </cell>
          <cell r="K1086">
            <v>85</v>
          </cell>
          <cell r="L1086">
            <v>67</v>
          </cell>
          <cell r="M1086">
            <v>495</v>
          </cell>
          <cell r="N1086" t="str">
            <v>pressure</v>
          </cell>
          <cell r="O1086" t="str">
            <v>unnerve</v>
          </cell>
          <cell r="P1086" t="str">
            <v>mirror-armor</v>
          </cell>
          <cell r="Q1086">
            <v>2.2000000000000002</v>
          </cell>
          <cell r="R1086">
            <v>75</v>
          </cell>
          <cell r="S1086" t="str">
            <v>This Pokémon reigns supreme in the skies of the Galar region. The black luster of its steel body could drive terror into the heart of any foe.</v>
          </cell>
          <cell r="T1086" t="str">
            <v>https://raw.githubusercontent.com/PokeAPI/sprites/master/sprites/pokemon/other/official-artwork/823.png</v>
          </cell>
          <cell r="U1086" t="str">
            <v>https://raw.githubusercontent.com/PokeAPI/sprites/master/sprites/pokemon/other/official-artwork/shiny/823.png</v>
          </cell>
        </row>
        <row r="1087">
          <cell r="A1087">
            <v>823</v>
          </cell>
          <cell r="C1087" t="str">
            <v>Corviknight Gmax</v>
          </cell>
          <cell r="D1087" t="str">
            <v>Gigantamax</v>
          </cell>
          <cell r="E1087" t="str">
            <v>flying</v>
          </cell>
          <cell r="F1087" t="str">
            <v>steel</v>
          </cell>
          <cell r="G1087">
            <v>98</v>
          </cell>
          <cell r="H1087">
            <v>87</v>
          </cell>
          <cell r="I1087">
            <v>105</v>
          </cell>
          <cell r="J1087">
            <v>53</v>
          </cell>
          <cell r="K1087">
            <v>85</v>
          </cell>
          <cell r="L1087">
            <v>67</v>
          </cell>
          <cell r="M1087">
            <v>495</v>
          </cell>
          <cell r="N1087" t="str">
            <v>pressure</v>
          </cell>
          <cell r="O1087" t="str">
            <v>unnerve</v>
          </cell>
          <cell r="P1087" t="str">
            <v>mirror-armor</v>
          </cell>
          <cell r="Q1087">
            <v>14</v>
          </cell>
          <cell r="R1087">
            <v>1000</v>
          </cell>
          <cell r="S1087" t="str">
            <v>This Pokémon reigns supreme in the skies of the Galar region. The black luster of its steel body could drive terror into the heart of any foe.</v>
          </cell>
          <cell r="T1087" t="str">
            <v>https://raw.githubusercontent.com/PokeAPI/sprites/master/sprites/pokemon/other/official-artwork/10212.png</v>
          </cell>
          <cell r="U1087" t="str">
            <v>https://raw.githubusercontent.com/PokeAPI/sprites/master/sprites/pokemon/other/official-artwork/shiny/10212.png</v>
          </cell>
        </row>
        <row r="1088">
          <cell r="A1088">
            <v>824</v>
          </cell>
          <cell r="C1088" t="str">
            <v>Blipbug</v>
          </cell>
          <cell r="D1088" t="str">
            <v>Standard</v>
          </cell>
          <cell r="E1088" t="str">
            <v>bug</v>
          </cell>
          <cell r="G1088">
            <v>25</v>
          </cell>
          <cell r="H1088">
            <v>20</v>
          </cell>
          <cell r="I1088">
            <v>20</v>
          </cell>
          <cell r="J1088">
            <v>25</v>
          </cell>
          <cell r="K1088">
            <v>45</v>
          </cell>
          <cell r="L1088">
            <v>45</v>
          </cell>
          <cell r="M1088">
            <v>180</v>
          </cell>
          <cell r="N1088" t="str">
            <v>swarm</v>
          </cell>
          <cell r="O1088" t="str">
            <v>compound-eyes</v>
          </cell>
          <cell r="P1088" t="str">
            <v>telepathy</v>
          </cell>
          <cell r="Q1088">
            <v>0.4</v>
          </cell>
          <cell r="R1088">
            <v>8</v>
          </cell>
          <cell r="S1088" t="str">
            <v>A constant collector of information, this Pokémon is very smart. Very strong is what it isn’t.</v>
          </cell>
          <cell r="T1088" t="str">
            <v>https://raw.githubusercontent.com/PokeAPI/sprites/master/sprites/pokemon/other/official-artwork/824.png</v>
          </cell>
          <cell r="U1088" t="str">
            <v>https://raw.githubusercontent.com/PokeAPI/sprites/master/sprites/pokemon/other/official-artwork/shiny/824.png</v>
          </cell>
        </row>
        <row r="1089">
          <cell r="A1089">
            <v>825</v>
          </cell>
          <cell r="C1089" t="str">
            <v>Dottler</v>
          </cell>
          <cell r="D1089" t="str">
            <v>Standard</v>
          </cell>
          <cell r="E1089" t="str">
            <v>bug</v>
          </cell>
          <cell r="F1089" t="str">
            <v>psychic</v>
          </cell>
          <cell r="G1089">
            <v>50</v>
          </cell>
          <cell r="H1089">
            <v>35</v>
          </cell>
          <cell r="I1089">
            <v>80</v>
          </cell>
          <cell r="J1089">
            <v>50</v>
          </cell>
          <cell r="K1089">
            <v>90</v>
          </cell>
          <cell r="L1089">
            <v>30</v>
          </cell>
          <cell r="M1089">
            <v>335</v>
          </cell>
          <cell r="N1089" t="str">
            <v>swarm</v>
          </cell>
          <cell r="O1089" t="str">
            <v>compound-eyes</v>
          </cell>
          <cell r="P1089" t="str">
            <v>telepathy</v>
          </cell>
          <cell r="Q1089">
            <v>0.4</v>
          </cell>
          <cell r="R1089">
            <v>19.5</v>
          </cell>
          <cell r="S1089" t="str">
            <v>It barely moves, but it’s still alive. Hiding in its shell without food or water seems to have awakened its psychic powers.</v>
          </cell>
          <cell r="T1089" t="str">
            <v>https://raw.githubusercontent.com/PokeAPI/sprites/master/sprites/pokemon/other/official-artwork/825.png</v>
          </cell>
          <cell r="U1089" t="str">
            <v>https://raw.githubusercontent.com/PokeAPI/sprites/master/sprites/pokemon/other/official-artwork/shiny/825.png</v>
          </cell>
        </row>
        <row r="1090">
          <cell r="A1090">
            <v>826</v>
          </cell>
          <cell r="C1090" t="str">
            <v>Orbeetle</v>
          </cell>
          <cell r="D1090" t="str">
            <v>Standard</v>
          </cell>
          <cell r="E1090" t="str">
            <v>bug</v>
          </cell>
          <cell r="F1090" t="str">
            <v>psychic</v>
          </cell>
          <cell r="G1090">
            <v>60</v>
          </cell>
          <cell r="H1090">
            <v>45</v>
          </cell>
          <cell r="I1090">
            <v>110</v>
          </cell>
          <cell r="J1090">
            <v>80</v>
          </cell>
          <cell r="K1090">
            <v>120</v>
          </cell>
          <cell r="L1090">
            <v>90</v>
          </cell>
          <cell r="M1090">
            <v>505</v>
          </cell>
          <cell r="N1090" t="str">
            <v>swarm</v>
          </cell>
          <cell r="O1090" t="str">
            <v>frisk</v>
          </cell>
          <cell r="P1090" t="str">
            <v>telepathy</v>
          </cell>
          <cell r="Q1090">
            <v>0.4</v>
          </cell>
          <cell r="R1090">
            <v>40.799999999999997</v>
          </cell>
          <cell r="S1090" t="str">
            <v>It’s famous for its high level of intelligence, and the large size of its brain is proof that it also possesses immense psychic power.</v>
          </cell>
          <cell r="T1090" t="str">
            <v>https://raw.githubusercontent.com/PokeAPI/sprites/master/sprites/pokemon/other/official-artwork/826.png</v>
          </cell>
          <cell r="U1090" t="str">
            <v>https://raw.githubusercontent.com/PokeAPI/sprites/master/sprites/pokemon/other/official-artwork/shiny/826.png</v>
          </cell>
        </row>
        <row r="1091">
          <cell r="A1091">
            <v>826</v>
          </cell>
          <cell r="C1091" t="str">
            <v>Orbeetle Gmax</v>
          </cell>
          <cell r="D1091" t="str">
            <v>Gigantamax</v>
          </cell>
          <cell r="E1091" t="str">
            <v>bug</v>
          </cell>
          <cell r="F1091" t="str">
            <v>psychic</v>
          </cell>
          <cell r="G1091">
            <v>60</v>
          </cell>
          <cell r="H1091">
            <v>45</v>
          </cell>
          <cell r="I1091">
            <v>110</v>
          </cell>
          <cell r="J1091">
            <v>80</v>
          </cell>
          <cell r="K1091">
            <v>120</v>
          </cell>
          <cell r="L1091">
            <v>90</v>
          </cell>
          <cell r="M1091">
            <v>505</v>
          </cell>
          <cell r="N1091" t="str">
            <v>swarm</v>
          </cell>
          <cell r="O1091" t="str">
            <v>frisk</v>
          </cell>
          <cell r="P1091" t="str">
            <v>telepathy</v>
          </cell>
          <cell r="Q1091">
            <v>14</v>
          </cell>
          <cell r="R1091">
            <v>1000</v>
          </cell>
          <cell r="S1091" t="str">
            <v>It’s famous for its high level of intelligence, and the large size of its brain is proof that it also possesses immense psychic power.</v>
          </cell>
          <cell r="T1091" t="str">
            <v>https://raw.githubusercontent.com/PokeAPI/sprites/master/sprites/pokemon/other/official-artwork/10213.png</v>
          </cell>
          <cell r="U1091" t="str">
            <v>https://raw.githubusercontent.com/PokeAPI/sprites/master/sprites/pokemon/other/official-artwork/shiny/10213.png</v>
          </cell>
        </row>
        <row r="1092">
          <cell r="A1092">
            <v>827</v>
          </cell>
          <cell r="C1092" t="str">
            <v>Nickit</v>
          </cell>
          <cell r="D1092" t="str">
            <v>Standard</v>
          </cell>
          <cell r="E1092" t="str">
            <v>dark</v>
          </cell>
          <cell r="G1092">
            <v>40</v>
          </cell>
          <cell r="H1092">
            <v>28</v>
          </cell>
          <cell r="I1092">
            <v>28</v>
          </cell>
          <cell r="J1092">
            <v>47</v>
          </cell>
          <cell r="K1092">
            <v>52</v>
          </cell>
          <cell r="L1092">
            <v>50</v>
          </cell>
          <cell r="M1092">
            <v>245</v>
          </cell>
          <cell r="N1092" t="str">
            <v>run-away</v>
          </cell>
          <cell r="O1092" t="str">
            <v>unburden</v>
          </cell>
          <cell r="P1092" t="str">
            <v>stakeout</v>
          </cell>
          <cell r="Q1092">
            <v>0.6</v>
          </cell>
          <cell r="R1092">
            <v>8.9</v>
          </cell>
          <cell r="S1092" t="str">
            <v>Aided by the soft pads on its feet, it silently raids the food stores of other Pokémon. It survives off its ill-gotten gains.</v>
          </cell>
          <cell r="T1092" t="str">
            <v>https://raw.githubusercontent.com/PokeAPI/sprites/master/sprites/pokemon/other/official-artwork/827.png</v>
          </cell>
          <cell r="U1092" t="str">
            <v>https://raw.githubusercontent.com/PokeAPI/sprites/master/sprites/pokemon/other/official-artwork/shiny/827.png</v>
          </cell>
        </row>
        <row r="1093">
          <cell r="A1093">
            <v>828</v>
          </cell>
          <cell r="C1093" t="str">
            <v>Thievul</v>
          </cell>
          <cell r="D1093" t="str">
            <v>Standard</v>
          </cell>
          <cell r="E1093" t="str">
            <v>dark</v>
          </cell>
          <cell r="G1093">
            <v>70</v>
          </cell>
          <cell r="H1093">
            <v>58</v>
          </cell>
          <cell r="I1093">
            <v>58</v>
          </cell>
          <cell r="J1093">
            <v>87</v>
          </cell>
          <cell r="K1093">
            <v>92</v>
          </cell>
          <cell r="L1093">
            <v>90</v>
          </cell>
          <cell r="M1093">
            <v>455</v>
          </cell>
          <cell r="N1093" t="str">
            <v>run-away</v>
          </cell>
          <cell r="O1093" t="str">
            <v>unburden</v>
          </cell>
          <cell r="P1093" t="str">
            <v>stakeout</v>
          </cell>
          <cell r="Q1093">
            <v>1.2</v>
          </cell>
          <cell r="R1093">
            <v>19.899999999999999</v>
          </cell>
          <cell r="S1093" t="str">
            <v>It secretly marks potential targets with a scent. By following the scent, it stalks its targets and steals from them when they least expect it.</v>
          </cell>
          <cell r="T1093" t="str">
            <v>https://raw.githubusercontent.com/PokeAPI/sprites/master/sprites/pokemon/other/official-artwork/828.png</v>
          </cell>
          <cell r="U1093" t="str">
            <v>https://raw.githubusercontent.com/PokeAPI/sprites/master/sprites/pokemon/other/official-artwork/shiny/828.png</v>
          </cell>
        </row>
        <row r="1094">
          <cell r="A1094">
            <v>829</v>
          </cell>
          <cell r="C1094" t="str">
            <v>Gossifleur</v>
          </cell>
          <cell r="D1094" t="str">
            <v>Standard</v>
          </cell>
          <cell r="E1094" t="str">
            <v>grass</v>
          </cell>
          <cell r="G1094">
            <v>40</v>
          </cell>
          <cell r="H1094">
            <v>40</v>
          </cell>
          <cell r="I1094">
            <v>60</v>
          </cell>
          <cell r="J1094">
            <v>40</v>
          </cell>
          <cell r="K1094">
            <v>60</v>
          </cell>
          <cell r="L1094">
            <v>10</v>
          </cell>
          <cell r="M1094">
            <v>250</v>
          </cell>
          <cell r="N1094" t="str">
            <v>cotton-down</v>
          </cell>
          <cell r="O1094" t="str">
            <v>regenerator</v>
          </cell>
          <cell r="P1094" t="str">
            <v>effect-spore</v>
          </cell>
          <cell r="Q1094">
            <v>0.4</v>
          </cell>
          <cell r="R1094">
            <v>2.2000000000000002</v>
          </cell>
          <cell r="S1094" t="str">
            <v>It anchors itself in the ground with its single leg, then basks in the sun. After absorbing enough sunlight, its petals spread as it blooms brilliantly.</v>
          </cell>
          <cell r="T1094" t="str">
            <v>https://raw.githubusercontent.com/PokeAPI/sprites/master/sprites/pokemon/other/official-artwork/829.png</v>
          </cell>
          <cell r="U1094" t="str">
            <v>https://raw.githubusercontent.com/PokeAPI/sprites/master/sprites/pokemon/other/official-artwork/shiny/829.png</v>
          </cell>
        </row>
        <row r="1095">
          <cell r="A1095">
            <v>830</v>
          </cell>
          <cell r="C1095" t="str">
            <v>Eldegoss</v>
          </cell>
          <cell r="D1095" t="str">
            <v>Standard</v>
          </cell>
          <cell r="E1095" t="str">
            <v>grass</v>
          </cell>
          <cell r="G1095">
            <v>60</v>
          </cell>
          <cell r="H1095">
            <v>50</v>
          </cell>
          <cell r="I1095">
            <v>90</v>
          </cell>
          <cell r="J1095">
            <v>80</v>
          </cell>
          <cell r="K1095">
            <v>120</v>
          </cell>
          <cell r="L1095">
            <v>60</v>
          </cell>
          <cell r="M1095">
            <v>460</v>
          </cell>
          <cell r="N1095" t="str">
            <v>cotton-down</v>
          </cell>
          <cell r="O1095" t="str">
            <v>regenerator</v>
          </cell>
          <cell r="P1095" t="str">
            <v>effect-spore</v>
          </cell>
          <cell r="Q1095">
            <v>0.5</v>
          </cell>
          <cell r="R1095">
            <v>2.5</v>
          </cell>
          <cell r="S1095" t="str">
            <v>The seeds attached to its cotton fluff are full of nutrients. It spreads them on the wind so that plants and other Pokémon can benefit from them.</v>
          </cell>
          <cell r="T1095" t="str">
            <v>https://raw.githubusercontent.com/PokeAPI/sprites/master/sprites/pokemon/other/official-artwork/830.png</v>
          </cell>
          <cell r="U1095" t="str">
            <v>https://raw.githubusercontent.com/PokeAPI/sprites/master/sprites/pokemon/other/official-artwork/shiny/830.png</v>
          </cell>
        </row>
        <row r="1096">
          <cell r="A1096">
            <v>831</v>
          </cell>
          <cell r="C1096" t="str">
            <v>Wooloo</v>
          </cell>
          <cell r="D1096" t="str">
            <v>Standard</v>
          </cell>
          <cell r="E1096" t="str">
            <v>normal</v>
          </cell>
          <cell r="G1096">
            <v>42</v>
          </cell>
          <cell r="H1096">
            <v>40</v>
          </cell>
          <cell r="I1096">
            <v>55</v>
          </cell>
          <cell r="J1096">
            <v>40</v>
          </cell>
          <cell r="K1096">
            <v>45</v>
          </cell>
          <cell r="L1096">
            <v>48</v>
          </cell>
          <cell r="M1096">
            <v>270</v>
          </cell>
          <cell r="N1096" t="str">
            <v>fluffy</v>
          </cell>
          <cell r="O1096" t="str">
            <v>run-away</v>
          </cell>
          <cell r="P1096" t="str">
            <v>bulletproof</v>
          </cell>
          <cell r="Q1096">
            <v>0.6</v>
          </cell>
          <cell r="R1096">
            <v>6</v>
          </cell>
          <cell r="S1096" t="str">
            <v>Its curly fleece is such an effective cushion that this Pokémon could fall off a cliff and stand right back up at the bottom, unharmed.</v>
          </cell>
          <cell r="T1096" t="str">
            <v>https://raw.githubusercontent.com/PokeAPI/sprites/master/sprites/pokemon/other/official-artwork/831.png</v>
          </cell>
          <cell r="U1096" t="str">
            <v>https://raw.githubusercontent.com/PokeAPI/sprites/master/sprites/pokemon/other/official-artwork/shiny/831.png</v>
          </cell>
        </row>
        <row r="1097">
          <cell r="A1097">
            <v>832</v>
          </cell>
          <cell r="C1097" t="str">
            <v>Dubwool</v>
          </cell>
          <cell r="D1097" t="str">
            <v>Standard</v>
          </cell>
          <cell r="E1097" t="str">
            <v>normal</v>
          </cell>
          <cell r="G1097">
            <v>72</v>
          </cell>
          <cell r="H1097">
            <v>80</v>
          </cell>
          <cell r="I1097">
            <v>100</v>
          </cell>
          <cell r="J1097">
            <v>60</v>
          </cell>
          <cell r="K1097">
            <v>90</v>
          </cell>
          <cell r="L1097">
            <v>88</v>
          </cell>
          <cell r="M1097">
            <v>490</v>
          </cell>
          <cell r="N1097" t="str">
            <v>fluffy</v>
          </cell>
          <cell r="O1097" t="str">
            <v>steadfast</v>
          </cell>
          <cell r="P1097" t="str">
            <v>bulletproof</v>
          </cell>
          <cell r="Q1097">
            <v>1.3</v>
          </cell>
          <cell r="R1097">
            <v>43</v>
          </cell>
          <cell r="S1097" t="str">
            <v>Weave a carpet from its springy wool, and you end up with something closer to a trampoline. You’ll start to bounce the moment you set foot on it.</v>
          </cell>
          <cell r="T1097" t="str">
            <v>https://raw.githubusercontent.com/PokeAPI/sprites/master/sprites/pokemon/other/official-artwork/832.png</v>
          </cell>
          <cell r="U1097" t="str">
            <v>https://raw.githubusercontent.com/PokeAPI/sprites/master/sprites/pokemon/other/official-artwork/shiny/832.png</v>
          </cell>
        </row>
        <row r="1098">
          <cell r="A1098">
            <v>833</v>
          </cell>
          <cell r="C1098" t="str">
            <v>Chewtle</v>
          </cell>
          <cell r="D1098" t="str">
            <v>Standard</v>
          </cell>
          <cell r="E1098" t="str">
            <v>water</v>
          </cell>
          <cell r="G1098">
            <v>50</v>
          </cell>
          <cell r="H1098">
            <v>64</v>
          </cell>
          <cell r="I1098">
            <v>50</v>
          </cell>
          <cell r="J1098">
            <v>38</v>
          </cell>
          <cell r="K1098">
            <v>38</v>
          </cell>
          <cell r="L1098">
            <v>44</v>
          </cell>
          <cell r="M1098">
            <v>284</v>
          </cell>
          <cell r="N1098" t="str">
            <v>strong-jaw</v>
          </cell>
          <cell r="O1098" t="str">
            <v>shell-armor</v>
          </cell>
          <cell r="P1098" t="str">
            <v>swift-swim</v>
          </cell>
          <cell r="Q1098">
            <v>0.3</v>
          </cell>
          <cell r="R1098">
            <v>8.5</v>
          </cell>
          <cell r="S1098" t="str">
            <v>Apparently the itch of its teething impels it to snap its jaws at anything in front of it.</v>
          </cell>
          <cell r="T1098" t="str">
            <v>https://raw.githubusercontent.com/PokeAPI/sprites/master/sprites/pokemon/other/official-artwork/833.png</v>
          </cell>
          <cell r="U1098" t="str">
            <v>https://raw.githubusercontent.com/PokeAPI/sprites/master/sprites/pokemon/other/official-artwork/shiny/833.png</v>
          </cell>
        </row>
        <row r="1099">
          <cell r="A1099">
            <v>834</v>
          </cell>
          <cell r="C1099" t="str">
            <v>Drednaw</v>
          </cell>
          <cell r="D1099" t="str">
            <v>Standard</v>
          </cell>
          <cell r="E1099" t="str">
            <v>water</v>
          </cell>
          <cell r="F1099" t="str">
            <v>rock</v>
          </cell>
          <cell r="G1099">
            <v>90</v>
          </cell>
          <cell r="H1099">
            <v>115</v>
          </cell>
          <cell r="I1099">
            <v>90</v>
          </cell>
          <cell r="J1099">
            <v>48</v>
          </cell>
          <cell r="K1099">
            <v>68</v>
          </cell>
          <cell r="L1099">
            <v>74</v>
          </cell>
          <cell r="M1099">
            <v>485</v>
          </cell>
          <cell r="N1099" t="str">
            <v>strong-jaw</v>
          </cell>
          <cell r="O1099" t="str">
            <v>shell-armor</v>
          </cell>
          <cell r="P1099" t="str">
            <v>swift-swim</v>
          </cell>
          <cell r="Q1099">
            <v>1</v>
          </cell>
          <cell r="R1099">
            <v>115.5</v>
          </cell>
          <cell r="S1099" t="str">
            <v>With jaws that can shear through steel rods, this highly aggressive Pokémon chomps down on its unfortunate prey.</v>
          </cell>
          <cell r="T1099" t="str">
            <v>https://raw.githubusercontent.com/PokeAPI/sprites/master/sprites/pokemon/other/official-artwork/834.png</v>
          </cell>
          <cell r="U1099" t="str">
            <v>https://raw.githubusercontent.com/PokeAPI/sprites/master/sprites/pokemon/other/official-artwork/shiny/834.png</v>
          </cell>
        </row>
        <row r="1100">
          <cell r="A1100">
            <v>834</v>
          </cell>
          <cell r="C1100" t="str">
            <v>Drednaw Gmax</v>
          </cell>
          <cell r="D1100" t="str">
            <v>Gigantamax</v>
          </cell>
          <cell r="E1100" t="str">
            <v>water</v>
          </cell>
          <cell r="F1100" t="str">
            <v>rock</v>
          </cell>
          <cell r="G1100">
            <v>90</v>
          </cell>
          <cell r="H1100">
            <v>115</v>
          </cell>
          <cell r="I1100">
            <v>90</v>
          </cell>
          <cell r="J1100">
            <v>48</v>
          </cell>
          <cell r="K1100">
            <v>68</v>
          </cell>
          <cell r="L1100">
            <v>74</v>
          </cell>
          <cell r="M1100">
            <v>485</v>
          </cell>
          <cell r="N1100" t="str">
            <v>strong-jaw</v>
          </cell>
          <cell r="O1100" t="str">
            <v>shell-armor</v>
          </cell>
          <cell r="P1100" t="str">
            <v>swift-swim</v>
          </cell>
          <cell r="Q1100">
            <v>24</v>
          </cell>
          <cell r="R1100">
            <v>1000</v>
          </cell>
          <cell r="S1100" t="str">
            <v>With jaws that can shear through steel rods, this highly aggressive Pokémon chomps down on its unfortunate prey.</v>
          </cell>
          <cell r="T1100" t="str">
            <v>https://raw.githubusercontent.com/PokeAPI/sprites/master/sprites/pokemon/other/official-artwork/10214.png</v>
          </cell>
          <cell r="U1100" t="str">
            <v>https://raw.githubusercontent.com/PokeAPI/sprites/master/sprites/pokemon/other/official-artwork/shiny/10214.png</v>
          </cell>
        </row>
        <row r="1101">
          <cell r="A1101">
            <v>835</v>
          </cell>
          <cell r="C1101" t="str">
            <v>Yamper</v>
          </cell>
          <cell r="D1101" t="str">
            <v>Standard</v>
          </cell>
          <cell r="E1101" t="str">
            <v>electric</v>
          </cell>
          <cell r="G1101">
            <v>59</v>
          </cell>
          <cell r="H1101">
            <v>45</v>
          </cell>
          <cell r="I1101">
            <v>50</v>
          </cell>
          <cell r="J1101">
            <v>40</v>
          </cell>
          <cell r="K1101">
            <v>50</v>
          </cell>
          <cell r="L1101">
            <v>26</v>
          </cell>
          <cell r="M1101">
            <v>270</v>
          </cell>
          <cell r="N1101" t="str">
            <v>ball-fetch</v>
          </cell>
          <cell r="P1101" t="str">
            <v>rattled</v>
          </cell>
          <cell r="Q1101">
            <v>0.3</v>
          </cell>
          <cell r="R1101">
            <v>13.5</v>
          </cell>
          <cell r="S1101" t="str">
            <v>This Pokémon is very popular as a herding dog in the Galar region. As it runs, it generates electricity from the base of its tail.</v>
          </cell>
          <cell r="T1101" t="str">
            <v>https://raw.githubusercontent.com/PokeAPI/sprites/master/sprites/pokemon/other/official-artwork/835.png</v>
          </cell>
          <cell r="U1101" t="str">
            <v>https://raw.githubusercontent.com/PokeAPI/sprites/master/sprites/pokemon/other/official-artwork/shiny/835.png</v>
          </cell>
        </row>
        <row r="1102">
          <cell r="A1102">
            <v>836</v>
          </cell>
          <cell r="C1102" t="str">
            <v>Boltund</v>
          </cell>
          <cell r="D1102" t="str">
            <v>Standard</v>
          </cell>
          <cell r="E1102" t="str">
            <v>electric</v>
          </cell>
          <cell r="G1102">
            <v>69</v>
          </cell>
          <cell r="H1102">
            <v>90</v>
          </cell>
          <cell r="I1102">
            <v>60</v>
          </cell>
          <cell r="J1102">
            <v>90</v>
          </cell>
          <cell r="K1102">
            <v>60</v>
          </cell>
          <cell r="L1102">
            <v>121</v>
          </cell>
          <cell r="M1102">
            <v>490</v>
          </cell>
          <cell r="N1102" t="str">
            <v>strong-jaw</v>
          </cell>
          <cell r="P1102" t="str">
            <v>competitive</v>
          </cell>
          <cell r="Q1102">
            <v>1</v>
          </cell>
          <cell r="R1102">
            <v>34</v>
          </cell>
          <cell r="S1102" t="str">
            <v>This Pokémon generates electricity and channels it into its legs to keep them going strong. Boltund can run nonstop for three full days.</v>
          </cell>
          <cell r="T1102" t="str">
            <v>https://raw.githubusercontent.com/PokeAPI/sprites/master/sprites/pokemon/other/official-artwork/836.png</v>
          </cell>
          <cell r="U1102" t="str">
            <v>https://raw.githubusercontent.com/PokeAPI/sprites/master/sprites/pokemon/other/official-artwork/shiny/836.png</v>
          </cell>
        </row>
        <row r="1103">
          <cell r="A1103">
            <v>837</v>
          </cell>
          <cell r="C1103" t="str">
            <v>Rolycoly</v>
          </cell>
          <cell r="D1103" t="str">
            <v>Standard</v>
          </cell>
          <cell r="E1103" t="str">
            <v>rock</v>
          </cell>
          <cell r="G1103">
            <v>30</v>
          </cell>
          <cell r="H1103">
            <v>40</v>
          </cell>
          <cell r="I1103">
            <v>50</v>
          </cell>
          <cell r="J1103">
            <v>40</v>
          </cell>
          <cell r="K1103">
            <v>50</v>
          </cell>
          <cell r="L1103">
            <v>30</v>
          </cell>
          <cell r="M1103">
            <v>240</v>
          </cell>
          <cell r="N1103" t="str">
            <v>steam-engine</v>
          </cell>
          <cell r="O1103" t="str">
            <v>heatproof</v>
          </cell>
          <cell r="P1103" t="str">
            <v>flash-fire</v>
          </cell>
          <cell r="Q1103">
            <v>0.3</v>
          </cell>
          <cell r="R1103">
            <v>12</v>
          </cell>
          <cell r="S1103" t="str">
            <v>Most of its body has the same composition as coal. Fittingly, this Pokémon was first discovered in coal mines about 400 years ago.</v>
          </cell>
          <cell r="T1103" t="str">
            <v>https://raw.githubusercontent.com/PokeAPI/sprites/master/sprites/pokemon/other/official-artwork/837.png</v>
          </cell>
          <cell r="U1103" t="str">
            <v>https://raw.githubusercontent.com/PokeAPI/sprites/master/sprites/pokemon/other/official-artwork/shiny/837.png</v>
          </cell>
        </row>
        <row r="1104">
          <cell r="A1104">
            <v>838</v>
          </cell>
          <cell r="C1104" t="str">
            <v>Carkol</v>
          </cell>
          <cell r="D1104" t="str">
            <v>Standard</v>
          </cell>
          <cell r="E1104" t="str">
            <v>rock</v>
          </cell>
          <cell r="F1104" t="str">
            <v>fire</v>
          </cell>
          <cell r="G1104">
            <v>80</v>
          </cell>
          <cell r="H1104">
            <v>60</v>
          </cell>
          <cell r="I1104">
            <v>90</v>
          </cell>
          <cell r="J1104">
            <v>60</v>
          </cell>
          <cell r="K1104">
            <v>70</v>
          </cell>
          <cell r="L1104">
            <v>50</v>
          </cell>
          <cell r="M1104">
            <v>410</v>
          </cell>
          <cell r="N1104" t="str">
            <v>steam-engine</v>
          </cell>
          <cell r="O1104" t="str">
            <v>flame-body</v>
          </cell>
          <cell r="P1104" t="str">
            <v>flash-fire</v>
          </cell>
          <cell r="Q1104">
            <v>1.1000000000000001</v>
          </cell>
          <cell r="R1104">
            <v>78</v>
          </cell>
          <cell r="S1104" t="str">
            <v>It forms coal inside its body. Coal dropped by this Pokémon once helped fuel the lives of people in the Galar region.</v>
          </cell>
          <cell r="T1104" t="str">
            <v>https://raw.githubusercontent.com/PokeAPI/sprites/master/sprites/pokemon/other/official-artwork/838.png</v>
          </cell>
          <cell r="U1104" t="str">
            <v>https://raw.githubusercontent.com/PokeAPI/sprites/master/sprites/pokemon/other/official-artwork/shiny/838.png</v>
          </cell>
        </row>
        <row r="1105">
          <cell r="A1105">
            <v>839</v>
          </cell>
          <cell r="C1105" t="str">
            <v>Coalossal</v>
          </cell>
          <cell r="D1105" t="str">
            <v>Standard</v>
          </cell>
          <cell r="E1105" t="str">
            <v>rock</v>
          </cell>
          <cell r="F1105" t="str">
            <v>fire</v>
          </cell>
          <cell r="G1105">
            <v>110</v>
          </cell>
          <cell r="H1105">
            <v>80</v>
          </cell>
          <cell r="I1105">
            <v>120</v>
          </cell>
          <cell r="J1105">
            <v>80</v>
          </cell>
          <cell r="K1105">
            <v>90</v>
          </cell>
          <cell r="L1105">
            <v>30</v>
          </cell>
          <cell r="M1105">
            <v>510</v>
          </cell>
          <cell r="N1105" t="str">
            <v>steam-engine</v>
          </cell>
          <cell r="O1105" t="str">
            <v>flame-body</v>
          </cell>
          <cell r="P1105" t="str">
            <v>flash-fire</v>
          </cell>
          <cell r="Q1105">
            <v>2.8</v>
          </cell>
          <cell r="R1105">
            <v>310.5</v>
          </cell>
          <cell r="S1105" t="str">
            <v>It’s usually peaceful, but the vandalism of mines enrages it. Offenders will be incinerated with flames that reach 2,700 degrees Fahrenheit.</v>
          </cell>
          <cell r="T1105" t="str">
            <v>https://raw.githubusercontent.com/PokeAPI/sprites/master/sprites/pokemon/other/official-artwork/839.png</v>
          </cell>
          <cell r="U1105" t="str">
            <v>https://raw.githubusercontent.com/PokeAPI/sprites/master/sprites/pokemon/other/official-artwork/shiny/839.png</v>
          </cell>
        </row>
        <row r="1106">
          <cell r="A1106">
            <v>839</v>
          </cell>
          <cell r="C1106" t="str">
            <v>Coalossal Gmax</v>
          </cell>
          <cell r="D1106" t="str">
            <v>Gigantamax</v>
          </cell>
          <cell r="E1106" t="str">
            <v>rock</v>
          </cell>
          <cell r="F1106" t="str">
            <v>fire</v>
          </cell>
          <cell r="G1106">
            <v>110</v>
          </cell>
          <cell r="H1106">
            <v>80</v>
          </cell>
          <cell r="I1106">
            <v>120</v>
          </cell>
          <cell r="J1106">
            <v>80</v>
          </cell>
          <cell r="K1106">
            <v>90</v>
          </cell>
          <cell r="L1106">
            <v>30</v>
          </cell>
          <cell r="M1106">
            <v>510</v>
          </cell>
          <cell r="N1106" t="str">
            <v>steam-engine</v>
          </cell>
          <cell r="O1106" t="str">
            <v>flame-body</v>
          </cell>
          <cell r="P1106" t="str">
            <v>flash-fire</v>
          </cell>
          <cell r="Q1106">
            <v>42</v>
          </cell>
          <cell r="R1106">
            <v>1000</v>
          </cell>
          <cell r="S1106" t="str">
            <v>It’s usually peaceful, but the vandalism of mines enrages it. Offenders will be incinerated with flames that reach 2,700 degrees Fahrenheit.</v>
          </cell>
          <cell r="T1106" t="str">
            <v>https://raw.githubusercontent.com/PokeAPI/sprites/master/sprites/pokemon/other/official-artwork/10215.png</v>
          </cell>
          <cell r="U1106" t="str">
            <v>https://raw.githubusercontent.com/PokeAPI/sprites/master/sprites/pokemon/other/official-artwork/shiny/10215.png</v>
          </cell>
        </row>
        <row r="1107">
          <cell r="A1107">
            <v>840</v>
          </cell>
          <cell r="C1107" t="str">
            <v>Applin</v>
          </cell>
          <cell r="D1107" t="str">
            <v>Standard</v>
          </cell>
          <cell r="E1107" t="str">
            <v>grass</v>
          </cell>
          <cell r="F1107" t="str">
            <v>dragon</v>
          </cell>
          <cell r="G1107">
            <v>40</v>
          </cell>
          <cell r="H1107">
            <v>40</v>
          </cell>
          <cell r="I1107">
            <v>80</v>
          </cell>
          <cell r="J1107">
            <v>40</v>
          </cell>
          <cell r="K1107">
            <v>40</v>
          </cell>
          <cell r="L1107">
            <v>20</v>
          </cell>
          <cell r="M1107">
            <v>260</v>
          </cell>
          <cell r="N1107" t="str">
            <v>ripen</v>
          </cell>
          <cell r="O1107" t="str">
            <v>gluttony</v>
          </cell>
          <cell r="P1107" t="str">
            <v>bulletproof</v>
          </cell>
          <cell r="Q1107">
            <v>0.2</v>
          </cell>
          <cell r="R1107">
            <v>0.5</v>
          </cell>
          <cell r="S1107" t="str">
            <v>It spends its entire life inside an apple. It hides from its natural enemies, bird Pokémon, by pretending it’s just an apple and nothing more.</v>
          </cell>
          <cell r="T1107" t="str">
            <v>https://raw.githubusercontent.com/PokeAPI/sprites/master/sprites/pokemon/other/official-artwork/840.png</v>
          </cell>
          <cell r="U1107" t="str">
            <v>https://raw.githubusercontent.com/PokeAPI/sprites/master/sprites/pokemon/other/official-artwork/shiny/840.png</v>
          </cell>
        </row>
        <row r="1108">
          <cell r="A1108">
            <v>841</v>
          </cell>
          <cell r="C1108" t="str">
            <v>Flapple</v>
          </cell>
          <cell r="D1108" t="str">
            <v>Standard</v>
          </cell>
          <cell r="E1108" t="str">
            <v>grass</v>
          </cell>
          <cell r="F1108" t="str">
            <v>dragon</v>
          </cell>
          <cell r="G1108">
            <v>70</v>
          </cell>
          <cell r="H1108">
            <v>110</v>
          </cell>
          <cell r="I1108">
            <v>80</v>
          </cell>
          <cell r="J1108">
            <v>95</v>
          </cell>
          <cell r="K1108">
            <v>60</v>
          </cell>
          <cell r="L1108">
            <v>70</v>
          </cell>
          <cell r="M1108">
            <v>485</v>
          </cell>
          <cell r="N1108" t="str">
            <v>ripen</v>
          </cell>
          <cell r="O1108" t="str">
            <v>gluttony</v>
          </cell>
          <cell r="P1108" t="str">
            <v>hustle</v>
          </cell>
          <cell r="Q1108">
            <v>0.3</v>
          </cell>
          <cell r="R1108">
            <v>1</v>
          </cell>
          <cell r="S1108" t="str">
            <v>It ate a sour apple, and that induced its evolution. In its cheeks, it stores an acid capable of causing chemical burns.</v>
          </cell>
          <cell r="T1108" t="str">
            <v>https://raw.githubusercontent.com/PokeAPI/sprites/master/sprites/pokemon/other/official-artwork/841.png</v>
          </cell>
          <cell r="U1108" t="str">
            <v>https://raw.githubusercontent.com/PokeAPI/sprites/master/sprites/pokemon/other/official-artwork/shiny/841.png</v>
          </cell>
        </row>
        <row r="1109">
          <cell r="A1109">
            <v>841</v>
          </cell>
          <cell r="C1109" t="str">
            <v>Flapple Gmax</v>
          </cell>
          <cell r="D1109" t="str">
            <v>Gigantamax</v>
          </cell>
          <cell r="E1109" t="str">
            <v>grass</v>
          </cell>
          <cell r="F1109" t="str">
            <v>dragon</v>
          </cell>
          <cell r="G1109">
            <v>70</v>
          </cell>
          <cell r="H1109">
            <v>110</v>
          </cell>
          <cell r="I1109">
            <v>80</v>
          </cell>
          <cell r="J1109">
            <v>95</v>
          </cell>
          <cell r="K1109">
            <v>60</v>
          </cell>
          <cell r="L1109">
            <v>70</v>
          </cell>
          <cell r="M1109">
            <v>485</v>
          </cell>
          <cell r="N1109" t="str">
            <v>ripen</v>
          </cell>
          <cell r="O1109" t="str">
            <v>gluttony</v>
          </cell>
          <cell r="P1109" t="str">
            <v>hustle</v>
          </cell>
          <cell r="Q1109">
            <v>24</v>
          </cell>
          <cell r="R1109">
            <v>1000</v>
          </cell>
          <cell r="S1109" t="str">
            <v>It ate a sour apple, and that induced its evolution. In its cheeks, it stores an acid capable of causing chemical burns.</v>
          </cell>
          <cell r="T1109" t="str">
            <v>https://raw.githubusercontent.com/PokeAPI/sprites/master/sprites/pokemon/other/official-artwork/10216.png</v>
          </cell>
          <cell r="U1109" t="str">
            <v>https://raw.githubusercontent.com/PokeAPI/sprites/master/sprites/pokemon/other/official-artwork/shiny/10216.png</v>
          </cell>
        </row>
        <row r="1110">
          <cell r="A1110">
            <v>842</v>
          </cell>
          <cell r="C1110" t="str">
            <v>Appletun</v>
          </cell>
          <cell r="D1110" t="str">
            <v>Standard</v>
          </cell>
          <cell r="E1110" t="str">
            <v>grass</v>
          </cell>
          <cell r="F1110" t="str">
            <v>dragon</v>
          </cell>
          <cell r="G1110">
            <v>110</v>
          </cell>
          <cell r="H1110">
            <v>85</v>
          </cell>
          <cell r="I1110">
            <v>80</v>
          </cell>
          <cell r="J1110">
            <v>100</v>
          </cell>
          <cell r="K1110">
            <v>80</v>
          </cell>
          <cell r="L1110">
            <v>30</v>
          </cell>
          <cell r="M1110">
            <v>485</v>
          </cell>
          <cell r="N1110" t="str">
            <v>ripen</v>
          </cell>
          <cell r="O1110" t="str">
            <v>gluttony</v>
          </cell>
          <cell r="P1110" t="str">
            <v>thick-fat</v>
          </cell>
          <cell r="Q1110">
            <v>0.4</v>
          </cell>
          <cell r="R1110">
            <v>13</v>
          </cell>
          <cell r="S1110" t="str">
            <v>Eating a sweet apple caused its evolution. A nectarous scent wafts from its body, luring in the bug Pokémon it preys on.</v>
          </cell>
          <cell r="T1110" t="str">
            <v>https://raw.githubusercontent.com/PokeAPI/sprites/master/sprites/pokemon/other/official-artwork/842.png</v>
          </cell>
          <cell r="U1110" t="str">
            <v>https://raw.githubusercontent.com/PokeAPI/sprites/master/sprites/pokemon/other/official-artwork/shiny/842.png</v>
          </cell>
        </row>
        <row r="1111">
          <cell r="A1111">
            <v>842</v>
          </cell>
          <cell r="C1111" t="str">
            <v>Appletun Gmax</v>
          </cell>
          <cell r="D1111" t="str">
            <v>Gigantamax</v>
          </cell>
          <cell r="E1111" t="str">
            <v>grass</v>
          </cell>
          <cell r="F1111" t="str">
            <v>dragon</v>
          </cell>
          <cell r="G1111">
            <v>110</v>
          </cell>
          <cell r="H1111">
            <v>85</v>
          </cell>
          <cell r="I1111">
            <v>80</v>
          </cell>
          <cell r="J1111">
            <v>100</v>
          </cell>
          <cell r="K1111">
            <v>80</v>
          </cell>
          <cell r="L1111">
            <v>30</v>
          </cell>
          <cell r="M1111">
            <v>485</v>
          </cell>
          <cell r="N1111" t="str">
            <v>ripen</v>
          </cell>
          <cell r="O1111" t="str">
            <v>gluttony</v>
          </cell>
          <cell r="P1111" t="str">
            <v>thick-fat</v>
          </cell>
          <cell r="Q1111">
            <v>24</v>
          </cell>
          <cell r="R1111">
            <v>1000</v>
          </cell>
          <cell r="S1111" t="str">
            <v>Eating a sweet apple caused its evolution. A nectarous scent wafts from its body, luring in the bug Pokémon it preys on.</v>
          </cell>
          <cell r="T1111" t="str">
            <v>https://raw.githubusercontent.com/PokeAPI/sprites/master/sprites/pokemon/other/official-artwork/10217.png</v>
          </cell>
          <cell r="U1111" t="str">
            <v>https://raw.githubusercontent.com/PokeAPI/sprites/master/sprites/pokemon/other/official-artwork/shiny/10217.png</v>
          </cell>
        </row>
        <row r="1112">
          <cell r="A1112">
            <v>843</v>
          </cell>
          <cell r="C1112" t="str">
            <v>Silicobra</v>
          </cell>
          <cell r="D1112" t="str">
            <v>Standard</v>
          </cell>
          <cell r="E1112" t="str">
            <v>ground</v>
          </cell>
          <cell r="G1112">
            <v>52</v>
          </cell>
          <cell r="H1112">
            <v>57</v>
          </cell>
          <cell r="I1112">
            <v>75</v>
          </cell>
          <cell r="J1112">
            <v>35</v>
          </cell>
          <cell r="K1112">
            <v>50</v>
          </cell>
          <cell r="L1112">
            <v>46</v>
          </cell>
          <cell r="M1112">
            <v>315</v>
          </cell>
          <cell r="N1112" t="str">
            <v>sand-spit</v>
          </cell>
          <cell r="O1112" t="str">
            <v>shed-skin</v>
          </cell>
          <cell r="P1112" t="str">
            <v>sand-veil</v>
          </cell>
          <cell r="Q1112">
            <v>2.2000000000000002</v>
          </cell>
          <cell r="R1112">
            <v>7.6</v>
          </cell>
          <cell r="S1112" t="str">
            <v>As it digs, it swallows sand and stores it in its neck pouch. The pouch can hold more than 17 pounds of sand.</v>
          </cell>
          <cell r="T1112" t="str">
            <v>https://raw.githubusercontent.com/PokeAPI/sprites/master/sprites/pokemon/other/official-artwork/843.png</v>
          </cell>
          <cell r="U1112" t="str">
            <v>https://raw.githubusercontent.com/PokeAPI/sprites/master/sprites/pokemon/other/official-artwork/shiny/843.png</v>
          </cell>
        </row>
        <row r="1113">
          <cell r="A1113">
            <v>844</v>
          </cell>
          <cell r="C1113" t="str">
            <v>Sandaconda</v>
          </cell>
          <cell r="D1113" t="str">
            <v>Standard</v>
          </cell>
          <cell r="E1113" t="str">
            <v>ground</v>
          </cell>
          <cell r="G1113">
            <v>72</v>
          </cell>
          <cell r="H1113">
            <v>107</v>
          </cell>
          <cell r="I1113">
            <v>125</v>
          </cell>
          <cell r="J1113">
            <v>65</v>
          </cell>
          <cell r="K1113">
            <v>70</v>
          </cell>
          <cell r="L1113">
            <v>71</v>
          </cell>
          <cell r="M1113">
            <v>510</v>
          </cell>
          <cell r="N1113" t="str">
            <v>sand-spit</v>
          </cell>
          <cell r="O1113" t="str">
            <v>shed-skin</v>
          </cell>
          <cell r="P1113" t="str">
            <v>sand-veil</v>
          </cell>
          <cell r="Q1113">
            <v>3.8</v>
          </cell>
          <cell r="R1113">
            <v>65.5</v>
          </cell>
          <cell r="S1113" t="str">
            <v>When it contracts its body, over 220 pounds of sand sprays from its nose. If it ever runs out of sand, it becomes disheartened.</v>
          </cell>
          <cell r="T1113" t="str">
            <v>https://raw.githubusercontent.com/PokeAPI/sprites/master/sprites/pokemon/other/official-artwork/844.png</v>
          </cell>
          <cell r="U1113" t="str">
            <v>https://raw.githubusercontent.com/PokeAPI/sprites/master/sprites/pokemon/other/official-artwork/shiny/844.png</v>
          </cell>
        </row>
        <row r="1114">
          <cell r="A1114">
            <v>844</v>
          </cell>
          <cell r="C1114" t="str">
            <v>Sandaconda Gmax</v>
          </cell>
          <cell r="D1114" t="str">
            <v>Gigantamax</v>
          </cell>
          <cell r="E1114" t="str">
            <v>ground</v>
          </cell>
          <cell r="G1114">
            <v>72</v>
          </cell>
          <cell r="H1114">
            <v>107</v>
          </cell>
          <cell r="I1114">
            <v>125</v>
          </cell>
          <cell r="J1114">
            <v>65</v>
          </cell>
          <cell r="K1114">
            <v>70</v>
          </cell>
          <cell r="L1114">
            <v>71</v>
          </cell>
          <cell r="M1114">
            <v>510</v>
          </cell>
          <cell r="N1114" t="str">
            <v>sand-spit</v>
          </cell>
          <cell r="O1114" t="str">
            <v>shed-skin</v>
          </cell>
          <cell r="P1114" t="str">
            <v>sand-veil</v>
          </cell>
          <cell r="Q1114">
            <v>22</v>
          </cell>
          <cell r="R1114">
            <v>1000</v>
          </cell>
          <cell r="S1114" t="str">
            <v>When it contracts its body, over 220 pounds of sand sprays from its nose. If it ever runs out of sand, it becomes disheartened.</v>
          </cell>
          <cell r="T1114" t="str">
            <v>https://raw.githubusercontent.com/PokeAPI/sprites/master/sprites/pokemon/other/official-artwork/10218.png</v>
          </cell>
          <cell r="U1114" t="str">
            <v>https://raw.githubusercontent.com/PokeAPI/sprites/master/sprites/pokemon/other/official-artwork/shiny/10218.png</v>
          </cell>
        </row>
        <row r="1115">
          <cell r="A1115">
            <v>845</v>
          </cell>
          <cell r="C1115" t="str">
            <v>Cramorant</v>
          </cell>
          <cell r="D1115" t="str">
            <v>Standard</v>
          </cell>
          <cell r="E1115" t="str">
            <v>flying</v>
          </cell>
          <cell r="F1115" t="str">
            <v>water</v>
          </cell>
          <cell r="G1115">
            <v>70</v>
          </cell>
          <cell r="H1115">
            <v>85</v>
          </cell>
          <cell r="I1115">
            <v>55</v>
          </cell>
          <cell r="J1115">
            <v>85</v>
          </cell>
          <cell r="K1115">
            <v>95</v>
          </cell>
          <cell r="L1115">
            <v>85</v>
          </cell>
          <cell r="M1115">
            <v>475</v>
          </cell>
          <cell r="N1115" t="str">
            <v>gulp-missile</v>
          </cell>
          <cell r="Q1115">
            <v>0.8</v>
          </cell>
          <cell r="R1115">
            <v>18</v>
          </cell>
          <cell r="S1115" t="str">
            <v>It’s so strong that it can knock out some opponents in a single hit, but it also may forget what it’s battling midfight.</v>
          </cell>
          <cell r="T1115" t="str">
            <v>https://raw.githubusercontent.com/PokeAPI/sprites/master/sprites/pokemon/other/official-artwork/845.png</v>
          </cell>
          <cell r="U1115" t="str">
            <v>https://raw.githubusercontent.com/PokeAPI/sprites/master/sprites/pokemon/other/official-artwork/shiny/845.png</v>
          </cell>
        </row>
        <row r="1116">
          <cell r="A1116">
            <v>845</v>
          </cell>
          <cell r="C1116" t="str">
            <v>Cramorant Gorging</v>
          </cell>
          <cell r="D1116" t="str">
            <v>Other</v>
          </cell>
          <cell r="E1116" t="str">
            <v>flying</v>
          </cell>
          <cell r="F1116" t="str">
            <v>water</v>
          </cell>
          <cell r="G1116">
            <v>70</v>
          </cell>
          <cell r="H1116">
            <v>85</v>
          </cell>
          <cell r="I1116">
            <v>55</v>
          </cell>
          <cell r="J1116">
            <v>85</v>
          </cell>
          <cell r="K1116">
            <v>95</v>
          </cell>
          <cell r="L1116">
            <v>85</v>
          </cell>
          <cell r="M1116">
            <v>475</v>
          </cell>
          <cell r="N1116" t="str">
            <v>gulp-missile</v>
          </cell>
          <cell r="Q1116">
            <v>0.8</v>
          </cell>
          <cell r="R1116">
            <v>18</v>
          </cell>
          <cell r="S1116" t="str">
            <v>It’s so strong that it can knock out some opponents in a single hit, but it also may forget what it’s battling midfight.</v>
          </cell>
          <cell r="T1116" t="str">
            <v>https://raw.githubusercontent.com/PokeAPI/sprites/master/sprites/pokemon/other/official-artwork/10183.png</v>
          </cell>
          <cell r="U1116" t="str">
            <v>https://raw.githubusercontent.com/PokeAPI/sprites/master/sprites/pokemon/other/official-artwork/shiny/10183.png</v>
          </cell>
        </row>
        <row r="1117">
          <cell r="A1117">
            <v>845</v>
          </cell>
          <cell r="C1117" t="str">
            <v>Cramorant Gulping</v>
          </cell>
          <cell r="D1117" t="str">
            <v>Other</v>
          </cell>
          <cell r="E1117" t="str">
            <v>flying</v>
          </cell>
          <cell r="F1117" t="str">
            <v>water</v>
          </cell>
          <cell r="G1117">
            <v>70</v>
          </cell>
          <cell r="H1117">
            <v>85</v>
          </cell>
          <cell r="I1117">
            <v>55</v>
          </cell>
          <cell r="J1117">
            <v>85</v>
          </cell>
          <cell r="K1117">
            <v>95</v>
          </cell>
          <cell r="L1117">
            <v>85</v>
          </cell>
          <cell r="M1117">
            <v>475</v>
          </cell>
          <cell r="N1117" t="str">
            <v>gulp-missile</v>
          </cell>
          <cell r="Q1117">
            <v>0.8</v>
          </cell>
          <cell r="R1117">
            <v>18</v>
          </cell>
          <cell r="S1117" t="str">
            <v>It’s so strong that it can knock out some opponents in a single hit, but it also may forget what it’s battling midfight.</v>
          </cell>
          <cell r="T1117" t="str">
            <v>https://raw.githubusercontent.com/PokeAPI/sprites/master/sprites/pokemon/other/official-artwork/10182.png</v>
          </cell>
          <cell r="U1117" t="str">
            <v>https://raw.githubusercontent.com/PokeAPI/sprites/master/sprites/pokemon/other/official-artwork/shiny/10182.png</v>
          </cell>
        </row>
        <row r="1118">
          <cell r="A1118">
            <v>846</v>
          </cell>
          <cell r="C1118" t="str">
            <v>Arrokuda</v>
          </cell>
          <cell r="D1118" t="str">
            <v>Standard</v>
          </cell>
          <cell r="E1118" t="str">
            <v>water</v>
          </cell>
          <cell r="G1118">
            <v>41</v>
          </cell>
          <cell r="H1118">
            <v>63</v>
          </cell>
          <cell r="I1118">
            <v>40</v>
          </cell>
          <cell r="J1118">
            <v>40</v>
          </cell>
          <cell r="K1118">
            <v>30</v>
          </cell>
          <cell r="L1118">
            <v>66</v>
          </cell>
          <cell r="M1118">
            <v>280</v>
          </cell>
          <cell r="N1118" t="str">
            <v>swift-swim</v>
          </cell>
          <cell r="P1118" t="str">
            <v>propeller-tail</v>
          </cell>
          <cell r="Q1118">
            <v>0.5</v>
          </cell>
          <cell r="R1118">
            <v>1</v>
          </cell>
          <cell r="S1118" t="str">
            <v>If it sees any movement around it, this Pokémon charges for it straightaway, leading with its sharply pointed jaw. It’s very proud of that jaw.</v>
          </cell>
          <cell r="T1118" t="str">
            <v>https://raw.githubusercontent.com/PokeAPI/sprites/master/sprites/pokemon/other/official-artwork/846.png</v>
          </cell>
          <cell r="U1118" t="str">
            <v>https://raw.githubusercontent.com/PokeAPI/sprites/master/sprites/pokemon/other/official-artwork/shiny/846.png</v>
          </cell>
        </row>
        <row r="1119">
          <cell r="A1119">
            <v>847</v>
          </cell>
          <cell r="C1119" t="str">
            <v>Barraskewda</v>
          </cell>
          <cell r="D1119" t="str">
            <v>Standard</v>
          </cell>
          <cell r="E1119" t="str">
            <v>water</v>
          </cell>
          <cell r="G1119">
            <v>61</v>
          </cell>
          <cell r="H1119">
            <v>123</v>
          </cell>
          <cell r="I1119">
            <v>60</v>
          </cell>
          <cell r="J1119">
            <v>60</v>
          </cell>
          <cell r="K1119">
            <v>50</v>
          </cell>
          <cell r="L1119">
            <v>136</v>
          </cell>
          <cell r="M1119">
            <v>490</v>
          </cell>
          <cell r="N1119" t="str">
            <v>swift-swim</v>
          </cell>
          <cell r="P1119" t="str">
            <v>propeller-tail</v>
          </cell>
          <cell r="Q1119">
            <v>1.3</v>
          </cell>
          <cell r="R1119">
            <v>30</v>
          </cell>
          <cell r="S1119" t="str">
            <v>This Pokémon has a jaw that’s as sharp as a spear and as strong as steel. Apparently Barraskewda’s flesh is surprisingly tasty, too.</v>
          </cell>
          <cell r="T1119" t="str">
            <v>https://raw.githubusercontent.com/PokeAPI/sprites/master/sprites/pokemon/other/official-artwork/847.png</v>
          </cell>
          <cell r="U1119" t="str">
            <v>https://raw.githubusercontent.com/PokeAPI/sprites/master/sprites/pokemon/other/official-artwork/shiny/847.png</v>
          </cell>
        </row>
        <row r="1120">
          <cell r="A1120">
            <v>848</v>
          </cell>
          <cell r="C1120" t="str">
            <v>Toxel</v>
          </cell>
          <cell r="D1120" t="str">
            <v>Standard</v>
          </cell>
          <cell r="E1120" t="str">
            <v>electric</v>
          </cell>
          <cell r="F1120" t="str">
            <v>poison</v>
          </cell>
          <cell r="G1120">
            <v>40</v>
          </cell>
          <cell r="H1120">
            <v>38</v>
          </cell>
          <cell r="I1120">
            <v>35</v>
          </cell>
          <cell r="J1120">
            <v>54</v>
          </cell>
          <cell r="K1120">
            <v>35</v>
          </cell>
          <cell r="L1120">
            <v>40</v>
          </cell>
          <cell r="M1120">
            <v>242</v>
          </cell>
          <cell r="N1120" t="str">
            <v>rattled</v>
          </cell>
          <cell r="O1120" t="str">
            <v>static</v>
          </cell>
          <cell r="P1120" t="str">
            <v>klutz</v>
          </cell>
          <cell r="Q1120">
            <v>0.4</v>
          </cell>
          <cell r="R1120">
            <v>11</v>
          </cell>
          <cell r="S1120" t="str">
            <v>It stores poison in an internal poison sac and secretes that poison through its skin. If you touch this Pokémon, a tingling sensation follows.</v>
          </cell>
          <cell r="T1120" t="str">
            <v>https://raw.githubusercontent.com/PokeAPI/sprites/master/sprites/pokemon/other/official-artwork/848.png</v>
          </cell>
          <cell r="U1120" t="str">
            <v>https://raw.githubusercontent.com/PokeAPI/sprites/master/sprites/pokemon/other/official-artwork/shiny/848.png</v>
          </cell>
        </row>
        <row r="1121">
          <cell r="A1121">
            <v>849</v>
          </cell>
          <cell r="C1121" t="str">
            <v>Toxtricity Amped</v>
          </cell>
          <cell r="D1121" t="str">
            <v>Other</v>
          </cell>
          <cell r="E1121" t="str">
            <v>electric</v>
          </cell>
          <cell r="F1121" t="str">
            <v>poison</v>
          </cell>
          <cell r="G1121">
            <v>75</v>
          </cell>
          <cell r="H1121">
            <v>98</v>
          </cell>
          <cell r="I1121">
            <v>70</v>
          </cell>
          <cell r="J1121">
            <v>114</v>
          </cell>
          <cell r="K1121">
            <v>70</v>
          </cell>
          <cell r="L1121">
            <v>75</v>
          </cell>
          <cell r="M1121">
            <v>502</v>
          </cell>
          <cell r="N1121" t="str">
            <v>punk-rock</v>
          </cell>
          <cell r="O1121" t="str">
            <v>plus</v>
          </cell>
          <cell r="P1121" t="str">
            <v>technician</v>
          </cell>
          <cell r="Q1121">
            <v>1.6</v>
          </cell>
          <cell r="R1121">
            <v>40</v>
          </cell>
          <cell r="S1121" t="str">
            <v>When this Pokémon sounds as if it’s strumming a guitar, it’s actually clawing at the protrusions on its chest to generate electricity.</v>
          </cell>
          <cell r="T1121" t="str">
            <v>https://raw.githubusercontent.com/PokeAPI/sprites/master/sprites/pokemon/other/official-artwork/849.png</v>
          </cell>
          <cell r="U1121" t="str">
            <v>https://raw.githubusercontent.com/PokeAPI/sprites/master/sprites/pokemon/other/official-artwork/shiny/849.png</v>
          </cell>
        </row>
        <row r="1122">
          <cell r="A1122">
            <v>849</v>
          </cell>
          <cell r="C1122" t="str">
            <v>Toxtricity Amped Gmax</v>
          </cell>
          <cell r="D1122" t="str">
            <v>Gigantamax</v>
          </cell>
          <cell r="E1122" t="str">
            <v>electric</v>
          </cell>
          <cell r="F1122" t="str">
            <v>poison</v>
          </cell>
          <cell r="G1122">
            <v>75</v>
          </cell>
          <cell r="H1122">
            <v>98</v>
          </cell>
          <cell r="I1122">
            <v>70</v>
          </cell>
          <cell r="J1122">
            <v>114</v>
          </cell>
          <cell r="K1122">
            <v>70</v>
          </cell>
          <cell r="L1122">
            <v>75</v>
          </cell>
          <cell r="M1122">
            <v>502</v>
          </cell>
          <cell r="N1122" t="str">
            <v>punk-rock</v>
          </cell>
          <cell r="O1122" t="str">
            <v>plus</v>
          </cell>
          <cell r="P1122" t="str">
            <v>technician</v>
          </cell>
          <cell r="Q1122">
            <v>24</v>
          </cell>
          <cell r="R1122">
            <v>1000</v>
          </cell>
          <cell r="S1122" t="str">
            <v>When this Pokémon sounds as if it’s strumming a guitar, it’s actually clawing at the protrusions on its chest to generate electricity.</v>
          </cell>
          <cell r="T1122" t="str">
            <v>https://raw.githubusercontent.com/PokeAPI/sprites/master/sprites/pokemon/other/official-artwork/10219.png</v>
          </cell>
          <cell r="U1122" t="str">
            <v>https://raw.githubusercontent.com/PokeAPI/sprites/master/sprites/pokemon/other/official-artwork/shiny/10219.png</v>
          </cell>
        </row>
        <row r="1123">
          <cell r="A1123">
            <v>849</v>
          </cell>
          <cell r="C1123" t="str">
            <v>Toxtricity Low Key</v>
          </cell>
          <cell r="D1123" t="str">
            <v>Other</v>
          </cell>
          <cell r="E1123" t="str">
            <v>electric</v>
          </cell>
          <cell r="F1123" t="str">
            <v>poison</v>
          </cell>
          <cell r="G1123">
            <v>75</v>
          </cell>
          <cell r="H1123">
            <v>98</v>
          </cell>
          <cell r="I1123">
            <v>70</v>
          </cell>
          <cell r="J1123">
            <v>114</v>
          </cell>
          <cell r="K1123">
            <v>70</v>
          </cell>
          <cell r="L1123">
            <v>75</v>
          </cell>
          <cell r="M1123">
            <v>502</v>
          </cell>
          <cell r="N1123" t="str">
            <v>punk-rock</v>
          </cell>
          <cell r="O1123" t="str">
            <v>minus</v>
          </cell>
          <cell r="P1123" t="str">
            <v>technician</v>
          </cell>
          <cell r="Q1123">
            <v>1.6</v>
          </cell>
          <cell r="R1123">
            <v>40</v>
          </cell>
          <cell r="S1123" t="str">
            <v>When this Pokémon sounds as if it’s strumming a guitar, it’s actually clawing at the protrusions on its chest to generate electricity.</v>
          </cell>
          <cell r="T1123" t="str">
            <v>https://raw.githubusercontent.com/PokeAPI/sprites/master/sprites/pokemon/other/official-artwork/10184.png</v>
          </cell>
          <cell r="U1123" t="str">
            <v>https://raw.githubusercontent.com/PokeAPI/sprites/master/sprites/pokemon/other/official-artwork/shiny/10184.png</v>
          </cell>
        </row>
        <row r="1124">
          <cell r="A1124">
            <v>849</v>
          </cell>
          <cell r="C1124" t="str">
            <v>Toxtricity Low Key Gmax</v>
          </cell>
          <cell r="D1124" t="str">
            <v>Gigantamax</v>
          </cell>
          <cell r="E1124" t="str">
            <v>electric</v>
          </cell>
          <cell r="F1124" t="str">
            <v>poison</v>
          </cell>
          <cell r="G1124">
            <v>75</v>
          </cell>
          <cell r="H1124">
            <v>98</v>
          </cell>
          <cell r="I1124">
            <v>70</v>
          </cell>
          <cell r="J1124">
            <v>114</v>
          </cell>
          <cell r="K1124">
            <v>70</v>
          </cell>
          <cell r="L1124">
            <v>75</v>
          </cell>
          <cell r="M1124">
            <v>502</v>
          </cell>
          <cell r="N1124" t="str">
            <v>punk-rock</v>
          </cell>
          <cell r="O1124" t="str">
            <v>minus</v>
          </cell>
          <cell r="P1124" t="str">
            <v>technician</v>
          </cell>
          <cell r="Q1124">
            <v>24</v>
          </cell>
          <cell r="R1124">
            <v>1000</v>
          </cell>
          <cell r="S1124" t="str">
            <v>When this Pokémon sounds as if it’s strumming a guitar, it’s actually clawing at the protrusions on its chest to generate electricity.</v>
          </cell>
          <cell r="T1124" t="str">
            <v>https://raw.githubusercontent.com/PokeAPI/sprites/master/sprites/pokemon/other/official-artwork/10228.png</v>
          </cell>
          <cell r="U1124" t="str">
            <v>https://raw.githubusercontent.com/PokeAPI/sprites/master/sprites/pokemon/other/official-artwork/shiny/10228.png</v>
          </cell>
        </row>
        <row r="1125">
          <cell r="A1125">
            <v>850</v>
          </cell>
          <cell r="C1125" t="str">
            <v>Sizzlipede</v>
          </cell>
          <cell r="D1125" t="str">
            <v>Standard</v>
          </cell>
          <cell r="E1125" t="str">
            <v>fire</v>
          </cell>
          <cell r="F1125" t="str">
            <v>bug</v>
          </cell>
          <cell r="G1125">
            <v>50</v>
          </cell>
          <cell r="H1125">
            <v>65</v>
          </cell>
          <cell r="I1125">
            <v>45</v>
          </cell>
          <cell r="J1125">
            <v>50</v>
          </cell>
          <cell r="K1125">
            <v>50</v>
          </cell>
          <cell r="L1125">
            <v>45</v>
          </cell>
          <cell r="M1125">
            <v>305</v>
          </cell>
          <cell r="N1125" t="str">
            <v>flash-fire</v>
          </cell>
          <cell r="O1125" t="str">
            <v>white-smoke</v>
          </cell>
          <cell r="P1125" t="str">
            <v>flame-body</v>
          </cell>
          <cell r="Q1125">
            <v>0.7</v>
          </cell>
          <cell r="R1125">
            <v>1</v>
          </cell>
          <cell r="S1125" t="str">
            <v>It stores flammable gas in its body and uses it to generate heat. The yellow sections on its belly get particularly hot.</v>
          </cell>
          <cell r="T1125" t="str">
            <v>https://raw.githubusercontent.com/PokeAPI/sprites/master/sprites/pokemon/other/official-artwork/850.png</v>
          </cell>
          <cell r="U1125" t="str">
            <v>https://raw.githubusercontent.com/PokeAPI/sprites/master/sprites/pokemon/other/official-artwork/shiny/850.png</v>
          </cell>
        </row>
        <row r="1126">
          <cell r="A1126">
            <v>851</v>
          </cell>
          <cell r="C1126" t="str">
            <v>Centiskorch</v>
          </cell>
          <cell r="D1126" t="str">
            <v>Standard</v>
          </cell>
          <cell r="E1126" t="str">
            <v>fire</v>
          </cell>
          <cell r="F1126" t="str">
            <v>bug</v>
          </cell>
          <cell r="G1126">
            <v>100</v>
          </cell>
          <cell r="H1126">
            <v>115</v>
          </cell>
          <cell r="I1126">
            <v>65</v>
          </cell>
          <cell r="J1126">
            <v>90</v>
          </cell>
          <cell r="K1126">
            <v>90</v>
          </cell>
          <cell r="L1126">
            <v>65</v>
          </cell>
          <cell r="M1126">
            <v>525</v>
          </cell>
          <cell r="N1126" t="str">
            <v>flash-fire</v>
          </cell>
          <cell r="O1126" t="str">
            <v>white-smoke</v>
          </cell>
          <cell r="P1126" t="str">
            <v>flame-body</v>
          </cell>
          <cell r="Q1126">
            <v>3</v>
          </cell>
          <cell r="R1126">
            <v>120</v>
          </cell>
          <cell r="S1126" t="str">
            <v>When it heats up, its body temperature reaches about 1,500 degrees Fahrenheit. It lashes its body like a whip and launches itself at enemies.</v>
          </cell>
          <cell r="T1126" t="str">
            <v>https://raw.githubusercontent.com/PokeAPI/sprites/master/sprites/pokemon/other/official-artwork/851.png</v>
          </cell>
          <cell r="U1126" t="str">
            <v>https://raw.githubusercontent.com/PokeAPI/sprites/master/sprites/pokemon/other/official-artwork/shiny/851.png</v>
          </cell>
        </row>
        <row r="1127">
          <cell r="A1127">
            <v>851</v>
          </cell>
          <cell r="C1127" t="str">
            <v>Centiskorch Gmax</v>
          </cell>
          <cell r="D1127" t="str">
            <v>Gigantamax</v>
          </cell>
          <cell r="E1127" t="str">
            <v>fire</v>
          </cell>
          <cell r="F1127" t="str">
            <v>bug</v>
          </cell>
          <cell r="G1127">
            <v>100</v>
          </cell>
          <cell r="H1127">
            <v>115</v>
          </cell>
          <cell r="I1127">
            <v>65</v>
          </cell>
          <cell r="J1127">
            <v>90</v>
          </cell>
          <cell r="K1127">
            <v>90</v>
          </cell>
          <cell r="L1127">
            <v>65</v>
          </cell>
          <cell r="M1127">
            <v>525</v>
          </cell>
          <cell r="N1127" t="str">
            <v>flash-fire</v>
          </cell>
          <cell r="O1127" t="str">
            <v>white-smoke</v>
          </cell>
          <cell r="P1127" t="str">
            <v>flame-body</v>
          </cell>
          <cell r="Q1127">
            <v>75</v>
          </cell>
          <cell r="R1127">
            <v>1000</v>
          </cell>
          <cell r="S1127" t="str">
            <v>When it heats up, its body temperature reaches about 1,500 degrees Fahrenheit. It lashes its body like a whip and launches itself at enemies.</v>
          </cell>
          <cell r="T1127" t="str">
            <v>https://raw.githubusercontent.com/PokeAPI/sprites/master/sprites/pokemon/other/official-artwork/10220.png</v>
          </cell>
          <cell r="U1127" t="str">
            <v>https://raw.githubusercontent.com/PokeAPI/sprites/master/sprites/pokemon/other/official-artwork/shiny/10220.png</v>
          </cell>
        </row>
        <row r="1128">
          <cell r="A1128">
            <v>852</v>
          </cell>
          <cell r="C1128" t="str">
            <v>Clobbopus</v>
          </cell>
          <cell r="D1128" t="str">
            <v>Standard</v>
          </cell>
          <cell r="E1128" t="str">
            <v>fighting</v>
          </cell>
          <cell r="G1128">
            <v>50</v>
          </cell>
          <cell r="H1128">
            <v>68</v>
          </cell>
          <cell r="I1128">
            <v>60</v>
          </cell>
          <cell r="J1128">
            <v>50</v>
          </cell>
          <cell r="K1128">
            <v>50</v>
          </cell>
          <cell r="L1128">
            <v>32</v>
          </cell>
          <cell r="M1128">
            <v>310</v>
          </cell>
          <cell r="N1128" t="str">
            <v>limber</v>
          </cell>
          <cell r="P1128" t="str">
            <v>technician</v>
          </cell>
          <cell r="Q1128">
            <v>0.6</v>
          </cell>
          <cell r="R1128">
            <v>4</v>
          </cell>
          <cell r="S1128" t="str">
            <v>It’s very curious, but its means of investigating things is to try to punch them with its tentacles. The search for food is what brings it onto land.</v>
          </cell>
          <cell r="T1128" t="str">
            <v>https://raw.githubusercontent.com/PokeAPI/sprites/master/sprites/pokemon/other/official-artwork/852.png</v>
          </cell>
          <cell r="U1128" t="str">
            <v>https://raw.githubusercontent.com/PokeAPI/sprites/master/sprites/pokemon/other/official-artwork/shiny/852.png</v>
          </cell>
        </row>
        <row r="1129">
          <cell r="A1129">
            <v>853</v>
          </cell>
          <cell r="C1129" t="str">
            <v>Grapploct</v>
          </cell>
          <cell r="D1129" t="str">
            <v>Standard</v>
          </cell>
          <cell r="E1129" t="str">
            <v>fighting</v>
          </cell>
          <cell r="G1129">
            <v>80</v>
          </cell>
          <cell r="H1129">
            <v>118</v>
          </cell>
          <cell r="I1129">
            <v>90</v>
          </cell>
          <cell r="J1129">
            <v>70</v>
          </cell>
          <cell r="K1129">
            <v>80</v>
          </cell>
          <cell r="L1129">
            <v>42</v>
          </cell>
          <cell r="M1129">
            <v>480</v>
          </cell>
          <cell r="N1129" t="str">
            <v>limber</v>
          </cell>
          <cell r="P1129" t="str">
            <v>technician</v>
          </cell>
          <cell r="Q1129">
            <v>1.6</v>
          </cell>
          <cell r="R1129">
            <v>39</v>
          </cell>
          <cell r="S1129" t="str">
            <v>A body made up of nothing but muscle makes the grappling moves this Pokémon performs with its tentacles tremendously powerful.</v>
          </cell>
          <cell r="T1129" t="str">
            <v>https://raw.githubusercontent.com/PokeAPI/sprites/master/sprites/pokemon/other/official-artwork/853.png</v>
          </cell>
          <cell r="U1129" t="str">
            <v>https://raw.githubusercontent.com/PokeAPI/sprites/master/sprites/pokemon/other/official-artwork/shiny/853.png</v>
          </cell>
        </row>
        <row r="1130">
          <cell r="A1130">
            <v>854</v>
          </cell>
          <cell r="C1130" t="str">
            <v>Sinistea</v>
          </cell>
          <cell r="D1130" t="str">
            <v>Standard</v>
          </cell>
          <cell r="E1130" t="str">
            <v>ghost</v>
          </cell>
          <cell r="G1130">
            <v>40</v>
          </cell>
          <cell r="H1130">
            <v>45</v>
          </cell>
          <cell r="I1130">
            <v>45</v>
          </cell>
          <cell r="J1130">
            <v>74</v>
          </cell>
          <cell r="K1130">
            <v>54</v>
          </cell>
          <cell r="L1130">
            <v>50</v>
          </cell>
          <cell r="M1130">
            <v>308</v>
          </cell>
          <cell r="N1130" t="str">
            <v>weak-armor</v>
          </cell>
          <cell r="P1130" t="str">
            <v>cursed-body</v>
          </cell>
          <cell r="Q1130">
            <v>0.1</v>
          </cell>
          <cell r="R1130">
            <v>0.2</v>
          </cell>
          <cell r="S1130" t="str">
            <v>This Pokémon is said to have been born when a lonely spirit possessed a cold, leftover cup of tea.</v>
          </cell>
          <cell r="T1130" t="str">
            <v>https://raw.githubusercontent.com/PokeAPI/sprites/master/sprites/pokemon/other/official-artwork/854.png</v>
          </cell>
          <cell r="U1130" t="str">
            <v>https://raw.githubusercontent.com/PokeAPI/sprites/master/sprites/pokemon/other/official-artwork/shiny/854.png</v>
          </cell>
        </row>
        <row r="1131">
          <cell r="A1131">
            <v>855</v>
          </cell>
          <cell r="C1131" t="str">
            <v>Polteageist</v>
          </cell>
          <cell r="D1131" t="str">
            <v>Standard</v>
          </cell>
          <cell r="E1131" t="str">
            <v>ghost</v>
          </cell>
          <cell r="G1131">
            <v>60</v>
          </cell>
          <cell r="H1131">
            <v>65</v>
          </cell>
          <cell r="I1131">
            <v>65</v>
          </cell>
          <cell r="J1131">
            <v>134</v>
          </cell>
          <cell r="K1131">
            <v>114</v>
          </cell>
          <cell r="L1131">
            <v>70</v>
          </cell>
          <cell r="M1131">
            <v>508</v>
          </cell>
          <cell r="N1131" t="str">
            <v>weak-armor</v>
          </cell>
          <cell r="P1131" t="str">
            <v>cursed-body</v>
          </cell>
          <cell r="Q1131">
            <v>0.2</v>
          </cell>
          <cell r="R1131">
            <v>0.4</v>
          </cell>
          <cell r="S1131" t="str">
            <v>This species lives in antique teapots. Most pots are forgeries, but on rare occasions, an authentic work is found.</v>
          </cell>
          <cell r="T1131" t="str">
            <v>https://raw.githubusercontent.com/PokeAPI/sprites/master/sprites/pokemon/other/official-artwork/855.png</v>
          </cell>
          <cell r="U1131" t="str">
            <v>https://raw.githubusercontent.com/PokeAPI/sprites/master/sprites/pokemon/other/official-artwork/shiny/855.png</v>
          </cell>
        </row>
        <row r="1132">
          <cell r="A1132">
            <v>856</v>
          </cell>
          <cell r="C1132" t="str">
            <v>Hatenna</v>
          </cell>
          <cell r="D1132" t="str">
            <v>Standard</v>
          </cell>
          <cell r="E1132" t="str">
            <v>psychic</v>
          </cell>
          <cell r="G1132">
            <v>42</v>
          </cell>
          <cell r="H1132">
            <v>30</v>
          </cell>
          <cell r="I1132">
            <v>45</v>
          </cell>
          <cell r="J1132">
            <v>56</v>
          </cell>
          <cell r="K1132">
            <v>53</v>
          </cell>
          <cell r="L1132">
            <v>39</v>
          </cell>
          <cell r="M1132">
            <v>265</v>
          </cell>
          <cell r="N1132" t="str">
            <v>healer</v>
          </cell>
          <cell r="O1132" t="str">
            <v>anticipation</v>
          </cell>
          <cell r="P1132" t="str">
            <v>magic-bounce</v>
          </cell>
          <cell r="Q1132">
            <v>0.4</v>
          </cell>
          <cell r="R1132">
            <v>3.4</v>
          </cell>
          <cell r="S1132" t="str">
            <v>Via the protrusion on its head, it senses other creatures’ emotions. If you don’t have a calm disposition, it will never warm up to you.</v>
          </cell>
          <cell r="T1132" t="str">
            <v>https://raw.githubusercontent.com/PokeAPI/sprites/master/sprites/pokemon/other/official-artwork/856.png</v>
          </cell>
          <cell r="U1132" t="str">
            <v>https://raw.githubusercontent.com/PokeAPI/sprites/master/sprites/pokemon/other/official-artwork/shiny/856.png</v>
          </cell>
        </row>
        <row r="1133">
          <cell r="A1133">
            <v>857</v>
          </cell>
          <cell r="C1133" t="str">
            <v>Hattrem</v>
          </cell>
          <cell r="D1133" t="str">
            <v>Standard</v>
          </cell>
          <cell r="E1133" t="str">
            <v>psychic</v>
          </cell>
          <cell r="G1133">
            <v>57</v>
          </cell>
          <cell r="H1133">
            <v>40</v>
          </cell>
          <cell r="I1133">
            <v>65</v>
          </cell>
          <cell r="J1133">
            <v>86</v>
          </cell>
          <cell r="K1133">
            <v>73</v>
          </cell>
          <cell r="L1133">
            <v>49</v>
          </cell>
          <cell r="M1133">
            <v>370</v>
          </cell>
          <cell r="N1133" t="str">
            <v>healer</v>
          </cell>
          <cell r="O1133" t="str">
            <v>anticipation</v>
          </cell>
          <cell r="P1133" t="str">
            <v>magic-bounce</v>
          </cell>
          <cell r="Q1133">
            <v>0.6</v>
          </cell>
          <cell r="R1133">
            <v>4.8</v>
          </cell>
          <cell r="S1133" t="str">
            <v>No matter who you are, if you bring strong emotions near this Pokémon, it will silence you violently.</v>
          </cell>
          <cell r="T1133" t="str">
            <v>https://raw.githubusercontent.com/PokeAPI/sprites/master/sprites/pokemon/other/official-artwork/857.png</v>
          </cell>
          <cell r="U1133" t="str">
            <v>https://raw.githubusercontent.com/PokeAPI/sprites/master/sprites/pokemon/other/official-artwork/shiny/857.png</v>
          </cell>
        </row>
        <row r="1134">
          <cell r="A1134">
            <v>858</v>
          </cell>
          <cell r="C1134" t="str">
            <v>Hatterene</v>
          </cell>
          <cell r="D1134" t="str">
            <v>Standard</v>
          </cell>
          <cell r="E1134" t="str">
            <v>psychic</v>
          </cell>
          <cell r="F1134" t="str">
            <v>fairy</v>
          </cell>
          <cell r="G1134">
            <v>57</v>
          </cell>
          <cell r="H1134">
            <v>90</v>
          </cell>
          <cell r="I1134">
            <v>95</v>
          </cell>
          <cell r="J1134">
            <v>136</v>
          </cell>
          <cell r="K1134">
            <v>103</v>
          </cell>
          <cell r="L1134">
            <v>29</v>
          </cell>
          <cell r="M1134">
            <v>510</v>
          </cell>
          <cell r="N1134" t="str">
            <v>healer</v>
          </cell>
          <cell r="O1134" t="str">
            <v>anticipation</v>
          </cell>
          <cell r="P1134" t="str">
            <v>magic-bounce</v>
          </cell>
          <cell r="Q1134">
            <v>2.1</v>
          </cell>
          <cell r="R1134">
            <v>5.0999999999999996</v>
          </cell>
          <cell r="S1134" t="str">
            <v>It emits psychic power strong enough to cause headaches as a deterrent to the approach of others.</v>
          </cell>
          <cell r="T1134" t="str">
            <v>https://raw.githubusercontent.com/PokeAPI/sprites/master/sprites/pokemon/other/official-artwork/858.png</v>
          </cell>
          <cell r="U1134" t="str">
            <v>https://raw.githubusercontent.com/PokeAPI/sprites/master/sprites/pokemon/other/official-artwork/shiny/858.png</v>
          </cell>
        </row>
        <row r="1135">
          <cell r="A1135">
            <v>858</v>
          </cell>
          <cell r="C1135" t="str">
            <v>Hatterene Gmax</v>
          </cell>
          <cell r="D1135" t="str">
            <v>Gigantamax</v>
          </cell>
          <cell r="E1135" t="str">
            <v>psychic</v>
          </cell>
          <cell r="F1135" t="str">
            <v>fairy</v>
          </cell>
          <cell r="G1135">
            <v>57</v>
          </cell>
          <cell r="H1135">
            <v>90</v>
          </cell>
          <cell r="I1135">
            <v>95</v>
          </cell>
          <cell r="J1135">
            <v>136</v>
          </cell>
          <cell r="K1135">
            <v>103</v>
          </cell>
          <cell r="L1135">
            <v>29</v>
          </cell>
          <cell r="M1135">
            <v>510</v>
          </cell>
          <cell r="N1135" t="str">
            <v>healer</v>
          </cell>
          <cell r="O1135" t="str">
            <v>anticipation</v>
          </cell>
          <cell r="P1135" t="str">
            <v>magic-bounce</v>
          </cell>
          <cell r="Q1135">
            <v>26</v>
          </cell>
          <cell r="R1135">
            <v>1000</v>
          </cell>
          <cell r="S1135" t="str">
            <v>It emits psychic power strong enough to cause headaches as a deterrent to the approach of others.</v>
          </cell>
          <cell r="T1135" t="str">
            <v>https://raw.githubusercontent.com/PokeAPI/sprites/master/sprites/pokemon/other/official-artwork/10221.png</v>
          </cell>
          <cell r="U1135" t="str">
            <v>https://raw.githubusercontent.com/PokeAPI/sprites/master/sprites/pokemon/other/official-artwork/shiny/10221.png</v>
          </cell>
        </row>
        <row r="1136">
          <cell r="A1136">
            <v>859</v>
          </cell>
          <cell r="C1136" t="str">
            <v>Impidimp</v>
          </cell>
          <cell r="D1136" t="str">
            <v>Standard</v>
          </cell>
          <cell r="E1136" t="str">
            <v>dark</v>
          </cell>
          <cell r="F1136" t="str">
            <v>fairy</v>
          </cell>
          <cell r="G1136">
            <v>45</v>
          </cell>
          <cell r="H1136">
            <v>45</v>
          </cell>
          <cell r="I1136">
            <v>30</v>
          </cell>
          <cell r="J1136">
            <v>55</v>
          </cell>
          <cell r="K1136">
            <v>40</v>
          </cell>
          <cell r="L1136">
            <v>50</v>
          </cell>
          <cell r="M1136">
            <v>265</v>
          </cell>
          <cell r="N1136" t="str">
            <v>prankster</v>
          </cell>
          <cell r="O1136" t="str">
            <v>frisk</v>
          </cell>
          <cell r="P1136" t="str">
            <v>pickpocket</v>
          </cell>
          <cell r="Q1136">
            <v>0.4</v>
          </cell>
          <cell r="R1136">
            <v>5.5</v>
          </cell>
          <cell r="S1136" t="str">
            <v>Through its nose, it sucks in the emanations produced by people and Pokémon when they feel annoyed. It thrives off this negative energy.</v>
          </cell>
          <cell r="T1136" t="str">
            <v>https://raw.githubusercontent.com/PokeAPI/sprites/master/sprites/pokemon/other/official-artwork/859.png</v>
          </cell>
          <cell r="U1136" t="str">
            <v>https://raw.githubusercontent.com/PokeAPI/sprites/master/sprites/pokemon/other/official-artwork/shiny/859.png</v>
          </cell>
        </row>
        <row r="1137">
          <cell r="A1137">
            <v>860</v>
          </cell>
          <cell r="C1137" t="str">
            <v>Morgrem</v>
          </cell>
          <cell r="D1137" t="str">
            <v>Standard</v>
          </cell>
          <cell r="E1137" t="str">
            <v>dark</v>
          </cell>
          <cell r="F1137" t="str">
            <v>fairy</v>
          </cell>
          <cell r="G1137">
            <v>65</v>
          </cell>
          <cell r="H1137">
            <v>60</v>
          </cell>
          <cell r="I1137">
            <v>45</v>
          </cell>
          <cell r="J1137">
            <v>75</v>
          </cell>
          <cell r="K1137">
            <v>55</v>
          </cell>
          <cell r="L1137">
            <v>70</v>
          </cell>
          <cell r="M1137">
            <v>370</v>
          </cell>
          <cell r="N1137" t="str">
            <v>prankster</v>
          </cell>
          <cell r="O1137" t="str">
            <v>frisk</v>
          </cell>
          <cell r="P1137" t="str">
            <v>pickpocket</v>
          </cell>
          <cell r="Q1137">
            <v>0.8</v>
          </cell>
          <cell r="R1137">
            <v>12.5</v>
          </cell>
          <cell r="S1137" t="str">
            <v>When it gets down on all fours as if to beg for forgiveness, it’s trying to lure opponents in so that it can stab them with its spear-like hair.</v>
          </cell>
          <cell r="T1137" t="str">
            <v>https://raw.githubusercontent.com/PokeAPI/sprites/master/sprites/pokemon/other/official-artwork/860.png</v>
          </cell>
          <cell r="U1137" t="str">
            <v>https://raw.githubusercontent.com/PokeAPI/sprites/master/sprites/pokemon/other/official-artwork/shiny/860.png</v>
          </cell>
        </row>
        <row r="1138">
          <cell r="A1138">
            <v>861</v>
          </cell>
          <cell r="C1138" t="str">
            <v>Grimmsnarl</v>
          </cell>
          <cell r="D1138" t="str">
            <v>Standard</v>
          </cell>
          <cell r="E1138" t="str">
            <v>dark</v>
          </cell>
          <cell r="F1138" t="str">
            <v>fairy</v>
          </cell>
          <cell r="G1138">
            <v>95</v>
          </cell>
          <cell r="H1138">
            <v>120</v>
          </cell>
          <cell r="I1138">
            <v>65</v>
          </cell>
          <cell r="J1138">
            <v>95</v>
          </cell>
          <cell r="K1138">
            <v>75</v>
          </cell>
          <cell r="L1138">
            <v>60</v>
          </cell>
          <cell r="M1138">
            <v>510</v>
          </cell>
          <cell r="N1138" t="str">
            <v>prankster</v>
          </cell>
          <cell r="O1138" t="str">
            <v>frisk</v>
          </cell>
          <cell r="P1138" t="str">
            <v>pickpocket</v>
          </cell>
          <cell r="Q1138">
            <v>1.5</v>
          </cell>
          <cell r="R1138">
            <v>61</v>
          </cell>
          <cell r="S1138" t="str">
            <v>With the hair wrapped around its body helping to enhance its muscles, this Pokémon can overwhelm even Machamp.</v>
          </cell>
          <cell r="T1138" t="str">
            <v>https://raw.githubusercontent.com/PokeAPI/sprites/master/sprites/pokemon/other/official-artwork/861.png</v>
          </cell>
          <cell r="U1138" t="str">
            <v>https://raw.githubusercontent.com/PokeAPI/sprites/master/sprites/pokemon/other/official-artwork/shiny/861.png</v>
          </cell>
        </row>
        <row r="1139">
          <cell r="A1139">
            <v>861</v>
          </cell>
          <cell r="C1139" t="str">
            <v>Grimmsnarl Gmax</v>
          </cell>
          <cell r="D1139" t="str">
            <v>Gigantamax</v>
          </cell>
          <cell r="E1139" t="str">
            <v>dark</v>
          </cell>
          <cell r="F1139" t="str">
            <v>fairy</v>
          </cell>
          <cell r="G1139">
            <v>95</v>
          </cell>
          <cell r="H1139">
            <v>120</v>
          </cell>
          <cell r="I1139">
            <v>65</v>
          </cell>
          <cell r="J1139">
            <v>95</v>
          </cell>
          <cell r="K1139">
            <v>75</v>
          </cell>
          <cell r="L1139">
            <v>60</v>
          </cell>
          <cell r="M1139">
            <v>510</v>
          </cell>
          <cell r="N1139" t="str">
            <v>prankster</v>
          </cell>
          <cell r="O1139" t="str">
            <v>frisk</v>
          </cell>
          <cell r="P1139" t="str">
            <v>pickpocket</v>
          </cell>
          <cell r="Q1139">
            <v>32</v>
          </cell>
          <cell r="R1139">
            <v>1000</v>
          </cell>
          <cell r="S1139" t="str">
            <v>With the hair wrapped around its body helping to enhance its muscles, this Pokémon can overwhelm even Machamp.</v>
          </cell>
          <cell r="T1139" t="str">
            <v>https://raw.githubusercontent.com/PokeAPI/sprites/master/sprites/pokemon/other/official-artwork/10222.png</v>
          </cell>
          <cell r="U1139" t="str">
            <v>https://raw.githubusercontent.com/PokeAPI/sprites/master/sprites/pokemon/other/official-artwork/shiny/10222.png</v>
          </cell>
        </row>
        <row r="1140">
          <cell r="A1140">
            <v>862</v>
          </cell>
          <cell r="C1140" t="str">
            <v>Obstagoon</v>
          </cell>
          <cell r="D1140" t="str">
            <v>Standard</v>
          </cell>
          <cell r="E1140" t="str">
            <v>dark</v>
          </cell>
          <cell r="F1140" t="str">
            <v>normal</v>
          </cell>
          <cell r="G1140">
            <v>93</v>
          </cell>
          <cell r="H1140">
            <v>90</v>
          </cell>
          <cell r="I1140">
            <v>101</v>
          </cell>
          <cell r="J1140">
            <v>60</v>
          </cell>
          <cell r="K1140">
            <v>81</v>
          </cell>
          <cell r="L1140">
            <v>95</v>
          </cell>
          <cell r="M1140">
            <v>520</v>
          </cell>
          <cell r="N1140" t="str">
            <v>reckless</v>
          </cell>
          <cell r="O1140" t="str">
            <v>guts</v>
          </cell>
          <cell r="P1140" t="str">
            <v>defiant</v>
          </cell>
          <cell r="Q1140">
            <v>1.6</v>
          </cell>
          <cell r="R1140">
            <v>46</v>
          </cell>
          <cell r="S1140" t="str">
            <v>Its voice is staggering in volume. Obstagoon has a tendency to take on a threatening posture and shout—this move is known as Obstruct.</v>
          </cell>
          <cell r="T1140" t="str">
            <v>https://raw.githubusercontent.com/PokeAPI/sprites/master/sprites/pokemon/other/official-artwork/862.png</v>
          </cell>
          <cell r="U1140" t="str">
            <v>https://raw.githubusercontent.com/PokeAPI/sprites/master/sprites/pokemon/other/official-artwork/shiny/862.png</v>
          </cell>
        </row>
        <row r="1141">
          <cell r="A1141">
            <v>863</v>
          </cell>
          <cell r="C1141" t="str">
            <v>Perrserker</v>
          </cell>
          <cell r="D1141" t="str">
            <v>Standard</v>
          </cell>
          <cell r="E1141" t="str">
            <v>steel</v>
          </cell>
          <cell r="G1141">
            <v>70</v>
          </cell>
          <cell r="H1141">
            <v>110</v>
          </cell>
          <cell r="I1141">
            <v>100</v>
          </cell>
          <cell r="J1141">
            <v>50</v>
          </cell>
          <cell r="K1141">
            <v>60</v>
          </cell>
          <cell r="L1141">
            <v>50</v>
          </cell>
          <cell r="M1141">
            <v>440</v>
          </cell>
          <cell r="N1141" t="str">
            <v>battle-armor</v>
          </cell>
          <cell r="O1141" t="str">
            <v>tough-claws</v>
          </cell>
          <cell r="P1141" t="str">
            <v>steely-spirit</v>
          </cell>
          <cell r="Q1141">
            <v>0.8</v>
          </cell>
          <cell r="R1141">
            <v>28</v>
          </cell>
          <cell r="S1141" t="str">
            <v>What appears to be an iron helmet is actually hardened hair. This Pokémon lives for the thrill of battle.</v>
          </cell>
          <cell r="T1141" t="str">
            <v>https://raw.githubusercontent.com/PokeAPI/sprites/master/sprites/pokemon/other/official-artwork/863.png</v>
          </cell>
          <cell r="U1141" t="str">
            <v>https://raw.githubusercontent.com/PokeAPI/sprites/master/sprites/pokemon/other/official-artwork/shiny/863.png</v>
          </cell>
        </row>
        <row r="1142">
          <cell r="A1142">
            <v>864</v>
          </cell>
          <cell r="C1142" t="str">
            <v>Cursola</v>
          </cell>
          <cell r="D1142" t="str">
            <v>Standard</v>
          </cell>
          <cell r="E1142" t="str">
            <v>ghost</v>
          </cell>
          <cell r="G1142">
            <v>60</v>
          </cell>
          <cell r="H1142">
            <v>95</v>
          </cell>
          <cell r="I1142">
            <v>50</v>
          </cell>
          <cell r="J1142">
            <v>145</v>
          </cell>
          <cell r="K1142">
            <v>130</v>
          </cell>
          <cell r="L1142">
            <v>30</v>
          </cell>
          <cell r="M1142">
            <v>510</v>
          </cell>
          <cell r="N1142" t="str">
            <v>weak-armor</v>
          </cell>
          <cell r="P1142" t="str">
            <v>perish-body</v>
          </cell>
          <cell r="Q1142">
            <v>1</v>
          </cell>
          <cell r="R1142">
            <v>0.4</v>
          </cell>
          <cell r="S1142" t="str">
            <v>Its shell is overflowing with its heightened otherworldly energy. The ectoplasm serves as protection for this Pokémon’s core spirit.</v>
          </cell>
          <cell r="T1142" t="str">
            <v>https://raw.githubusercontent.com/PokeAPI/sprites/master/sprites/pokemon/other/official-artwork/864.png</v>
          </cell>
          <cell r="U1142" t="str">
            <v>https://raw.githubusercontent.com/PokeAPI/sprites/master/sprites/pokemon/other/official-artwork/shiny/864.png</v>
          </cell>
        </row>
        <row r="1143">
          <cell r="A1143">
            <v>865</v>
          </cell>
          <cell r="C1143" t="str">
            <v>Sirfetchd</v>
          </cell>
          <cell r="D1143" t="str">
            <v>Standard</v>
          </cell>
          <cell r="E1143" t="str">
            <v>fighting</v>
          </cell>
          <cell r="G1143">
            <v>62</v>
          </cell>
          <cell r="H1143">
            <v>135</v>
          </cell>
          <cell r="I1143">
            <v>95</v>
          </cell>
          <cell r="J1143">
            <v>68</v>
          </cell>
          <cell r="K1143">
            <v>82</v>
          </cell>
          <cell r="L1143">
            <v>65</v>
          </cell>
          <cell r="M1143">
            <v>507</v>
          </cell>
          <cell r="N1143" t="str">
            <v>steadfast</v>
          </cell>
          <cell r="P1143" t="str">
            <v>scrappy</v>
          </cell>
          <cell r="Q1143">
            <v>0.8</v>
          </cell>
          <cell r="R1143">
            <v>117</v>
          </cell>
          <cell r="S1143" t="str">
            <v>Only Farfetch’d that have survived many battles can attain this evolution. When this Pokémon’s leek withers, it will retire from combat.</v>
          </cell>
          <cell r="T1143" t="str">
            <v>https://raw.githubusercontent.com/PokeAPI/sprites/master/sprites/pokemon/other/official-artwork/865.png</v>
          </cell>
          <cell r="U1143" t="str">
            <v>https://raw.githubusercontent.com/PokeAPI/sprites/master/sprites/pokemon/other/official-artwork/shiny/865.png</v>
          </cell>
        </row>
        <row r="1144">
          <cell r="A1144">
            <v>866</v>
          </cell>
          <cell r="C1144" t="str">
            <v>Mr Rime</v>
          </cell>
          <cell r="D1144" t="str">
            <v>Other</v>
          </cell>
          <cell r="E1144" t="str">
            <v>ice</v>
          </cell>
          <cell r="F1144" t="str">
            <v>psychic</v>
          </cell>
          <cell r="G1144">
            <v>80</v>
          </cell>
          <cell r="H1144">
            <v>85</v>
          </cell>
          <cell r="I1144">
            <v>75</v>
          </cell>
          <cell r="J1144">
            <v>110</v>
          </cell>
          <cell r="K1144">
            <v>100</v>
          </cell>
          <cell r="L1144">
            <v>70</v>
          </cell>
          <cell r="M1144">
            <v>520</v>
          </cell>
          <cell r="N1144" t="str">
            <v>tangled-feet</v>
          </cell>
          <cell r="O1144" t="str">
            <v>screen-cleaner</v>
          </cell>
          <cell r="P1144" t="str">
            <v>ice-body</v>
          </cell>
          <cell r="Q1144">
            <v>1.5</v>
          </cell>
          <cell r="R1144">
            <v>58.2</v>
          </cell>
          <cell r="S1144" t="str">
            <v>It’s highly skilled at tap-dancing. It waves its cane of ice in time with its graceful movements.</v>
          </cell>
          <cell r="T1144" t="str">
            <v>https://raw.githubusercontent.com/PokeAPI/sprites/master/sprites/pokemon/other/official-artwork/866.png</v>
          </cell>
          <cell r="U1144" t="str">
            <v>https://raw.githubusercontent.com/PokeAPI/sprites/master/sprites/pokemon/other/official-artwork/shiny/866.png</v>
          </cell>
        </row>
        <row r="1145">
          <cell r="A1145">
            <v>867</v>
          </cell>
          <cell r="C1145" t="str">
            <v>Runerigus</v>
          </cell>
          <cell r="D1145" t="str">
            <v>Standard</v>
          </cell>
          <cell r="E1145" t="str">
            <v>ground</v>
          </cell>
          <cell r="F1145" t="str">
            <v>ghost</v>
          </cell>
          <cell r="G1145">
            <v>58</v>
          </cell>
          <cell r="H1145">
            <v>95</v>
          </cell>
          <cell r="I1145">
            <v>145</v>
          </cell>
          <cell r="J1145">
            <v>50</v>
          </cell>
          <cell r="K1145">
            <v>105</v>
          </cell>
          <cell r="L1145">
            <v>30</v>
          </cell>
          <cell r="M1145">
            <v>483</v>
          </cell>
          <cell r="N1145" t="str">
            <v>wandering-spirit</v>
          </cell>
          <cell r="Q1145">
            <v>1.6</v>
          </cell>
          <cell r="R1145">
            <v>66.599999999999994</v>
          </cell>
          <cell r="S1145" t="str">
            <v>A powerful curse was woven into an ancient painting. After absorbing the spirit of a Yamask, the painting began to move.</v>
          </cell>
          <cell r="T1145" t="str">
            <v>https://raw.githubusercontent.com/PokeAPI/sprites/master/sprites/pokemon/other/official-artwork/867.png</v>
          </cell>
          <cell r="U1145" t="str">
            <v>https://raw.githubusercontent.com/PokeAPI/sprites/master/sprites/pokemon/other/official-artwork/shiny/867.png</v>
          </cell>
        </row>
        <row r="1146">
          <cell r="A1146">
            <v>868</v>
          </cell>
          <cell r="C1146" t="str">
            <v>Milcery</v>
          </cell>
          <cell r="D1146" t="str">
            <v>Standard</v>
          </cell>
          <cell r="E1146" t="str">
            <v>fairy</v>
          </cell>
          <cell r="G1146">
            <v>45</v>
          </cell>
          <cell r="H1146">
            <v>40</v>
          </cell>
          <cell r="I1146">
            <v>40</v>
          </cell>
          <cell r="J1146">
            <v>50</v>
          </cell>
          <cell r="K1146">
            <v>61</v>
          </cell>
          <cell r="L1146">
            <v>34</v>
          </cell>
          <cell r="M1146">
            <v>270</v>
          </cell>
          <cell r="N1146" t="str">
            <v>sweet-veil</v>
          </cell>
          <cell r="P1146" t="str">
            <v>aroma-veil</v>
          </cell>
          <cell r="Q1146">
            <v>0.2</v>
          </cell>
          <cell r="R1146">
            <v>0.3</v>
          </cell>
          <cell r="S1146" t="str">
            <v>This Pokémon was born from sweet-smelling particles in the air. Its body is made of cream.</v>
          </cell>
          <cell r="T1146" t="str">
            <v>https://raw.githubusercontent.com/PokeAPI/sprites/master/sprites/pokemon/other/official-artwork/868.png</v>
          </cell>
          <cell r="U1146" t="str">
            <v>https://raw.githubusercontent.com/PokeAPI/sprites/master/sprites/pokemon/other/official-artwork/shiny/868.png</v>
          </cell>
        </row>
        <row r="1147">
          <cell r="A1147">
            <v>869</v>
          </cell>
          <cell r="C1147" t="str">
            <v>Alcremie</v>
          </cell>
          <cell r="D1147" t="str">
            <v>Standard</v>
          </cell>
          <cell r="E1147" t="str">
            <v>fairy</v>
          </cell>
          <cell r="G1147">
            <v>65</v>
          </cell>
          <cell r="H1147">
            <v>60</v>
          </cell>
          <cell r="I1147">
            <v>75</v>
          </cell>
          <cell r="J1147">
            <v>110</v>
          </cell>
          <cell r="K1147">
            <v>121</v>
          </cell>
          <cell r="L1147">
            <v>64</v>
          </cell>
          <cell r="M1147">
            <v>495</v>
          </cell>
          <cell r="N1147" t="str">
            <v>sweet-veil</v>
          </cell>
          <cell r="P1147" t="str">
            <v>aroma-veil</v>
          </cell>
          <cell r="Q1147">
            <v>0.3</v>
          </cell>
          <cell r="R1147">
            <v>0.5</v>
          </cell>
          <cell r="S1147" t="str">
            <v>When it trusts a Trainer, it will treat them to berries it’s decorated with cream.</v>
          </cell>
          <cell r="T1147" t="str">
            <v>https://raw.githubusercontent.com/PokeAPI/sprites/master/sprites/pokemon/other/official-artwork/869.png</v>
          </cell>
          <cell r="U1147" t="str">
            <v>https://raw.githubusercontent.com/PokeAPI/sprites/master/sprites/pokemon/other/official-artwork/shiny/869.png</v>
          </cell>
        </row>
        <row r="1148">
          <cell r="A1148">
            <v>869</v>
          </cell>
          <cell r="C1148" t="str">
            <v>Alcremie Gmax</v>
          </cell>
          <cell r="D1148" t="str">
            <v>Gigantamax</v>
          </cell>
          <cell r="E1148" t="str">
            <v>fairy</v>
          </cell>
          <cell r="G1148">
            <v>65</v>
          </cell>
          <cell r="H1148">
            <v>60</v>
          </cell>
          <cell r="I1148">
            <v>75</v>
          </cell>
          <cell r="J1148">
            <v>110</v>
          </cell>
          <cell r="K1148">
            <v>121</v>
          </cell>
          <cell r="L1148">
            <v>64</v>
          </cell>
          <cell r="M1148">
            <v>495</v>
          </cell>
          <cell r="N1148" t="str">
            <v>sweet-veil</v>
          </cell>
          <cell r="P1148" t="str">
            <v>aroma-veil</v>
          </cell>
          <cell r="Q1148">
            <v>30</v>
          </cell>
          <cell r="R1148">
            <v>1000</v>
          </cell>
          <cell r="S1148" t="str">
            <v>When it trusts a Trainer, it will treat them to berries it’s decorated with cream.</v>
          </cell>
          <cell r="T1148" t="str">
            <v>https://raw.githubusercontent.com/PokeAPI/sprites/master/sprites/pokemon/other/official-artwork/10223.png</v>
          </cell>
          <cell r="U1148" t="str">
            <v>https://raw.githubusercontent.com/PokeAPI/sprites/master/sprites/pokemon/other/official-artwork/shiny/10223.png</v>
          </cell>
        </row>
        <row r="1149">
          <cell r="A1149">
            <v>870</v>
          </cell>
          <cell r="C1149" t="str">
            <v>Falinks</v>
          </cell>
          <cell r="D1149" t="str">
            <v>Standard</v>
          </cell>
          <cell r="E1149" t="str">
            <v>fighting</v>
          </cell>
          <cell r="G1149">
            <v>65</v>
          </cell>
          <cell r="H1149">
            <v>100</v>
          </cell>
          <cell r="I1149">
            <v>100</v>
          </cell>
          <cell r="J1149">
            <v>70</v>
          </cell>
          <cell r="K1149">
            <v>60</v>
          </cell>
          <cell r="L1149">
            <v>75</v>
          </cell>
          <cell r="M1149">
            <v>470</v>
          </cell>
          <cell r="N1149" t="str">
            <v>battle-armor</v>
          </cell>
          <cell r="P1149" t="str">
            <v>defiant</v>
          </cell>
          <cell r="Q1149">
            <v>3</v>
          </cell>
          <cell r="R1149">
            <v>62</v>
          </cell>
          <cell r="S1149" t="str">
            <v>Five of them are troopers, and one is the brass. The brass’s orders are absolute.</v>
          </cell>
          <cell r="T1149" t="str">
            <v>https://raw.githubusercontent.com/PokeAPI/sprites/master/sprites/pokemon/other/official-artwork/870.png</v>
          </cell>
          <cell r="U1149" t="str">
            <v>https://raw.githubusercontent.com/PokeAPI/sprites/master/sprites/pokemon/other/official-artwork/shiny/870.png</v>
          </cell>
        </row>
        <row r="1150">
          <cell r="A1150">
            <v>870</v>
          </cell>
          <cell r="C1150" t="str">
            <v>Falinks Mega</v>
          </cell>
          <cell r="D1150" t="str">
            <v>Mega</v>
          </cell>
          <cell r="E1150" t="str">
            <v>fighting</v>
          </cell>
          <cell r="G1150">
            <v>65</v>
          </cell>
          <cell r="H1150">
            <v>135</v>
          </cell>
          <cell r="I1150">
            <v>135</v>
          </cell>
          <cell r="J1150">
            <v>70</v>
          </cell>
          <cell r="K1150">
            <v>65</v>
          </cell>
          <cell r="L1150">
            <v>100</v>
          </cell>
          <cell r="M1150">
            <v>570</v>
          </cell>
          <cell r="Q1150">
            <v>1.6</v>
          </cell>
          <cell r="R1150">
            <v>99</v>
          </cell>
          <cell r="S1150" t="str">
            <v>Five of them are troopers, and one is the brass. The brass’s orders are absolute.</v>
          </cell>
        </row>
        <row r="1151">
          <cell r="A1151">
            <v>871</v>
          </cell>
          <cell r="C1151" t="str">
            <v>Pincurchin</v>
          </cell>
          <cell r="D1151" t="str">
            <v>Standard</v>
          </cell>
          <cell r="E1151" t="str">
            <v>electric</v>
          </cell>
          <cell r="G1151">
            <v>48</v>
          </cell>
          <cell r="H1151">
            <v>101</v>
          </cell>
          <cell r="I1151">
            <v>95</v>
          </cell>
          <cell r="J1151">
            <v>91</v>
          </cell>
          <cell r="K1151">
            <v>85</v>
          </cell>
          <cell r="L1151">
            <v>15</v>
          </cell>
          <cell r="M1151">
            <v>435</v>
          </cell>
          <cell r="N1151" t="str">
            <v>lightning-rod</v>
          </cell>
          <cell r="P1151" t="str">
            <v>electric-surge</v>
          </cell>
          <cell r="Q1151">
            <v>0.3</v>
          </cell>
          <cell r="R1151">
            <v>1</v>
          </cell>
          <cell r="S1151" t="str">
            <v>It feeds on seaweed, using its teeth to scrape it off rocks. Electric current flows from the tips of its spines.</v>
          </cell>
          <cell r="T1151" t="str">
            <v>https://raw.githubusercontent.com/PokeAPI/sprites/master/sprites/pokemon/other/official-artwork/871.png</v>
          </cell>
          <cell r="U1151" t="str">
            <v>https://raw.githubusercontent.com/PokeAPI/sprites/master/sprites/pokemon/other/official-artwork/shiny/871.png</v>
          </cell>
        </row>
        <row r="1152">
          <cell r="A1152">
            <v>872</v>
          </cell>
          <cell r="C1152" t="str">
            <v>Snom</v>
          </cell>
          <cell r="D1152" t="str">
            <v>Standard</v>
          </cell>
          <cell r="E1152" t="str">
            <v>ice</v>
          </cell>
          <cell r="F1152" t="str">
            <v>bug</v>
          </cell>
          <cell r="G1152">
            <v>30</v>
          </cell>
          <cell r="H1152">
            <v>25</v>
          </cell>
          <cell r="I1152">
            <v>35</v>
          </cell>
          <cell r="J1152">
            <v>45</v>
          </cell>
          <cell r="K1152">
            <v>30</v>
          </cell>
          <cell r="L1152">
            <v>20</v>
          </cell>
          <cell r="M1152">
            <v>185</v>
          </cell>
          <cell r="N1152" t="str">
            <v>shield-dust</v>
          </cell>
          <cell r="P1152" t="str">
            <v>ice-scales</v>
          </cell>
          <cell r="Q1152">
            <v>0.3</v>
          </cell>
          <cell r="R1152">
            <v>3.8</v>
          </cell>
          <cell r="S1152" t="str">
            <v>It spits out thread imbued with a frigid sort of energy and uses it to tie its body to branches, disguising itself as an icicle while it sleeps.</v>
          </cell>
          <cell r="T1152" t="str">
            <v>https://raw.githubusercontent.com/PokeAPI/sprites/master/sprites/pokemon/other/official-artwork/872.png</v>
          </cell>
          <cell r="U1152" t="str">
            <v>https://raw.githubusercontent.com/PokeAPI/sprites/master/sprites/pokemon/other/official-artwork/shiny/872.png</v>
          </cell>
        </row>
        <row r="1153">
          <cell r="A1153">
            <v>873</v>
          </cell>
          <cell r="C1153" t="str">
            <v>Frosmoth</v>
          </cell>
          <cell r="D1153" t="str">
            <v>Standard</v>
          </cell>
          <cell r="E1153" t="str">
            <v>ice</v>
          </cell>
          <cell r="F1153" t="str">
            <v>bug</v>
          </cell>
          <cell r="G1153">
            <v>70</v>
          </cell>
          <cell r="H1153">
            <v>65</v>
          </cell>
          <cell r="I1153">
            <v>60</v>
          </cell>
          <cell r="J1153">
            <v>125</v>
          </cell>
          <cell r="K1153">
            <v>90</v>
          </cell>
          <cell r="L1153">
            <v>65</v>
          </cell>
          <cell r="M1153">
            <v>475</v>
          </cell>
          <cell r="N1153" t="str">
            <v>shield-dust</v>
          </cell>
          <cell r="P1153" t="str">
            <v>ice-scales</v>
          </cell>
          <cell r="Q1153">
            <v>1.3</v>
          </cell>
          <cell r="R1153">
            <v>42</v>
          </cell>
          <cell r="S1153" t="str">
            <v>Icy scales fall from its wings like snow as it flies over fields and mountains. The temperature of its wings is less than −290 degrees Fahrenheit.</v>
          </cell>
          <cell r="T1153" t="str">
            <v>https://raw.githubusercontent.com/PokeAPI/sprites/master/sprites/pokemon/other/official-artwork/873.png</v>
          </cell>
          <cell r="U1153" t="str">
            <v>https://raw.githubusercontent.com/PokeAPI/sprites/master/sprites/pokemon/other/official-artwork/shiny/873.png</v>
          </cell>
        </row>
        <row r="1154">
          <cell r="A1154">
            <v>874</v>
          </cell>
          <cell r="C1154" t="str">
            <v>Stonjourner</v>
          </cell>
          <cell r="D1154" t="str">
            <v>Standard</v>
          </cell>
          <cell r="E1154" t="str">
            <v>rock</v>
          </cell>
          <cell r="G1154">
            <v>100</v>
          </cell>
          <cell r="H1154">
            <v>125</v>
          </cell>
          <cell r="I1154">
            <v>135</v>
          </cell>
          <cell r="J1154">
            <v>20</v>
          </cell>
          <cell r="K1154">
            <v>20</v>
          </cell>
          <cell r="L1154">
            <v>70</v>
          </cell>
          <cell r="M1154">
            <v>470</v>
          </cell>
          <cell r="N1154" t="str">
            <v>power-spot</v>
          </cell>
          <cell r="Q1154">
            <v>2.5</v>
          </cell>
          <cell r="R1154">
            <v>520</v>
          </cell>
          <cell r="S1154" t="str">
            <v>It stands in grasslands, watching the sun’s descent from zenith to horizon. This Pokémon has a talent for delivering dynamic kicks.</v>
          </cell>
          <cell r="T1154" t="str">
            <v>https://raw.githubusercontent.com/PokeAPI/sprites/master/sprites/pokemon/other/official-artwork/874.png</v>
          </cell>
          <cell r="U1154" t="str">
            <v>https://raw.githubusercontent.com/PokeAPI/sprites/master/sprites/pokemon/other/official-artwork/shiny/874.png</v>
          </cell>
        </row>
        <row r="1155">
          <cell r="A1155">
            <v>875</v>
          </cell>
          <cell r="C1155" t="str">
            <v>Eiscue Ice</v>
          </cell>
          <cell r="D1155" t="str">
            <v>Other</v>
          </cell>
          <cell r="E1155" t="str">
            <v>ice</v>
          </cell>
          <cell r="G1155">
            <v>75</v>
          </cell>
          <cell r="H1155">
            <v>80</v>
          </cell>
          <cell r="I1155">
            <v>110</v>
          </cell>
          <cell r="J1155">
            <v>65</v>
          </cell>
          <cell r="K1155">
            <v>90</v>
          </cell>
          <cell r="L1155">
            <v>50</v>
          </cell>
          <cell r="M1155">
            <v>470</v>
          </cell>
          <cell r="N1155" t="str">
            <v>ice-face</v>
          </cell>
          <cell r="Q1155">
            <v>1.4</v>
          </cell>
          <cell r="R1155">
            <v>89</v>
          </cell>
          <cell r="S1155" t="str">
            <v>It drifted in on the flow of ocean waters from a frigid place. It keeps its head iced constantly to make sure it stays nice and cold.</v>
          </cell>
          <cell r="T1155" t="str">
            <v>https://raw.githubusercontent.com/PokeAPI/sprites/master/sprites/pokemon/other/official-artwork/875.png</v>
          </cell>
          <cell r="U1155" t="str">
            <v>https://raw.githubusercontent.com/PokeAPI/sprites/master/sprites/pokemon/other/official-artwork/shiny/875.png</v>
          </cell>
        </row>
        <row r="1156">
          <cell r="A1156">
            <v>875</v>
          </cell>
          <cell r="C1156" t="str">
            <v>Eiscue Noice</v>
          </cell>
          <cell r="D1156" t="str">
            <v>Other</v>
          </cell>
          <cell r="E1156" t="str">
            <v>ice</v>
          </cell>
          <cell r="G1156">
            <v>75</v>
          </cell>
          <cell r="H1156">
            <v>80</v>
          </cell>
          <cell r="I1156">
            <v>70</v>
          </cell>
          <cell r="J1156">
            <v>65</v>
          </cell>
          <cell r="K1156">
            <v>50</v>
          </cell>
          <cell r="L1156">
            <v>130</v>
          </cell>
          <cell r="M1156">
            <v>470</v>
          </cell>
          <cell r="N1156" t="str">
            <v>ice-face</v>
          </cell>
          <cell r="Q1156">
            <v>1.4</v>
          </cell>
          <cell r="R1156">
            <v>89</v>
          </cell>
          <cell r="S1156" t="str">
            <v>It drifted in on the flow of ocean waters from a frigid place. It keeps its head iced constantly to make sure it stays nice and cold.</v>
          </cell>
          <cell r="T1156" t="str">
            <v>https://raw.githubusercontent.com/PokeAPI/sprites/master/sprites/pokemon/other/official-artwork/10185.png</v>
          </cell>
          <cell r="U1156" t="str">
            <v>https://raw.githubusercontent.com/PokeAPI/sprites/master/sprites/pokemon/other/official-artwork/shiny/10185.png</v>
          </cell>
        </row>
        <row r="1157">
          <cell r="A1157">
            <v>876</v>
          </cell>
          <cell r="C1157" t="str">
            <v>Indeedee Female</v>
          </cell>
          <cell r="D1157" t="str">
            <v>Other</v>
          </cell>
          <cell r="E1157" t="str">
            <v>psychic</v>
          </cell>
          <cell r="F1157" t="str">
            <v>normal</v>
          </cell>
          <cell r="G1157">
            <v>70</v>
          </cell>
          <cell r="H1157">
            <v>55</v>
          </cell>
          <cell r="I1157">
            <v>65</v>
          </cell>
          <cell r="J1157">
            <v>95</v>
          </cell>
          <cell r="K1157">
            <v>105</v>
          </cell>
          <cell r="L1157">
            <v>85</v>
          </cell>
          <cell r="M1157">
            <v>475</v>
          </cell>
          <cell r="N1157" t="str">
            <v>own-tempo</v>
          </cell>
          <cell r="O1157" t="str">
            <v>synchronize</v>
          </cell>
          <cell r="P1157" t="str">
            <v>psychic-surge</v>
          </cell>
          <cell r="Q1157">
            <v>0.9</v>
          </cell>
          <cell r="R1157">
            <v>28</v>
          </cell>
          <cell r="S1157" t="str">
            <v>It uses the horns on its head to sense the emotions of others. Males will act as valets for those they serve, looking after their every need.</v>
          </cell>
          <cell r="T1157" t="str">
            <v>https://raw.githubusercontent.com/PokeAPI/sprites/master/sprites/pokemon/other/official-artwork/10186.png</v>
          </cell>
          <cell r="U1157" t="str">
            <v>https://raw.githubusercontent.com/PokeAPI/sprites/master/sprites/pokemon/other/official-artwork/shiny/10186.png</v>
          </cell>
        </row>
        <row r="1158">
          <cell r="A1158">
            <v>876</v>
          </cell>
          <cell r="C1158" t="str">
            <v>Indeedee Male</v>
          </cell>
          <cell r="D1158" t="str">
            <v>Other</v>
          </cell>
          <cell r="E1158" t="str">
            <v>psychic</v>
          </cell>
          <cell r="F1158" t="str">
            <v>normal</v>
          </cell>
          <cell r="G1158">
            <v>60</v>
          </cell>
          <cell r="H1158">
            <v>65</v>
          </cell>
          <cell r="I1158">
            <v>55</v>
          </cell>
          <cell r="J1158">
            <v>105</v>
          </cell>
          <cell r="K1158">
            <v>95</v>
          </cell>
          <cell r="L1158">
            <v>95</v>
          </cell>
          <cell r="M1158">
            <v>475</v>
          </cell>
          <cell r="N1158" t="str">
            <v>inner-focus</v>
          </cell>
          <cell r="O1158" t="str">
            <v>synchronize</v>
          </cell>
          <cell r="P1158" t="str">
            <v>psychic-surge</v>
          </cell>
          <cell r="Q1158">
            <v>0.9</v>
          </cell>
          <cell r="R1158">
            <v>28</v>
          </cell>
          <cell r="S1158" t="str">
            <v>It uses the horns on its head to sense the emotions of others. Males will act as valets for those they serve, looking after their every need.</v>
          </cell>
          <cell r="T1158" t="str">
            <v>https://raw.githubusercontent.com/PokeAPI/sprites/master/sprites/pokemon/other/official-artwork/876.png</v>
          </cell>
          <cell r="U1158" t="str">
            <v>https://raw.githubusercontent.com/PokeAPI/sprites/master/sprites/pokemon/other/official-artwork/shiny/876.png</v>
          </cell>
        </row>
        <row r="1159">
          <cell r="A1159">
            <v>877</v>
          </cell>
          <cell r="C1159" t="str">
            <v>Morpeko Full Belly</v>
          </cell>
          <cell r="D1159" t="str">
            <v>Other</v>
          </cell>
          <cell r="E1159" t="str">
            <v>electric</v>
          </cell>
          <cell r="F1159" t="str">
            <v>dark</v>
          </cell>
          <cell r="G1159">
            <v>58</v>
          </cell>
          <cell r="H1159">
            <v>95</v>
          </cell>
          <cell r="I1159">
            <v>58</v>
          </cell>
          <cell r="J1159">
            <v>70</v>
          </cell>
          <cell r="K1159">
            <v>58</v>
          </cell>
          <cell r="L1159">
            <v>97</v>
          </cell>
          <cell r="M1159">
            <v>436</v>
          </cell>
          <cell r="N1159" t="str">
            <v>hunger-switch</v>
          </cell>
          <cell r="Q1159">
            <v>0.3</v>
          </cell>
          <cell r="R1159">
            <v>3</v>
          </cell>
          <cell r="S1159" t="str">
            <v>As it eats the seeds stored up in its pocket-like pouches, this Pokémon is not just satisfying its constant hunger. It’s also generating electricity.</v>
          </cell>
          <cell r="T1159" t="str">
            <v>https://raw.githubusercontent.com/PokeAPI/sprites/master/sprites/pokemon/other/official-artwork/877.png</v>
          </cell>
          <cell r="U1159" t="str">
            <v>https://raw.githubusercontent.com/PokeAPI/sprites/master/sprites/pokemon/other/official-artwork/shiny/877.png</v>
          </cell>
        </row>
        <row r="1160">
          <cell r="A1160">
            <v>877</v>
          </cell>
          <cell r="C1160" t="str">
            <v>Morpeko Hangry</v>
          </cell>
          <cell r="D1160" t="str">
            <v>Other</v>
          </cell>
          <cell r="E1160" t="str">
            <v>electric</v>
          </cell>
          <cell r="F1160" t="str">
            <v>dark</v>
          </cell>
          <cell r="G1160">
            <v>58</v>
          </cell>
          <cell r="H1160">
            <v>95</v>
          </cell>
          <cell r="I1160">
            <v>58</v>
          </cell>
          <cell r="J1160">
            <v>70</v>
          </cell>
          <cell r="K1160">
            <v>58</v>
          </cell>
          <cell r="L1160">
            <v>97</v>
          </cell>
          <cell r="M1160">
            <v>436</v>
          </cell>
          <cell r="N1160" t="str">
            <v>hunger-switch</v>
          </cell>
          <cell r="Q1160">
            <v>0.3</v>
          </cell>
          <cell r="R1160">
            <v>3</v>
          </cell>
          <cell r="S1160" t="str">
            <v>As it eats the seeds stored up in its pocket-like pouches, this Pokémon is not just satisfying its constant hunger. It’s also generating electricity.</v>
          </cell>
          <cell r="T1160" t="str">
            <v>https://raw.githubusercontent.com/PokeAPI/sprites/master/sprites/pokemon/other/official-artwork/10187.png</v>
          </cell>
          <cell r="U1160" t="str">
            <v>https://raw.githubusercontent.com/PokeAPI/sprites/master/sprites/pokemon/other/official-artwork/shiny/10187.png</v>
          </cell>
        </row>
        <row r="1161">
          <cell r="A1161">
            <v>878</v>
          </cell>
          <cell r="C1161" t="str">
            <v>Cufant</v>
          </cell>
          <cell r="D1161" t="str">
            <v>Standard</v>
          </cell>
          <cell r="E1161" t="str">
            <v>steel</v>
          </cell>
          <cell r="G1161">
            <v>72</v>
          </cell>
          <cell r="H1161">
            <v>80</v>
          </cell>
          <cell r="I1161">
            <v>49</v>
          </cell>
          <cell r="J1161">
            <v>40</v>
          </cell>
          <cell r="K1161">
            <v>49</v>
          </cell>
          <cell r="L1161">
            <v>40</v>
          </cell>
          <cell r="M1161">
            <v>330</v>
          </cell>
          <cell r="N1161" t="str">
            <v>sheer-force</v>
          </cell>
          <cell r="P1161" t="str">
            <v>heavy-metal</v>
          </cell>
          <cell r="Q1161">
            <v>1.2</v>
          </cell>
          <cell r="R1161">
            <v>100</v>
          </cell>
          <cell r="S1161" t="str">
            <v>It digs up the ground with its trunk. It’s also very strong, being able to carry loads of over five tons without any problem at all.</v>
          </cell>
          <cell r="T1161" t="str">
            <v>https://raw.githubusercontent.com/PokeAPI/sprites/master/sprites/pokemon/other/official-artwork/878.png</v>
          </cell>
          <cell r="U1161" t="str">
            <v>https://raw.githubusercontent.com/PokeAPI/sprites/master/sprites/pokemon/other/official-artwork/shiny/878.png</v>
          </cell>
        </row>
        <row r="1162">
          <cell r="A1162">
            <v>879</v>
          </cell>
          <cell r="C1162" t="str">
            <v>Copperajah</v>
          </cell>
          <cell r="D1162" t="str">
            <v>Standard</v>
          </cell>
          <cell r="E1162" t="str">
            <v>steel</v>
          </cell>
          <cell r="G1162">
            <v>122</v>
          </cell>
          <cell r="H1162">
            <v>130</v>
          </cell>
          <cell r="I1162">
            <v>69</v>
          </cell>
          <cell r="J1162">
            <v>80</v>
          </cell>
          <cell r="K1162">
            <v>69</v>
          </cell>
          <cell r="L1162">
            <v>30</v>
          </cell>
          <cell r="M1162">
            <v>500</v>
          </cell>
          <cell r="N1162" t="str">
            <v>sheer-force</v>
          </cell>
          <cell r="P1162" t="str">
            <v>heavy-metal</v>
          </cell>
          <cell r="Q1162">
            <v>3</v>
          </cell>
          <cell r="R1162">
            <v>650</v>
          </cell>
          <cell r="S1162" t="str">
            <v>They came over from another region long ago and worked together with humans. Their green skin is resistant to water.</v>
          </cell>
          <cell r="T1162" t="str">
            <v>https://raw.githubusercontent.com/PokeAPI/sprites/master/sprites/pokemon/other/official-artwork/879.png</v>
          </cell>
          <cell r="U1162" t="str">
            <v>https://raw.githubusercontent.com/PokeAPI/sprites/master/sprites/pokemon/other/official-artwork/shiny/879.png</v>
          </cell>
        </row>
        <row r="1163">
          <cell r="A1163">
            <v>879</v>
          </cell>
          <cell r="C1163" t="str">
            <v>Copperajah Gmax</v>
          </cell>
          <cell r="D1163" t="str">
            <v>Gigantamax</v>
          </cell>
          <cell r="E1163" t="str">
            <v>steel</v>
          </cell>
          <cell r="G1163">
            <v>122</v>
          </cell>
          <cell r="H1163">
            <v>130</v>
          </cell>
          <cell r="I1163">
            <v>69</v>
          </cell>
          <cell r="J1163">
            <v>80</v>
          </cell>
          <cell r="K1163">
            <v>69</v>
          </cell>
          <cell r="L1163">
            <v>30</v>
          </cell>
          <cell r="M1163">
            <v>500</v>
          </cell>
          <cell r="N1163" t="str">
            <v>sheer-force</v>
          </cell>
          <cell r="P1163" t="str">
            <v>heavy-metal</v>
          </cell>
          <cell r="Q1163">
            <v>23</v>
          </cell>
          <cell r="R1163">
            <v>1000</v>
          </cell>
          <cell r="S1163" t="str">
            <v>They came over from another region long ago and worked together with humans. Their green skin is resistant to water.</v>
          </cell>
          <cell r="T1163" t="str">
            <v>https://raw.githubusercontent.com/PokeAPI/sprites/master/sprites/pokemon/other/official-artwork/10224.png</v>
          </cell>
          <cell r="U1163" t="str">
            <v>https://raw.githubusercontent.com/PokeAPI/sprites/master/sprites/pokemon/other/official-artwork/shiny/10224.png</v>
          </cell>
        </row>
        <row r="1164">
          <cell r="A1164">
            <v>880</v>
          </cell>
          <cell r="C1164" t="str">
            <v>Dracozolt</v>
          </cell>
          <cell r="D1164" t="str">
            <v>Standard</v>
          </cell>
          <cell r="E1164" t="str">
            <v>electric</v>
          </cell>
          <cell r="F1164" t="str">
            <v>dragon</v>
          </cell>
          <cell r="G1164">
            <v>90</v>
          </cell>
          <cell r="H1164">
            <v>100</v>
          </cell>
          <cell r="I1164">
            <v>90</v>
          </cell>
          <cell r="J1164">
            <v>80</v>
          </cell>
          <cell r="K1164">
            <v>70</v>
          </cell>
          <cell r="L1164">
            <v>75</v>
          </cell>
          <cell r="M1164">
            <v>505</v>
          </cell>
          <cell r="N1164" t="str">
            <v>volt-absorb</v>
          </cell>
          <cell r="O1164" t="str">
            <v>hustle</v>
          </cell>
          <cell r="P1164" t="str">
            <v>sand-rush</v>
          </cell>
          <cell r="Q1164">
            <v>1.8</v>
          </cell>
          <cell r="R1164">
            <v>190</v>
          </cell>
          <cell r="S1164" t="str">
            <v>In ancient times, it was unbeatable thanks to its powerful lower body, but it went extinct anyway after it depleted all its plant-based food sources.</v>
          </cell>
          <cell r="T1164" t="str">
            <v>https://raw.githubusercontent.com/PokeAPI/sprites/master/sprites/pokemon/other/official-artwork/880.png</v>
          </cell>
          <cell r="U1164" t="str">
            <v>https://raw.githubusercontent.com/PokeAPI/sprites/master/sprites/pokemon/other/official-artwork/shiny/880.png</v>
          </cell>
        </row>
        <row r="1165">
          <cell r="A1165">
            <v>881</v>
          </cell>
          <cell r="C1165" t="str">
            <v>Arctozolt</v>
          </cell>
          <cell r="D1165" t="str">
            <v>Standard</v>
          </cell>
          <cell r="E1165" t="str">
            <v>electric</v>
          </cell>
          <cell r="F1165" t="str">
            <v>ice</v>
          </cell>
          <cell r="G1165">
            <v>90</v>
          </cell>
          <cell r="H1165">
            <v>100</v>
          </cell>
          <cell r="I1165">
            <v>90</v>
          </cell>
          <cell r="J1165">
            <v>90</v>
          </cell>
          <cell r="K1165">
            <v>80</v>
          </cell>
          <cell r="L1165">
            <v>55</v>
          </cell>
          <cell r="M1165">
            <v>505</v>
          </cell>
          <cell r="N1165" t="str">
            <v>volt-absorb</v>
          </cell>
          <cell r="O1165" t="str">
            <v>static</v>
          </cell>
          <cell r="P1165" t="str">
            <v>slush-rush</v>
          </cell>
          <cell r="Q1165">
            <v>2.2999999999999998</v>
          </cell>
          <cell r="R1165">
            <v>150</v>
          </cell>
          <cell r="S1165" t="str">
            <v>The shaking of its freezing upper half is what generates its electricity. It has a hard time walking around.</v>
          </cell>
          <cell r="T1165" t="str">
            <v>https://raw.githubusercontent.com/PokeAPI/sprites/master/sprites/pokemon/other/official-artwork/881.png</v>
          </cell>
          <cell r="U1165" t="str">
            <v>https://raw.githubusercontent.com/PokeAPI/sprites/master/sprites/pokemon/other/official-artwork/shiny/881.png</v>
          </cell>
        </row>
        <row r="1166">
          <cell r="A1166">
            <v>882</v>
          </cell>
          <cell r="C1166" t="str">
            <v>Dracovish</v>
          </cell>
          <cell r="D1166" t="str">
            <v>Standard</v>
          </cell>
          <cell r="E1166" t="str">
            <v>water</v>
          </cell>
          <cell r="F1166" t="str">
            <v>dragon</v>
          </cell>
          <cell r="G1166">
            <v>90</v>
          </cell>
          <cell r="H1166">
            <v>90</v>
          </cell>
          <cell r="I1166">
            <v>100</v>
          </cell>
          <cell r="J1166">
            <v>70</v>
          </cell>
          <cell r="K1166">
            <v>80</v>
          </cell>
          <cell r="L1166">
            <v>75</v>
          </cell>
          <cell r="M1166">
            <v>505</v>
          </cell>
          <cell r="N1166" t="str">
            <v>water-absorb</v>
          </cell>
          <cell r="O1166" t="str">
            <v>strong-jaw</v>
          </cell>
          <cell r="P1166" t="str">
            <v>sand-rush</v>
          </cell>
          <cell r="Q1166">
            <v>2.2999999999999998</v>
          </cell>
          <cell r="R1166">
            <v>215</v>
          </cell>
          <cell r="S1166" t="str">
            <v>Powerful legs and jaws made it the apex predator of its time. Its own overhunting of its prey was what drove it to extinction.</v>
          </cell>
          <cell r="T1166" t="str">
            <v>https://raw.githubusercontent.com/PokeAPI/sprites/master/sprites/pokemon/other/official-artwork/882.png</v>
          </cell>
          <cell r="U1166" t="str">
            <v>https://raw.githubusercontent.com/PokeAPI/sprites/master/sprites/pokemon/other/official-artwork/shiny/882.png</v>
          </cell>
        </row>
        <row r="1167">
          <cell r="A1167">
            <v>883</v>
          </cell>
          <cell r="C1167" t="str">
            <v>Arctovish</v>
          </cell>
          <cell r="D1167" t="str">
            <v>Standard</v>
          </cell>
          <cell r="E1167" t="str">
            <v>water</v>
          </cell>
          <cell r="F1167" t="str">
            <v>ice</v>
          </cell>
          <cell r="G1167">
            <v>90</v>
          </cell>
          <cell r="H1167">
            <v>90</v>
          </cell>
          <cell r="I1167">
            <v>100</v>
          </cell>
          <cell r="J1167">
            <v>80</v>
          </cell>
          <cell r="K1167">
            <v>90</v>
          </cell>
          <cell r="L1167">
            <v>55</v>
          </cell>
          <cell r="M1167">
            <v>505</v>
          </cell>
          <cell r="N1167" t="str">
            <v>water-absorb</v>
          </cell>
          <cell r="O1167" t="str">
            <v>ice-body</v>
          </cell>
          <cell r="P1167" t="str">
            <v>slush-rush</v>
          </cell>
          <cell r="Q1167">
            <v>2</v>
          </cell>
          <cell r="R1167">
            <v>175</v>
          </cell>
          <cell r="S1167" t="str">
            <v>Though it’s able to capture prey by freezing its surroundings, it has trouble eating the prey afterward because its mouth is on top of its head.</v>
          </cell>
          <cell r="T1167" t="str">
            <v>https://raw.githubusercontent.com/PokeAPI/sprites/master/sprites/pokemon/other/official-artwork/883.png</v>
          </cell>
          <cell r="U1167" t="str">
            <v>https://raw.githubusercontent.com/PokeAPI/sprites/master/sprites/pokemon/other/official-artwork/shiny/883.png</v>
          </cell>
        </row>
        <row r="1168">
          <cell r="A1168">
            <v>884</v>
          </cell>
          <cell r="C1168" t="str">
            <v>Duraludon</v>
          </cell>
          <cell r="D1168" t="str">
            <v>Standard</v>
          </cell>
          <cell r="E1168" t="str">
            <v>steel</v>
          </cell>
          <cell r="F1168" t="str">
            <v>dragon</v>
          </cell>
          <cell r="G1168">
            <v>70</v>
          </cell>
          <cell r="H1168">
            <v>95</v>
          </cell>
          <cell r="I1168">
            <v>115</v>
          </cell>
          <cell r="J1168">
            <v>120</v>
          </cell>
          <cell r="K1168">
            <v>50</v>
          </cell>
          <cell r="L1168">
            <v>85</v>
          </cell>
          <cell r="M1168">
            <v>535</v>
          </cell>
          <cell r="N1168" t="str">
            <v>light-metal</v>
          </cell>
          <cell r="O1168" t="str">
            <v>heavy-metal</v>
          </cell>
          <cell r="P1168" t="str">
            <v>stalwart</v>
          </cell>
          <cell r="Q1168">
            <v>1.8</v>
          </cell>
          <cell r="R1168">
            <v>40</v>
          </cell>
          <cell r="S1168" t="str">
            <v>Its body resembles polished metal, and it’s both lightweight and strong. The only drawback is that it rusts easily.</v>
          </cell>
          <cell r="T1168" t="str">
            <v>https://raw.githubusercontent.com/PokeAPI/sprites/master/sprites/pokemon/other/official-artwork/884.png</v>
          </cell>
          <cell r="U1168" t="str">
            <v>https://raw.githubusercontent.com/PokeAPI/sprites/master/sprites/pokemon/other/official-artwork/shiny/884.png</v>
          </cell>
        </row>
        <row r="1169">
          <cell r="A1169">
            <v>884</v>
          </cell>
          <cell r="C1169" t="str">
            <v>Duraludon Gmax</v>
          </cell>
          <cell r="D1169" t="str">
            <v>Gigantamax</v>
          </cell>
          <cell r="E1169" t="str">
            <v>steel</v>
          </cell>
          <cell r="F1169" t="str">
            <v>dragon</v>
          </cell>
          <cell r="G1169">
            <v>70</v>
          </cell>
          <cell r="H1169">
            <v>95</v>
          </cell>
          <cell r="I1169">
            <v>115</v>
          </cell>
          <cell r="J1169">
            <v>120</v>
          </cell>
          <cell r="K1169">
            <v>50</v>
          </cell>
          <cell r="L1169">
            <v>85</v>
          </cell>
          <cell r="M1169">
            <v>535</v>
          </cell>
          <cell r="N1169" t="str">
            <v>light-metal</v>
          </cell>
          <cell r="O1169" t="str">
            <v>heavy-metal</v>
          </cell>
          <cell r="P1169" t="str">
            <v>stalwart</v>
          </cell>
          <cell r="Q1169">
            <v>43</v>
          </cell>
          <cell r="R1169">
            <v>1000</v>
          </cell>
          <cell r="S1169" t="str">
            <v>Its body resembles polished metal, and it’s both lightweight and strong. The only drawback is that it rusts easily.</v>
          </cell>
          <cell r="T1169" t="str">
            <v>https://raw.githubusercontent.com/PokeAPI/sprites/master/sprites/pokemon/other/official-artwork/10225.png</v>
          </cell>
          <cell r="U1169" t="str">
            <v>https://raw.githubusercontent.com/PokeAPI/sprites/master/sprites/pokemon/other/official-artwork/shiny/10225.png</v>
          </cell>
        </row>
        <row r="1170">
          <cell r="A1170">
            <v>885</v>
          </cell>
          <cell r="C1170" t="str">
            <v>Dreepy</v>
          </cell>
          <cell r="D1170" t="str">
            <v>Standard</v>
          </cell>
          <cell r="E1170" t="str">
            <v>dragon</v>
          </cell>
          <cell r="F1170" t="str">
            <v>ghost</v>
          </cell>
          <cell r="G1170">
            <v>28</v>
          </cell>
          <cell r="H1170">
            <v>60</v>
          </cell>
          <cell r="I1170">
            <v>30</v>
          </cell>
          <cell r="J1170">
            <v>40</v>
          </cell>
          <cell r="K1170">
            <v>30</v>
          </cell>
          <cell r="L1170">
            <v>82</v>
          </cell>
          <cell r="M1170">
            <v>270</v>
          </cell>
          <cell r="N1170" t="str">
            <v>clear-body</v>
          </cell>
          <cell r="O1170" t="str">
            <v>infiltrator</v>
          </cell>
          <cell r="P1170" t="str">
            <v>cursed-body</v>
          </cell>
          <cell r="Q1170">
            <v>0.5</v>
          </cell>
          <cell r="R1170">
            <v>2</v>
          </cell>
          <cell r="S1170" t="str">
            <v>After being reborn as a ghost Pokémon, Dreepy wanders the areas it used to inhabit back when it was alive in prehistoric seas.</v>
          </cell>
          <cell r="T1170" t="str">
            <v>https://raw.githubusercontent.com/PokeAPI/sprites/master/sprites/pokemon/other/official-artwork/885.png</v>
          </cell>
          <cell r="U1170" t="str">
            <v>https://raw.githubusercontent.com/PokeAPI/sprites/master/sprites/pokemon/other/official-artwork/shiny/885.png</v>
          </cell>
        </row>
        <row r="1171">
          <cell r="A1171">
            <v>886</v>
          </cell>
          <cell r="C1171" t="str">
            <v>Drakloak</v>
          </cell>
          <cell r="D1171" t="str">
            <v>Standard</v>
          </cell>
          <cell r="E1171" t="str">
            <v>dragon</v>
          </cell>
          <cell r="F1171" t="str">
            <v>ghost</v>
          </cell>
          <cell r="G1171">
            <v>68</v>
          </cell>
          <cell r="H1171">
            <v>80</v>
          </cell>
          <cell r="I1171">
            <v>50</v>
          </cell>
          <cell r="J1171">
            <v>60</v>
          </cell>
          <cell r="K1171">
            <v>50</v>
          </cell>
          <cell r="L1171">
            <v>102</v>
          </cell>
          <cell r="M1171">
            <v>410</v>
          </cell>
          <cell r="N1171" t="str">
            <v>clear-body</v>
          </cell>
          <cell r="O1171" t="str">
            <v>infiltrator</v>
          </cell>
          <cell r="P1171" t="str">
            <v>cursed-body</v>
          </cell>
          <cell r="Q1171">
            <v>1.4</v>
          </cell>
          <cell r="R1171">
            <v>11</v>
          </cell>
          <cell r="S1171" t="str">
            <v>It’s capable of flying faster than 120 mph. It battles alongside Dreepy and dotes on them until they successfully evolve.</v>
          </cell>
          <cell r="T1171" t="str">
            <v>https://raw.githubusercontent.com/PokeAPI/sprites/master/sprites/pokemon/other/official-artwork/886.png</v>
          </cell>
          <cell r="U1171" t="str">
            <v>https://raw.githubusercontent.com/PokeAPI/sprites/master/sprites/pokemon/other/official-artwork/shiny/886.png</v>
          </cell>
        </row>
        <row r="1172">
          <cell r="A1172">
            <v>887</v>
          </cell>
          <cell r="C1172" t="str">
            <v>Dragapult</v>
          </cell>
          <cell r="D1172" t="str">
            <v>Standard</v>
          </cell>
          <cell r="E1172" t="str">
            <v>dragon</v>
          </cell>
          <cell r="F1172" t="str">
            <v>ghost</v>
          </cell>
          <cell r="G1172">
            <v>88</v>
          </cell>
          <cell r="H1172">
            <v>120</v>
          </cell>
          <cell r="I1172">
            <v>75</v>
          </cell>
          <cell r="J1172">
            <v>100</v>
          </cell>
          <cell r="K1172">
            <v>75</v>
          </cell>
          <cell r="L1172">
            <v>142</v>
          </cell>
          <cell r="M1172">
            <v>600</v>
          </cell>
          <cell r="N1172" t="str">
            <v>clear-body</v>
          </cell>
          <cell r="O1172" t="str">
            <v>infiltrator</v>
          </cell>
          <cell r="P1172" t="str">
            <v>cursed-body</v>
          </cell>
          <cell r="Q1172">
            <v>3</v>
          </cell>
          <cell r="R1172">
            <v>50</v>
          </cell>
          <cell r="S1172" t="str">
            <v>When it isn’t battling, it keeps Dreepy in the holes on its horns. Once a fight starts, it launches the Dreepy like supersonic missiles.</v>
          </cell>
          <cell r="T1172" t="str">
            <v>https://raw.githubusercontent.com/PokeAPI/sprites/master/sprites/pokemon/other/official-artwork/887.png</v>
          </cell>
          <cell r="U1172" t="str">
            <v>https://raw.githubusercontent.com/PokeAPI/sprites/master/sprites/pokemon/other/official-artwork/shiny/887.png</v>
          </cell>
        </row>
        <row r="1173">
          <cell r="A1173">
            <v>888</v>
          </cell>
          <cell r="C1173" t="str">
            <v>Zacian</v>
          </cell>
          <cell r="D1173" t="str">
            <v>Standard</v>
          </cell>
          <cell r="E1173" t="str">
            <v>fairy</v>
          </cell>
          <cell r="G1173">
            <v>92</v>
          </cell>
          <cell r="H1173">
            <v>120</v>
          </cell>
          <cell r="I1173">
            <v>115</v>
          </cell>
          <cell r="J1173">
            <v>80</v>
          </cell>
          <cell r="K1173">
            <v>115</v>
          </cell>
          <cell r="L1173">
            <v>138</v>
          </cell>
          <cell r="M1173">
            <v>660</v>
          </cell>
          <cell r="N1173" t="str">
            <v>intrepid-sword</v>
          </cell>
          <cell r="Q1173">
            <v>2.8</v>
          </cell>
          <cell r="R1173">
            <v>110</v>
          </cell>
          <cell r="S1173" t="str">
            <v>Known as a legendary hero, this Pokémon absorbs metal particles, transforming them into a weapon it uses to battle.</v>
          </cell>
          <cell r="T1173" t="str">
            <v>https://raw.githubusercontent.com/PokeAPI/sprites/master/sprites/pokemon/other/official-artwork/888.png</v>
          </cell>
          <cell r="U1173" t="str">
            <v>https://raw.githubusercontent.com/PokeAPI/sprites/master/sprites/pokemon/other/official-artwork/shiny/888.png</v>
          </cell>
        </row>
        <row r="1174">
          <cell r="A1174">
            <v>888</v>
          </cell>
          <cell r="C1174" t="str">
            <v>Zacian Crowned</v>
          </cell>
          <cell r="D1174" t="str">
            <v>Other</v>
          </cell>
          <cell r="E1174" t="str">
            <v>fairy</v>
          </cell>
          <cell r="F1174" t="str">
            <v>steel</v>
          </cell>
          <cell r="G1174">
            <v>92</v>
          </cell>
          <cell r="H1174">
            <v>150</v>
          </cell>
          <cell r="I1174">
            <v>115</v>
          </cell>
          <cell r="J1174">
            <v>80</v>
          </cell>
          <cell r="K1174">
            <v>115</v>
          </cell>
          <cell r="L1174">
            <v>148</v>
          </cell>
          <cell r="M1174">
            <v>700</v>
          </cell>
          <cell r="N1174" t="str">
            <v>intrepid-sword</v>
          </cell>
          <cell r="Q1174">
            <v>2.8</v>
          </cell>
          <cell r="R1174">
            <v>355</v>
          </cell>
          <cell r="S1174" t="str">
            <v>Known as a legendary hero, this Pokémon absorbs metal particles, transforming them into a weapon it uses to battle.</v>
          </cell>
          <cell r="T1174" t="str">
            <v>https://raw.githubusercontent.com/PokeAPI/sprites/master/sprites/pokemon/other/official-artwork/10188.png</v>
          </cell>
          <cell r="U1174" t="str">
            <v>https://raw.githubusercontent.com/PokeAPI/sprites/master/sprites/pokemon/other/official-artwork/shiny/10188.png</v>
          </cell>
        </row>
        <row r="1175">
          <cell r="A1175">
            <v>889</v>
          </cell>
          <cell r="C1175" t="str">
            <v>Zamazenta</v>
          </cell>
          <cell r="D1175" t="str">
            <v>Standard</v>
          </cell>
          <cell r="E1175" t="str">
            <v>fighting</v>
          </cell>
          <cell r="G1175">
            <v>92</v>
          </cell>
          <cell r="H1175">
            <v>120</v>
          </cell>
          <cell r="I1175">
            <v>115</v>
          </cell>
          <cell r="J1175">
            <v>80</v>
          </cell>
          <cell r="K1175">
            <v>115</v>
          </cell>
          <cell r="L1175">
            <v>138</v>
          </cell>
          <cell r="M1175">
            <v>660</v>
          </cell>
          <cell r="N1175" t="str">
            <v>dauntless-shield</v>
          </cell>
          <cell r="Q1175">
            <v>2.9</v>
          </cell>
          <cell r="R1175">
            <v>210</v>
          </cell>
          <cell r="S1175" t="str">
            <v>In times past, it worked together with a king of the people to save the Galar region. It absorbs metal that it then uses in battle.</v>
          </cell>
          <cell r="T1175" t="str">
            <v>https://raw.githubusercontent.com/PokeAPI/sprites/master/sprites/pokemon/other/official-artwork/889.png</v>
          </cell>
          <cell r="U1175" t="str">
            <v>https://raw.githubusercontent.com/PokeAPI/sprites/master/sprites/pokemon/other/official-artwork/shiny/889.png</v>
          </cell>
        </row>
        <row r="1176">
          <cell r="A1176">
            <v>889</v>
          </cell>
          <cell r="C1176" t="str">
            <v>Zamazenta Crowned</v>
          </cell>
          <cell r="D1176" t="str">
            <v>Other</v>
          </cell>
          <cell r="E1176" t="str">
            <v>fighting</v>
          </cell>
          <cell r="F1176" t="str">
            <v>steel</v>
          </cell>
          <cell r="G1176">
            <v>92</v>
          </cell>
          <cell r="H1176">
            <v>120</v>
          </cell>
          <cell r="I1176">
            <v>140</v>
          </cell>
          <cell r="J1176">
            <v>80</v>
          </cell>
          <cell r="K1176">
            <v>140</v>
          </cell>
          <cell r="L1176">
            <v>128</v>
          </cell>
          <cell r="M1176">
            <v>700</v>
          </cell>
          <cell r="N1176" t="str">
            <v>dauntless-shield</v>
          </cell>
          <cell r="Q1176">
            <v>2.9</v>
          </cell>
          <cell r="R1176">
            <v>785</v>
          </cell>
          <cell r="S1176" t="str">
            <v>In times past, it worked together with a king of the people to save the Galar region. It absorbs metal that it then uses in battle.</v>
          </cell>
          <cell r="T1176" t="str">
            <v>https://raw.githubusercontent.com/PokeAPI/sprites/master/sprites/pokemon/other/official-artwork/10189.png</v>
          </cell>
          <cell r="U1176" t="str">
            <v>https://raw.githubusercontent.com/PokeAPI/sprites/master/sprites/pokemon/other/official-artwork/shiny/10189.png</v>
          </cell>
        </row>
        <row r="1177">
          <cell r="A1177">
            <v>890</v>
          </cell>
          <cell r="C1177" t="str">
            <v>Eternatus</v>
          </cell>
          <cell r="D1177" t="str">
            <v>Standard</v>
          </cell>
          <cell r="E1177" t="str">
            <v>poison</v>
          </cell>
          <cell r="F1177" t="str">
            <v>dragon</v>
          </cell>
          <cell r="G1177">
            <v>140</v>
          </cell>
          <cell r="H1177">
            <v>85</v>
          </cell>
          <cell r="I1177">
            <v>95</v>
          </cell>
          <cell r="J1177">
            <v>145</v>
          </cell>
          <cell r="K1177">
            <v>95</v>
          </cell>
          <cell r="L1177">
            <v>130</v>
          </cell>
          <cell r="M1177">
            <v>690</v>
          </cell>
          <cell r="N1177" t="str">
            <v>pressure</v>
          </cell>
          <cell r="Q1177">
            <v>20</v>
          </cell>
          <cell r="R1177">
            <v>950</v>
          </cell>
          <cell r="S1177" t="str">
            <v>The core on its chest absorbs energy emanating from the lands of the Galar region. This energy is what allows Eternatus to stay active.</v>
          </cell>
          <cell r="T1177" t="str">
            <v>https://raw.githubusercontent.com/PokeAPI/sprites/master/sprites/pokemon/other/official-artwork/890.png</v>
          </cell>
          <cell r="U1177" t="str">
            <v>https://raw.githubusercontent.com/PokeAPI/sprites/master/sprites/pokemon/other/official-artwork/shiny/890.png</v>
          </cell>
        </row>
        <row r="1178">
          <cell r="A1178">
            <v>890</v>
          </cell>
          <cell r="C1178" t="str">
            <v>Eternatus Eternamax</v>
          </cell>
          <cell r="D1178" t="str">
            <v>Other</v>
          </cell>
          <cell r="E1178" t="str">
            <v>poison</v>
          </cell>
          <cell r="F1178" t="str">
            <v>dragon</v>
          </cell>
          <cell r="G1178">
            <v>255</v>
          </cell>
          <cell r="H1178">
            <v>115</v>
          </cell>
          <cell r="I1178">
            <v>250</v>
          </cell>
          <cell r="J1178">
            <v>125</v>
          </cell>
          <cell r="K1178">
            <v>250</v>
          </cell>
          <cell r="L1178">
            <v>130</v>
          </cell>
          <cell r="M1178">
            <v>1125</v>
          </cell>
          <cell r="N1178" t="str">
            <v>pressure</v>
          </cell>
          <cell r="Q1178">
            <v>100</v>
          </cell>
          <cell r="R1178">
            <v>0</v>
          </cell>
          <cell r="S1178" t="str">
            <v>The core on its chest absorbs energy emanating from the lands of the Galar region. This energy is what allows Eternatus to stay active.</v>
          </cell>
          <cell r="T1178" t="str">
            <v>https://raw.githubusercontent.com/PokeAPI/sprites/master/sprites/pokemon/other/official-artwork/10190.png</v>
          </cell>
          <cell r="U1178" t="str">
            <v>https://raw.githubusercontent.com/PokeAPI/sprites/master/sprites/pokemon/other/official-artwork/shiny/10190.png</v>
          </cell>
        </row>
        <row r="1179">
          <cell r="A1179">
            <v>891</v>
          </cell>
          <cell r="C1179" t="str">
            <v>Kubfu</v>
          </cell>
          <cell r="D1179" t="str">
            <v>Standard</v>
          </cell>
          <cell r="E1179" t="str">
            <v>fighting</v>
          </cell>
          <cell r="G1179">
            <v>60</v>
          </cell>
          <cell r="H1179">
            <v>90</v>
          </cell>
          <cell r="I1179">
            <v>60</v>
          </cell>
          <cell r="J1179">
            <v>53</v>
          </cell>
          <cell r="K1179">
            <v>50</v>
          </cell>
          <cell r="L1179">
            <v>72</v>
          </cell>
          <cell r="M1179">
            <v>385</v>
          </cell>
          <cell r="N1179" t="str">
            <v>inner-focus</v>
          </cell>
          <cell r="Q1179">
            <v>0.6</v>
          </cell>
          <cell r="R1179">
            <v>12</v>
          </cell>
          <cell r="S1179" t="str">
            <v>Kubfu trains hard to perfect its moves. The moves it masters will determine which form it takes when it evolves.</v>
          </cell>
          <cell r="T1179" t="str">
            <v>https://raw.githubusercontent.com/PokeAPI/sprites/master/sprites/pokemon/other/official-artwork/891.png</v>
          </cell>
          <cell r="U1179" t="str">
            <v>https://raw.githubusercontent.com/PokeAPI/sprites/master/sprites/pokemon/other/official-artwork/shiny/891.png</v>
          </cell>
        </row>
        <row r="1180">
          <cell r="A1180">
            <v>892</v>
          </cell>
          <cell r="C1180" t="str">
            <v>Urshifu Rapid Strike</v>
          </cell>
          <cell r="D1180" t="str">
            <v>Other</v>
          </cell>
          <cell r="E1180" t="str">
            <v>fighting</v>
          </cell>
          <cell r="F1180" t="str">
            <v>water</v>
          </cell>
          <cell r="G1180">
            <v>100</v>
          </cell>
          <cell r="H1180">
            <v>130</v>
          </cell>
          <cell r="I1180">
            <v>100</v>
          </cell>
          <cell r="J1180">
            <v>63</v>
          </cell>
          <cell r="K1180">
            <v>60</v>
          </cell>
          <cell r="L1180">
            <v>97</v>
          </cell>
          <cell r="M1180">
            <v>550</v>
          </cell>
          <cell r="N1180" t="str">
            <v>unseen-fist</v>
          </cell>
          <cell r="Q1180">
            <v>1.9</v>
          </cell>
          <cell r="R1180">
            <v>105</v>
          </cell>
          <cell r="S1180" t="str">
            <v>This form of Urshifu is a strong believer in the one-hit KO. Its strategy is to leap in close to foes and land a devastating blow with a hardened fist.</v>
          </cell>
          <cell r="T1180" t="str">
            <v>https://raw.githubusercontent.com/PokeAPI/sprites/master/sprites/pokemon/other/official-artwork/10191.png</v>
          </cell>
          <cell r="U1180" t="str">
            <v>https://raw.githubusercontent.com/PokeAPI/sprites/master/sprites/pokemon/other/official-artwork/shiny/10191.png</v>
          </cell>
        </row>
        <row r="1181">
          <cell r="A1181">
            <v>892</v>
          </cell>
          <cell r="C1181" t="str">
            <v>Urshifu Rapid Strike Gmax</v>
          </cell>
          <cell r="D1181" t="str">
            <v>Gigantamax</v>
          </cell>
          <cell r="E1181" t="str">
            <v>fighting</v>
          </cell>
          <cell r="F1181" t="str">
            <v>water</v>
          </cell>
          <cell r="G1181">
            <v>100</v>
          </cell>
          <cell r="H1181">
            <v>130</v>
          </cell>
          <cell r="I1181">
            <v>100</v>
          </cell>
          <cell r="J1181">
            <v>63</v>
          </cell>
          <cell r="K1181">
            <v>60</v>
          </cell>
          <cell r="L1181">
            <v>97</v>
          </cell>
          <cell r="M1181">
            <v>550</v>
          </cell>
          <cell r="N1181" t="str">
            <v>unseen-fist</v>
          </cell>
          <cell r="Q1181">
            <v>26</v>
          </cell>
          <cell r="R1181">
            <v>1000</v>
          </cell>
          <cell r="S1181" t="str">
            <v>This form of Urshifu is a strong believer in the one-hit KO. Its strategy is to leap in close to foes and land a devastating blow with a hardened fist.</v>
          </cell>
          <cell r="T1181" t="str">
            <v>https://raw.githubusercontent.com/PokeAPI/sprites/master/sprites/pokemon/other/official-artwork/10227.png</v>
          </cell>
          <cell r="U1181" t="str">
            <v>https://raw.githubusercontent.com/PokeAPI/sprites/master/sprites/pokemon/other/official-artwork/shiny/10227.png</v>
          </cell>
        </row>
        <row r="1182">
          <cell r="A1182">
            <v>892</v>
          </cell>
          <cell r="C1182" t="str">
            <v>Urshifu Single Strike</v>
          </cell>
          <cell r="D1182" t="str">
            <v>Other</v>
          </cell>
          <cell r="E1182" t="str">
            <v>fighting</v>
          </cell>
          <cell r="F1182" t="str">
            <v>dark</v>
          </cell>
          <cell r="G1182">
            <v>100</v>
          </cell>
          <cell r="H1182">
            <v>130</v>
          </cell>
          <cell r="I1182">
            <v>100</v>
          </cell>
          <cell r="J1182">
            <v>63</v>
          </cell>
          <cell r="K1182">
            <v>60</v>
          </cell>
          <cell r="L1182">
            <v>97</v>
          </cell>
          <cell r="M1182">
            <v>550</v>
          </cell>
          <cell r="N1182" t="str">
            <v>unseen-fist</v>
          </cell>
          <cell r="Q1182">
            <v>1.9</v>
          </cell>
          <cell r="R1182">
            <v>105</v>
          </cell>
          <cell r="S1182" t="str">
            <v>This form of Urshifu is a strong believer in the one-hit KO. Its strategy is to leap in close to foes and land a devastating blow with a hardened fist.</v>
          </cell>
          <cell r="T1182" t="str">
            <v>https://raw.githubusercontent.com/PokeAPI/sprites/master/sprites/pokemon/other/official-artwork/892.png</v>
          </cell>
          <cell r="U1182" t="str">
            <v>https://raw.githubusercontent.com/PokeAPI/sprites/master/sprites/pokemon/other/official-artwork/shiny/892.png</v>
          </cell>
        </row>
        <row r="1183">
          <cell r="A1183">
            <v>892</v>
          </cell>
          <cell r="C1183" t="str">
            <v>Urshifu Single Strike Gmax</v>
          </cell>
          <cell r="D1183" t="str">
            <v>Gigantamax</v>
          </cell>
          <cell r="E1183" t="str">
            <v>fighting</v>
          </cell>
          <cell r="F1183" t="str">
            <v>dark</v>
          </cell>
          <cell r="G1183">
            <v>100</v>
          </cell>
          <cell r="H1183">
            <v>130</v>
          </cell>
          <cell r="I1183">
            <v>100</v>
          </cell>
          <cell r="J1183">
            <v>63</v>
          </cell>
          <cell r="K1183">
            <v>60</v>
          </cell>
          <cell r="L1183">
            <v>97</v>
          </cell>
          <cell r="M1183">
            <v>550</v>
          </cell>
          <cell r="N1183" t="str">
            <v>unseen-fist</v>
          </cell>
          <cell r="Q1183">
            <v>29</v>
          </cell>
          <cell r="R1183">
            <v>1000</v>
          </cell>
          <cell r="S1183" t="str">
            <v>This form of Urshifu is a strong believer in the one-hit KO. Its strategy is to leap in close to foes and land a devastating blow with a hardened fist.</v>
          </cell>
          <cell r="T1183" t="str">
            <v>https://raw.githubusercontent.com/PokeAPI/sprites/master/sprites/pokemon/other/official-artwork/10226.png</v>
          </cell>
          <cell r="U1183" t="str">
            <v>https://raw.githubusercontent.com/PokeAPI/sprites/master/sprites/pokemon/other/official-artwork/shiny/10226.png</v>
          </cell>
        </row>
        <row r="1184">
          <cell r="A1184">
            <v>893</v>
          </cell>
          <cell r="C1184" t="str">
            <v>Zarude</v>
          </cell>
          <cell r="D1184" t="str">
            <v>Standard</v>
          </cell>
          <cell r="E1184" t="str">
            <v>dark</v>
          </cell>
          <cell r="F1184" t="str">
            <v>grass</v>
          </cell>
          <cell r="G1184">
            <v>105</v>
          </cell>
          <cell r="H1184">
            <v>120</v>
          </cell>
          <cell r="I1184">
            <v>105</v>
          </cell>
          <cell r="J1184">
            <v>70</v>
          </cell>
          <cell r="K1184">
            <v>95</v>
          </cell>
          <cell r="L1184">
            <v>105</v>
          </cell>
          <cell r="M1184">
            <v>600</v>
          </cell>
          <cell r="N1184" t="str">
            <v>leaf-guard</v>
          </cell>
          <cell r="Q1184">
            <v>1.8</v>
          </cell>
          <cell r="R1184">
            <v>70</v>
          </cell>
          <cell r="S1184" t="str">
            <v>Within dense forests, this Pokémon lives in a pack with others of its kind. It’s incredibly aggressive, and the other Pokémon of the forest fear it.</v>
          </cell>
          <cell r="T1184" t="str">
            <v>https://raw.githubusercontent.com/PokeAPI/sprites/master/sprites/pokemon/other/official-artwork/893.png</v>
          </cell>
          <cell r="U1184" t="str">
            <v>https://raw.githubusercontent.com/PokeAPI/sprites/master/sprites/pokemon/other/official-artwork/shiny/893.png</v>
          </cell>
        </row>
        <row r="1185">
          <cell r="A1185">
            <v>893</v>
          </cell>
          <cell r="C1185" t="str">
            <v>Zarude Dada</v>
          </cell>
          <cell r="D1185" t="str">
            <v>Other</v>
          </cell>
          <cell r="E1185" t="str">
            <v>dark</v>
          </cell>
          <cell r="F1185" t="str">
            <v>grass</v>
          </cell>
          <cell r="G1185">
            <v>105</v>
          </cell>
          <cell r="H1185">
            <v>120</v>
          </cell>
          <cell r="I1185">
            <v>105</v>
          </cell>
          <cell r="J1185">
            <v>70</v>
          </cell>
          <cell r="K1185">
            <v>95</v>
          </cell>
          <cell r="L1185">
            <v>105</v>
          </cell>
          <cell r="M1185">
            <v>600</v>
          </cell>
          <cell r="N1185" t="str">
            <v>leaf-guard</v>
          </cell>
          <cell r="Q1185">
            <v>1.8</v>
          </cell>
          <cell r="R1185">
            <v>70</v>
          </cell>
          <cell r="S1185" t="str">
            <v>Within dense forests, this Pokémon lives in a pack with others of its kind. It’s incredibly aggressive, and the other Pokémon of the forest fear it.</v>
          </cell>
          <cell r="T1185" t="str">
            <v>https://raw.githubusercontent.com/PokeAPI/sprites/master/sprites/pokemon/other/official-artwork/10192.png</v>
          </cell>
          <cell r="U1185" t="str">
            <v>https://raw.githubusercontent.com/PokeAPI/sprites/master/sprites/pokemon/shiny/10192.png</v>
          </cell>
        </row>
        <row r="1186">
          <cell r="A1186">
            <v>894</v>
          </cell>
          <cell r="C1186" t="str">
            <v>Regieleki</v>
          </cell>
          <cell r="D1186" t="str">
            <v>Standard</v>
          </cell>
          <cell r="E1186" t="str">
            <v>electric</v>
          </cell>
          <cell r="G1186">
            <v>80</v>
          </cell>
          <cell r="H1186">
            <v>100</v>
          </cell>
          <cell r="I1186">
            <v>50</v>
          </cell>
          <cell r="J1186">
            <v>100</v>
          </cell>
          <cell r="K1186">
            <v>50</v>
          </cell>
          <cell r="L1186">
            <v>200</v>
          </cell>
          <cell r="M1186">
            <v>580</v>
          </cell>
          <cell r="N1186" t="str">
            <v>transistor</v>
          </cell>
          <cell r="Q1186">
            <v>1.2</v>
          </cell>
          <cell r="R1186">
            <v>145</v>
          </cell>
          <cell r="S1186" t="str">
            <v>This Pokémon is a cluster of electrical energy. It’s said that removing the rings on Regieleki’s body will unleash the Pokémon’s latent power.</v>
          </cell>
          <cell r="T1186" t="str">
            <v>https://raw.githubusercontent.com/PokeAPI/sprites/master/sprites/pokemon/other/official-artwork/894.png</v>
          </cell>
          <cell r="U1186" t="str">
            <v>https://raw.githubusercontent.com/PokeAPI/sprites/master/sprites/pokemon/other/official-artwork/shiny/894.png</v>
          </cell>
        </row>
        <row r="1187">
          <cell r="A1187">
            <v>895</v>
          </cell>
          <cell r="C1187" t="str">
            <v>Regidrago</v>
          </cell>
          <cell r="D1187" t="str">
            <v>Standard</v>
          </cell>
          <cell r="E1187" t="str">
            <v>dragon</v>
          </cell>
          <cell r="G1187">
            <v>200</v>
          </cell>
          <cell r="H1187">
            <v>100</v>
          </cell>
          <cell r="I1187">
            <v>50</v>
          </cell>
          <cell r="J1187">
            <v>100</v>
          </cell>
          <cell r="K1187">
            <v>50</v>
          </cell>
          <cell r="L1187">
            <v>80</v>
          </cell>
          <cell r="M1187">
            <v>580</v>
          </cell>
          <cell r="N1187" t="str">
            <v>dragons-maw</v>
          </cell>
          <cell r="Q1187">
            <v>2.1</v>
          </cell>
          <cell r="R1187">
            <v>200</v>
          </cell>
          <cell r="S1187" t="str">
            <v>An academic theory proposes that Regidrago’s arms were once the head of an ancient dragon Pokémon. The theory remains unproven.</v>
          </cell>
          <cell r="T1187" t="str">
            <v>https://raw.githubusercontent.com/PokeAPI/sprites/master/sprites/pokemon/other/official-artwork/895.png</v>
          </cell>
          <cell r="U1187" t="str">
            <v>https://raw.githubusercontent.com/PokeAPI/sprites/master/sprites/pokemon/other/official-artwork/shiny/895.png</v>
          </cell>
        </row>
        <row r="1188">
          <cell r="A1188">
            <v>896</v>
          </cell>
          <cell r="C1188" t="str">
            <v>Glastrier</v>
          </cell>
          <cell r="D1188" t="str">
            <v>Standard</v>
          </cell>
          <cell r="E1188" t="str">
            <v>ice</v>
          </cell>
          <cell r="G1188">
            <v>100</v>
          </cell>
          <cell r="H1188">
            <v>145</v>
          </cell>
          <cell r="I1188">
            <v>130</v>
          </cell>
          <cell r="J1188">
            <v>65</v>
          </cell>
          <cell r="K1188">
            <v>110</v>
          </cell>
          <cell r="L1188">
            <v>30</v>
          </cell>
          <cell r="M1188">
            <v>580</v>
          </cell>
          <cell r="N1188" t="str">
            <v>chilling-neigh</v>
          </cell>
          <cell r="Q1188">
            <v>2.2000000000000002</v>
          </cell>
          <cell r="R1188">
            <v>800</v>
          </cell>
          <cell r="S1188" t="str">
            <v>Glastrier emits intense cold from its hooves. It’s also a belligerent Pokémon—anything it wants, it takes by force.</v>
          </cell>
          <cell r="T1188" t="str">
            <v>https://raw.githubusercontent.com/PokeAPI/sprites/master/sprites/pokemon/other/official-artwork/896.png</v>
          </cell>
          <cell r="U1188" t="str">
            <v>https://raw.githubusercontent.com/PokeAPI/sprites/master/sprites/pokemon/other/official-artwork/shiny/896.png</v>
          </cell>
        </row>
        <row r="1189">
          <cell r="A1189">
            <v>897</v>
          </cell>
          <cell r="C1189" t="str">
            <v>Spectrier</v>
          </cell>
          <cell r="D1189" t="str">
            <v>Standard</v>
          </cell>
          <cell r="E1189" t="str">
            <v>ghost</v>
          </cell>
          <cell r="G1189">
            <v>100</v>
          </cell>
          <cell r="H1189">
            <v>65</v>
          </cell>
          <cell r="I1189">
            <v>60</v>
          </cell>
          <cell r="J1189">
            <v>145</v>
          </cell>
          <cell r="K1189">
            <v>80</v>
          </cell>
          <cell r="L1189">
            <v>130</v>
          </cell>
          <cell r="M1189">
            <v>580</v>
          </cell>
          <cell r="N1189" t="str">
            <v>grim-neigh</v>
          </cell>
          <cell r="Q1189">
            <v>2</v>
          </cell>
          <cell r="R1189">
            <v>44.5</v>
          </cell>
          <cell r="S1189" t="str">
            <v>It probes its surroundings with all its senses save one—it doesn’t use its sense of sight. Spectrier’s kicks are said to separate soul from body.</v>
          </cell>
          <cell r="T1189" t="str">
            <v>https://raw.githubusercontent.com/PokeAPI/sprites/master/sprites/pokemon/other/official-artwork/897.png</v>
          </cell>
          <cell r="U1189" t="str">
            <v>https://raw.githubusercontent.com/PokeAPI/sprites/master/sprites/pokemon/other/official-artwork/shiny/897.png</v>
          </cell>
        </row>
        <row r="1190">
          <cell r="A1190">
            <v>898</v>
          </cell>
          <cell r="C1190" t="str">
            <v>Calyrex</v>
          </cell>
          <cell r="D1190" t="str">
            <v>Standard</v>
          </cell>
          <cell r="E1190" t="str">
            <v>psychic</v>
          </cell>
          <cell r="F1190" t="str">
            <v>grass</v>
          </cell>
          <cell r="G1190">
            <v>100</v>
          </cell>
          <cell r="H1190">
            <v>80</v>
          </cell>
          <cell r="I1190">
            <v>80</v>
          </cell>
          <cell r="J1190">
            <v>80</v>
          </cell>
          <cell r="K1190">
            <v>80</v>
          </cell>
          <cell r="L1190">
            <v>80</v>
          </cell>
          <cell r="M1190">
            <v>500</v>
          </cell>
          <cell r="N1190" t="str">
            <v>unnerve</v>
          </cell>
          <cell r="Q1190">
            <v>1.1000000000000001</v>
          </cell>
          <cell r="R1190">
            <v>7.7</v>
          </cell>
          <cell r="S1190" t="str">
            <v>Calyrex is a merciful Pokémon, capable of providing healing and blessings. It reigned over the Galar region in times of yore.</v>
          </cell>
          <cell r="T1190" t="str">
            <v>https://raw.githubusercontent.com/PokeAPI/sprites/master/sprites/pokemon/other/official-artwork/898.png</v>
          </cell>
          <cell r="U1190" t="str">
            <v>https://raw.githubusercontent.com/PokeAPI/sprites/master/sprites/pokemon/other/official-artwork/shiny/898.png</v>
          </cell>
        </row>
        <row r="1191">
          <cell r="A1191">
            <v>898</v>
          </cell>
          <cell r="C1191" t="str">
            <v>Calyrex Ice</v>
          </cell>
          <cell r="D1191" t="str">
            <v>Other</v>
          </cell>
          <cell r="E1191" t="str">
            <v>psychic</v>
          </cell>
          <cell r="F1191" t="str">
            <v>ice</v>
          </cell>
          <cell r="G1191">
            <v>100</v>
          </cell>
          <cell r="H1191">
            <v>165</v>
          </cell>
          <cell r="I1191">
            <v>150</v>
          </cell>
          <cell r="J1191">
            <v>85</v>
          </cell>
          <cell r="K1191">
            <v>130</v>
          </cell>
          <cell r="L1191">
            <v>50</v>
          </cell>
          <cell r="M1191">
            <v>680</v>
          </cell>
          <cell r="N1191" t="str">
            <v>as-one-glastrier</v>
          </cell>
          <cell r="Q1191">
            <v>2.4</v>
          </cell>
          <cell r="R1191">
            <v>809.1</v>
          </cell>
          <cell r="S1191" t="str">
            <v>Calyrex is a merciful Pokémon, capable of providing healing and blessings. It reigned over the Galar region in times of yore.</v>
          </cell>
          <cell r="T1191" t="str">
            <v>https://raw.githubusercontent.com/PokeAPI/sprites/master/sprites/pokemon/other/official-artwork/10193.png</v>
          </cell>
          <cell r="U1191" t="str">
            <v>https://raw.githubusercontent.com/PokeAPI/sprites/master/sprites/pokemon/other/official-artwork/shiny/10193.png</v>
          </cell>
        </row>
        <row r="1192">
          <cell r="A1192">
            <v>898</v>
          </cell>
          <cell r="C1192" t="str">
            <v>Calyrex Shadow</v>
          </cell>
          <cell r="D1192" t="str">
            <v>Other</v>
          </cell>
          <cell r="E1192" t="str">
            <v>psychic</v>
          </cell>
          <cell r="F1192" t="str">
            <v>ghost</v>
          </cell>
          <cell r="G1192">
            <v>100</v>
          </cell>
          <cell r="H1192">
            <v>85</v>
          </cell>
          <cell r="I1192">
            <v>80</v>
          </cell>
          <cell r="J1192">
            <v>165</v>
          </cell>
          <cell r="K1192">
            <v>100</v>
          </cell>
          <cell r="L1192">
            <v>150</v>
          </cell>
          <cell r="M1192">
            <v>680</v>
          </cell>
          <cell r="N1192" t="str">
            <v>as-one-spectrier</v>
          </cell>
          <cell r="Q1192">
            <v>2.4</v>
          </cell>
          <cell r="R1192">
            <v>53.6</v>
          </cell>
          <cell r="S1192" t="str">
            <v>Calyrex is a merciful Pokémon, capable of providing healing and blessings. It reigned over the Galar region in times of yore.</v>
          </cell>
          <cell r="T1192" t="str">
            <v>https://raw.githubusercontent.com/PokeAPI/sprites/master/sprites/pokemon/other/official-artwork/10194.png</v>
          </cell>
          <cell r="U1192" t="str">
            <v>https://raw.githubusercontent.com/PokeAPI/sprites/master/sprites/pokemon/other/official-artwork/shiny/10194.png</v>
          </cell>
        </row>
        <row r="1193">
          <cell r="A1193">
            <v>899</v>
          </cell>
          <cell r="C1193" t="str">
            <v>Wyrdeer</v>
          </cell>
          <cell r="D1193" t="str">
            <v>Standard</v>
          </cell>
          <cell r="E1193" t="str">
            <v>normal</v>
          </cell>
          <cell r="F1193" t="str">
            <v>psychic</v>
          </cell>
          <cell r="G1193">
            <v>103</v>
          </cell>
          <cell r="H1193">
            <v>105</v>
          </cell>
          <cell r="I1193">
            <v>72</v>
          </cell>
          <cell r="J1193">
            <v>105</v>
          </cell>
          <cell r="K1193">
            <v>75</v>
          </cell>
          <cell r="L1193">
            <v>65</v>
          </cell>
          <cell r="M1193">
            <v>525</v>
          </cell>
          <cell r="N1193" t="str">
            <v>intimidate</v>
          </cell>
          <cell r="O1193" t="str">
            <v>frisk</v>
          </cell>
          <cell r="P1193" t="str">
            <v>sap-sipper</v>
          </cell>
          <cell r="Q1193">
            <v>1.8</v>
          </cell>
          <cell r="R1193">
            <v>95.1</v>
          </cell>
          <cell r="S1193" t="str">
            <v>The black orbs shine with an uncanny light when the Pokémon is erecting invisible barriers. The fur shed from its beard retains heat well and is a highly useful material for winter clothing.</v>
          </cell>
          <cell r="T1193" t="str">
            <v>https://raw.githubusercontent.com/PokeAPI/sprites/master/sprites/pokemon/other/official-artwork/899.png</v>
          </cell>
          <cell r="U1193" t="str">
            <v>https://raw.githubusercontent.com/PokeAPI/sprites/master/sprites/pokemon/other/official-artwork/shiny/899.png</v>
          </cell>
        </row>
        <row r="1194">
          <cell r="A1194">
            <v>900</v>
          </cell>
          <cell r="C1194" t="str">
            <v>Kleavor</v>
          </cell>
          <cell r="D1194" t="str">
            <v>Standard</v>
          </cell>
          <cell r="E1194" t="str">
            <v>bug</v>
          </cell>
          <cell r="F1194" t="str">
            <v>rock</v>
          </cell>
          <cell r="G1194">
            <v>70</v>
          </cell>
          <cell r="H1194">
            <v>135</v>
          </cell>
          <cell r="I1194">
            <v>95</v>
          </cell>
          <cell r="J1194">
            <v>45</v>
          </cell>
          <cell r="K1194">
            <v>70</v>
          </cell>
          <cell r="L1194">
            <v>85</v>
          </cell>
          <cell r="M1194">
            <v>500</v>
          </cell>
          <cell r="N1194" t="str">
            <v>swarm</v>
          </cell>
          <cell r="O1194" t="str">
            <v>sheer-force</v>
          </cell>
          <cell r="P1194" t="str">
            <v>sharpness</v>
          </cell>
          <cell r="Q1194">
            <v>1.8</v>
          </cell>
          <cell r="R1194">
            <v>89</v>
          </cell>
          <cell r="S1194" t="str">
            <v>A violent creature that fells towering trees with its crude axes and shields itself with hard stone. If one should chance upon this Pokémon in the wilds, one's only recourse is to flee.</v>
          </cell>
          <cell r="T1194" t="str">
            <v>https://raw.githubusercontent.com/PokeAPI/sprites/master/sprites/pokemon/other/official-artwork/900.png</v>
          </cell>
          <cell r="U1194" t="str">
            <v>https://raw.githubusercontent.com/PokeAPI/sprites/master/sprites/pokemon/other/official-artwork/shiny/900.png</v>
          </cell>
        </row>
        <row r="1195">
          <cell r="A1195">
            <v>901</v>
          </cell>
          <cell r="C1195" t="str">
            <v>Ursaluna</v>
          </cell>
          <cell r="D1195" t="str">
            <v>Standard</v>
          </cell>
          <cell r="E1195" t="str">
            <v>ground</v>
          </cell>
          <cell r="F1195" t="str">
            <v>normal</v>
          </cell>
          <cell r="G1195">
            <v>130</v>
          </cell>
          <cell r="H1195">
            <v>140</v>
          </cell>
          <cell r="I1195">
            <v>105</v>
          </cell>
          <cell r="J1195">
            <v>45</v>
          </cell>
          <cell r="K1195">
            <v>80</v>
          </cell>
          <cell r="L1195">
            <v>50</v>
          </cell>
          <cell r="M1195">
            <v>550</v>
          </cell>
          <cell r="N1195" t="str">
            <v>guts</v>
          </cell>
          <cell r="O1195" t="str">
            <v>bulletproof</v>
          </cell>
          <cell r="P1195" t="str">
            <v>unnerve</v>
          </cell>
          <cell r="Q1195">
            <v>2.4</v>
          </cell>
          <cell r="R1195">
            <v>290</v>
          </cell>
          <cell r="S1195" t="str">
            <v>I believe it was Hisui's swampy terrain that gave Ursaluna its burly physique and newfound capacity to manipulate peat at will.</v>
          </cell>
          <cell r="T1195" t="str">
            <v>https://raw.githubusercontent.com/PokeAPI/sprites/master/sprites/pokemon/other/official-artwork/901.png</v>
          </cell>
          <cell r="U1195" t="str">
            <v>https://raw.githubusercontent.com/PokeAPI/sprites/master/sprites/pokemon/other/official-artwork/shiny/901.png</v>
          </cell>
        </row>
        <row r="1196">
          <cell r="A1196">
            <v>901</v>
          </cell>
          <cell r="C1196" t="str">
            <v>Ursaluna Bloodmoon</v>
          </cell>
          <cell r="D1196" t="str">
            <v>Other</v>
          </cell>
          <cell r="E1196" t="str">
            <v>ground</v>
          </cell>
          <cell r="F1196" t="str">
            <v>normal</v>
          </cell>
          <cell r="G1196">
            <v>113</v>
          </cell>
          <cell r="H1196">
            <v>70</v>
          </cell>
          <cell r="I1196">
            <v>120</v>
          </cell>
          <cell r="J1196">
            <v>135</v>
          </cell>
          <cell r="K1196">
            <v>65</v>
          </cell>
          <cell r="L1196">
            <v>52</v>
          </cell>
          <cell r="M1196">
            <v>555</v>
          </cell>
          <cell r="N1196" t="str">
            <v>minds-eye</v>
          </cell>
          <cell r="Q1196">
            <v>2.4</v>
          </cell>
          <cell r="R1196">
            <v>290</v>
          </cell>
          <cell r="S1196" t="str">
            <v>I believe it was Hisui's swampy terrain that gave Ursaluna its burly physique and newfound capacity to manipulate peat at will.</v>
          </cell>
          <cell r="T1196" t="str">
            <v>https://raw.githubusercontent.com/PokeAPI/sprites/master/sprites/pokemon/other/official-artwork/10272.png</v>
          </cell>
          <cell r="U1196" t="str">
            <v>https://raw.githubusercontent.com/PokeAPI/sprites/master/sprites/pokemon/other/official-artwork/shiny/10272.png</v>
          </cell>
        </row>
        <row r="1197">
          <cell r="A1197">
            <v>902</v>
          </cell>
          <cell r="C1197" t="str">
            <v>Basculegion Female</v>
          </cell>
          <cell r="D1197" t="str">
            <v>Other</v>
          </cell>
          <cell r="E1197" t="str">
            <v>water</v>
          </cell>
          <cell r="F1197" t="str">
            <v>ghost</v>
          </cell>
          <cell r="G1197">
            <v>120</v>
          </cell>
          <cell r="H1197">
            <v>92</v>
          </cell>
          <cell r="I1197">
            <v>65</v>
          </cell>
          <cell r="J1197">
            <v>100</v>
          </cell>
          <cell r="K1197">
            <v>75</v>
          </cell>
          <cell r="L1197">
            <v>78</v>
          </cell>
          <cell r="M1197">
            <v>530</v>
          </cell>
          <cell r="N1197" t="str">
            <v>swift-swim</v>
          </cell>
          <cell r="O1197" t="str">
            <v>adaptability</v>
          </cell>
          <cell r="P1197" t="str">
            <v>mold-breaker</v>
          </cell>
          <cell r="Q1197">
            <v>3</v>
          </cell>
          <cell r="R1197">
            <v>110</v>
          </cell>
          <cell r="S1197" t="str">
            <v>Clads itself in the souls of comrades that perished before fulfilling their goals of journeying upstream. No other species throughout all Hisui's rivers is Basculegion's equal.</v>
          </cell>
          <cell r="T1197" t="str">
            <v>https://raw.githubusercontent.com/PokeAPI/sprites/master/sprites/pokemon/other/official-artwork/10248.png</v>
          </cell>
          <cell r="U1197" t="str">
            <v>https://raw.githubusercontent.com/PokeAPI/sprites/master/sprites/pokemon/other/official-artwork/shiny/10248.png</v>
          </cell>
        </row>
        <row r="1198">
          <cell r="A1198">
            <v>902</v>
          </cell>
          <cell r="C1198" t="str">
            <v>Basculegion Male</v>
          </cell>
          <cell r="D1198" t="str">
            <v>Other</v>
          </cell>
          <cell r="E1198" t="str">
            <v>water</v>
          </cell>
          <cell r="F1198" t="str">
            <v>ghost</v>
          </cell>
          <cell r="G1198">
            <v>120</v>
          </cell>
          <cell r="H1198">
            <v>112</v>
          </cell>
          <cell r="I1198">
            <v>65</v>
          </cell>
          <cell r="J1198">
            <v>80</v>
          </cell>
          <cell r="K1198">
            <v>75</v>
          </cell>
          <cell r="L1198">
            <v>78</v>
          </cell>
          <cell r="M1198">
            <v>530</v>
          </cell>
          <cell r="N1198" t="str">
            <v>swift-swim</v>
          </cell>
          <cell r="O1198" t="str">
            <v>adaptability</v>
          </cell>
          <cell r="P1198" t="str">
            <v>mold-breaker</v>
          </cell>
          <cell r="Q1198">
            <v>3</v>
          </cell>
          <cell r="R1198">
            <v>110</v>
          </cell>
          <cell r="S1198" t="str">
            <v>Clads itself in the souls of comrades that perished before fulfilling their goals of journeying upstream. No other species throughout all Hisui's rivers is Basculegion's equal.</v>
          </cell>
          <cell r="T1198" t="str">
            <v>https://raw.githubusercontent.com/PokeAPI/sprites/master/sprites/pokemon/other/official-artwork/902.png</v>
          </cell>
          <cell r="U1198" t="str">
            <v>https://raw.githubusercontent.com/PokeAPI/sprites/master/sprites/pokemon/other/official-artwork/shiny/902.png</v>
          </cell>
        </row>
        <row r="1199">
          <cell r="A1199">
            <v>903</v>
          </cell>
          <cell r="C1199" t="str">
            <v>Sneasler</v>
          </cell>
          <cell r="D1199" t="str">
            <v>Standard</v>
          </cell>
          <cell r="E1199" t="str">
            <v>fighting</v>
          </cell>
          <cell r="F1199" t="str">
            <v>poison</v>
          </cell>
          <cell r="G1199">
            <v>80</v>
          </cell>
          <cell r="H1199">
            <v>130</v>
          </cell>
          <cell r="I1199">
            <v>60</v>
          </cell>
          <cell r="J1199">
            <v>40</v>
          </cell>
          <cell r="K1199">
            <v>80</v>
          </cell>
          <cell r="L1199">
            <v>120</v>
          </cell>
          <cell r="M1199">
            <v>510</v>
          </cell>
          <cell r="N1199" t="str">
            <v>pressure</v>
          </cell>
          <cell r="O1199" t="str">
            <v>unburden</v>
          </cell>
          <cell r="P1199" t="str">
            <v>poison-touch</v>
          </cell>
          <cell r="Q1199">
            <v>1.3</v>
          </cell>
          <cell r="R1199">
            <v>43</v>
          </cell>
          <cell r="S1199" t="str">
            <v>Because of Sneasler's virulent poison and daunting physical prowess, no other species could hope to best it on the frozen highlands. Preferring solitude, this species does not form packs.</v>
          </cell>
          <cell r="T1199" t="str">
            <v>https://raw.githubusercontent.com/PokeAPI/sprites/master/sprites/pokemon/other/official-artwork/903.png</v>
          </cell>
          <cell r="U1199" t="str">
            <v>https://raw.githubusercontent.com/PokeAPI/sprites/master/sprites/pokemon/other/official-artwork/shiny/903.png</v>
          </cell>
        </row>
        <row r="1200">
          <cell r="A1200">
            <v>904</v>
          </cell>
          <cell r="C1200" t="str">
            <v>Overqwil</v>
          </cell>
          <cell r="D1200" t="str">
            <v>Standard</v>
          </cell>
          <cell r="E1200" t="str">
            <v>dark</v>
          </cell>
          <cell r="F1200" t="str">
            <v>poison</v>
          </cell>
          <cell r="G1200">
            <v>85</v>
          </cell>
          <cell r="H1200">
            <v>115</v>
          </cell>
          <cell r="I1200">
            <v>95</v>
          </cell>
          <cell r="J1200">
            <v>65</v>
          </cell>
          <cell r="K1200">
            <v>65</v>
          </cell>
          <cell r="L1200">
            <v>85</v>
          </cell>
          <cell r="M1200">
            <v>510</v>
          </cell>
          <cell r="N1200" t="str">
            <v>poison-point</v>
          </cell>
          <cell r="O1200" t="str">
            <v>swift-swim</v>
          </cell>
          <cell r="P1200" t="str">
            <v>intimidate</v>
          </cell>
          <cell r="Q1200">
            <v>2.5</v>
          </cell>
          <cell r="R1200">
            <v>60.5</v>
          </cell>
          <cell r="S1200" t="str">
            <v>Its lancelike spikes and savage temperament have earned it the nickname ”sea fiend.” It slurps up poison to nourish itself.</v>
          </cell>
          <cell r="T1200" t="str">
            <v>https://raw.githubusercontent.com/PokeAPI/sprites/master/sprites/pokemon/other/official-artwork/904.png</v>
          </cell>
          <cell r="U1200" t="str">
            <v>https://raw.githubusercontent.com/PokeAPI/sprites/master/sprites/pokemon/other/official-artwork/shiny/904.png</v>
          </cell>
        </row>
        <row r="1201">
          <cell r="A1201">
            <v>905</v>
          </cell>
          <cell r="C1201" t="str">
            <v>Enamorus Incarnate</v>
          </cell>
          <cell r="D1201" t="str">
            <v>Other</v>
          </cell>
          <cell r="E1201" t="str">
            <v>fairy</v>
          </cell>
          <cell r="F1201" t="str">
            <v>flying</v>
          </cell>
          <cell r="G1201">
            <v>74</v>
          </cell>
          <cell r="H1201">
            <v>115</v>
          </cell>
          <cell r="I1201">
            <v>70</v>
          </cell>
          <cell r="J1201">
            <v>135</v>
          </cell>
          <cell r="K1201">
            <v>80</v>
          </cell>
          <cell r="L1201">
            <v>106</v>
          </cell>
          <cell r="M1201">
            <v>580</v>
          </cell>
          <cell r="N1201" t="str">
            <v>cute-charm</v>
          </cell>
          <cell r="P1201" t="str">
            <v>contrary</v>
          </cell>
          <cell r="Q1201">
            <v>1.6</v>
          </cell>
          <cell r="R1201">
            <v>48</v>
          </cell>
          <cell r="S1201" t="str">
            <v>When it flies to this land from across the sea, the bitter winter comes to an end. According to legend, this Pokémon's love gives rise to the budding of fresh life across Hisui.</v>
          </cell>
          <cell r="T1201" t="str">
            <v>https://raw.githubusercontent.com/PokeAPI/sprites/master/sprites/pokemon/other/official-artwork/905.png</v>
          </cell>
          <cell r="U1201" t="str">
            <v>https://raw.githubusercontent.com/PokeAPI/sprites/master/sprites/pokemon/other/official-artwork/shiny/905.png</v>
          </cell>
        </row>
        <row r="1202">
          <cell r="A1202">
            <v>905</v>
          </cell>
          <cell r="C1202" t="str">
            <v>Enamorus Therian</v>
          </cell>
          <cell r="D1202" t="str">
            <v>Other</v>
          </cell>
          <cell r="E1202" t="str">
            <v>fairy</v>
          </cell>
          <cell r="F1202" t="str">
            <v>flying</v>
          </cell>
          <cell r="G1202">
            <v>74</v>
          </cell>
          <cell r="H1202">
            <v>115</v>
          </cell>
          <cell r="I1202">
            <v>110</v>
          </cell>
          <cell r="J1202">
            <v>135</v>
          </cell>
          <cell r="K1202">
            <v>100</v>
          </cell>
          <cell r="L1202">
            <v>46</v>
          </cell>
          <cell r="M1202">
            <v>580</v>
          </cell>
          <cell r="N1202" t="str">
            <v>overcoat</v>
          </cell>
          <cell r="Q1202">
            <v>1.6</v>
          </cell>
          <cell r="R1202">
            <v>48</v>
          </cell>
          <cell r="S1202" t="str">
            <v>When it flies to this land from across the sea, the bitter winter comes to an end. According to legend, this Pokémon's love gives rise to the budding of fresh life across Hisui.</v>
          </cell>
          <cell r="T1202" t="str">
            <v>https://raw.githubusercontent.com/PokeAPI/sprites/master/sprites/pokemon/other/official-artwork/10249.png</v>
          </cell>
          <cell r="U1202" t="str">
            <v>https://raw.githubusercontent.com/PokeAPI/sprites/master/sprites/pokemon/other/official-artwork/shiny/10249.png</v>
          </cell>
        </row>
        <row r="1203">
          <cell r="A1203">
            <v>906</v>
          </cell>
          <cell r="C1203" t="str">
            <v>Sprigatito</v>
          </cell>
          <cell r="D1203" t="str">
            <v>Standard</v>
          </cell>
          <cell r="E1203" t="str">
            <v>grass</v>
          </cell>
          <cell r="G1203">
            <v>40</v>
          </cell>
          <cell r="H1203">
            <v>61</v>
          </cell>
          <cell r="I1203">
            <v>54</v>
          </cell>
          <cell r="J1203">
            <v>45</v>
          </cell>
          <cell r="K1203">
            <v>45</v>
          </cell>
          <cell r="L1203">
            <v>65</v>
          </cell>
          <cell r="M1203">
            <v>310</v>
          </cell>
          <cell r="N1203" t="str">
            <v>overgrow</v>
          </cell>
          <cell r="P1203" t="str">
            <v>protean</v>
          </cell>
          <cell r="Q1203">
            <v>0.4</v>
          </cell>
          <cell r="R1203">
            <v>4.0999999999999996</v>
          </cell>
          <cell r="S1203" t="str">
            <v>Its fluffy fur is similar in composition to plants. This Pokémon frequently washes its face to keep it from drying out.</v>
          </cell>
          <cell r="T1203" t="str">
            <v>https://raw.githubusercontent.com/PokeAPI/sprites/master/sprites/pokemon/other/official-artwork/906.png</v>
          </cell>
          <cell r="U1203" t="str">
            <v>https://raw.githubusercontent.com/PokeAPI/sprites/master/sprites/pokemon/other/official-artwork/shiny/906.png</v>
          </cell>
        </row>
        <row r="1204">
          <cell r="A1204">
            <v>907</v>
          </cell>
          <cell r="C1204" t="str">
            <v>Floragato</v>
          </cell>
          <cell r="D1204" t="str">
            <v>Standard</v>
          </cell>
          <cell r="E1204" t="str">
            <v>grass</v>
          </cell>
          <cell r="G1204">
            <v>61</v>
          </cell>
          <cell r="H1204">
            <v>80</v>
          </cell>
          <cell r="I1204">
            <v>63</v>
          </cell>
          <cell r="J1204">
            <v>60</v>
          </cell>
          <cell r="K1204">
            <v>63</v>
          </cell>
          <cell r="L1204">
            <v>83</v>
          </cell>
          <cell r="M1204">
            <v>410</v>
          </cell>
          <cell r="N1204" t="str">
            <v>overgrow</v>
          </cell>
          <cell r="P1204" t="str">
            <v>protean</v>
          </cell>
          <cell r="Q1204">
            <v>0.9</v>
          </cell>
          <cell r="R1204">
            <v>12.2</v>
          </cell>
          <cell r="S1204" t="str">
            <v>Floragato deftly wields the vine hidden beneath its long fur, slamming the hard flower bud against its opponents.</v>
          </cell>
          <cell r="T1204" t="str">
            <v>https://raw.githubusercontent.com/PokeAPI/sprites/master/sprites/pokemon/other/official-artwork/907.png</v>
          </cell>
          <cell r="U1204" t="str">
            <v>https://raw.githubusercontent.com/PokeAPI/sprites/master/sprites/pokemon/other/official-artwork/shiny/907.png</v>
          </cell>
        </row>
        <row r="1205">
          <cell r="A1205">
            <v>908</v>
          </cell>
          <cell r="C1205" t="str">
            <v>Meowscarada</v>
          </cell>
          <cell r="D1205" t="str">
            <v>Standard</v>
          </cell>
          <cell r="E1205" t="str">
            <v>grass</v>
          </cell>
          <cell r="F1205" t="str">
            <v>dark</v>
          </cell>
          <cell r="G1205">
            <v>76</v>
          </cell>
          <cell r="H1205">
            <v>110</v>
          </cell>
          <cell r="I1205">
            <v>70</v>
          </cell>
          <cell r="J1205">
            <v>81</v>
          </cell>
          <cell r="K1205">
            <v>70</v>
          </cell>
          <cell r="L1205">
            <v>123</v>
          </cell>
          <cell r="M1205">
            <v>530</v>
          </cell>
          <cell r="N1205" t="str">
            <v>overgrow</v>
          </cell>
          <cell r="P1205" t="str">
            <v>protean</v>
          </cell>
          <cell r="Q1205">
            <v>1.5</v>
          </cell>
          <cell r="R1205">
            <v>31.2</v>
          </cell>
          <cell r="S1205" t="str">
            <v>This Pokémon uses the reflective fur lining its cape to camouflage the stem of its flower, creating the illusion that the flower is floating.</v>
          </cell>
          <cell r="T1205" t="str">
            <v>https://raw.githubusercontent.com/PokeAPI/sprites/master/sprites/pokemon/other/official-artwork/908.png</v>
          </cell>
          <cell r="U1205" t="str">
            <v>https://raw.githubusercontent.com/PokeAPI/sprites/master/sprites/pokemon/other/official-artwork/shiny/908.png</v>
          </cell>
        </row>
        <row r="1206">
          <cell r="A1206">
            <v>909</v>
          </cell>
          <cell r="C1206" t="str">
            <v>Fuecoco</v>
          </cell>
          <cell r="D1206" t="str">
            <v>Standard</v>
          </cell>
          <cell r="E1206" t="str">
            <v>fire</v>
          </cell>
          <cell r="G1206">
            <v>67</v>
          </cell>
          <cell r="H1206">
            <v>45</v>
          </cell>
          <cell r="I1206">
            <v>59</v>
          </cell>
          <cell r="J1206">
            <v>63</v>
          </cell>
          <cell r="K1206">
            <v>40</v>
          </cell>
          <cell r="L1206">
            <v>36</v>
          </cell>
          <cell r="M1206">
            <v>310</v>
          </cell>
          <cell r="N1206" t="str">
            <v>blaze</v>
          </cell>
          <cell r="P1206" t="str">
            <v>unaware</v>
          </cell>
          <cell r="Q1206">
            <v>0.4</v>
          </cell>
          <cell r="R1206">
            <v>9.8000000000000007</v>
          </cell>
          <cell r="S1206" t="str">
            <v>It lies on warm rocks and uses the heat absorbed by its square-shaped scales to create fire energy.</v>
          </cell>
          <cell r="T1206" t="str">
            <v>https://raw.githubusercontent.com/PokeAPI/sprites/master/sprites/pokemon/other/official-artwork/909.png</v>
          </cell>
          <cell r="U1206" t="str">
            <v>https://raw.githubusercontent.com/PokeAPI/sprites/master/sprites/pokemon/other/official-artwork/shiny/909.png</v>
          </cell>
        </row>
        <row r="1207">
          <cell r="A1207">
            <v>910</v>
          </cell>
          <cell r="C1207" t="str">
            <v>Crocalor</v>
          </cell>
          <cell r="D1207" t="str">
            <v>Standard</v>
          </cell>
          <cell r="E1207" t="str">
            <v>fire</v>
          </cell>
          <cell r="G1207">
            <v>81</v>
          </cell>
          <cell r="H1207">
            <v>55</v>
          </cell>
          <cell r="I1207">
            <v>78</v>
          </cell>
          <cell r="J1207">
            <v>90</v>
          </cell>
          <cell r="K1207">
            <v>58</v>
          </cell>
          <cell r="L1207">
            <v>49</v>
          </cell>
          <cell r="M1207">
            <v>411</v>
          </cell>
          <cell r="N1207" t="str">
            <v>blaze</v>
          </cell>
          <cell r="P1207" t="str">
            <v>unaware</v>
          </cell>
          <cell r="Q1207">
            <v>1</v>
          </cell>
          <cell r="R1207">
            <v>30.7</v>
          </cell>
          <cell r="S1207" t="str">
            <v>The combination of Crocalor’s fire energy and overflowing vitality has caused an egg-shaped fireball to appear on the Pokémon’s head.</v>
          </cell>
          <cell r="T1207" t="str">
            <v>https://raw.githubusercontent.com/PokeAPI/sprites/master/sprites/pokemon/other/official-artwork/910.png</v>
          </cell>
          <cell r="U1207" t="str">
            <v>https://raw.githubusercontent.com/PokeAPI/sprites/master/sprites/pokemon/other/official-artwork/shiny/910.png</v>
          </cell>
        </row>
        <row r="1208">
          <cell r="A1208">
            <v>911</v>
          </cell>
          <cell r="C1208" t="str">
            <v>Skeledirge</v>
          </cell>
          <cell r="D1208" t="str">
            <v>Standard</v>
          </cell>
          <cell r="E1208" t="str">
            <v>fire</v>
          </cell>
          <cell r="F1208" t="str">
            <v>ghost</v>
          </cell>
          <cell r="G1208">
            <v>104</v>
          </cell>
          <cell r="H1208">
            <v>75</v>
          </cell>
          <cell r="I1208">
            <v>100</v>
          </cell>
          <cell r="J1208">
            <v>110</v>
          </cell>
          <cell r="K1208">
            <v>75</v>
          </cell>
          <cell r="L1208">
            <v>66</v>
          </cell>
          <cell r="M1208">
            <v>530</v>
          </cell>
          <cell r="N1208" t="str">
            <v>blaze</v>
          </cell>
          <cell r="P1208" t="str">
            <v>unaware</v>
          </cell>
          <cell r="Q1208">
            <v>1.6</v>
          </cell>
          <cell r="R1208">
            <v>326.5</v>
          </cell>
          <cell r="S1208" t="str">
            <v>The fiery bird changes shape when Skeledirge sings. Rumor has it that the bird was born when the fireball on Skeledirge’s head gained a soul.</v>
          </cell>
          <cell r="T1208" t="str">
            <v>https://raw.githubusercontent.com/PokeAPI/sprites/master/sprites/pokemon/other/official-artwork/911.png</v>
          </cell>
          <cell r="U1208" t="str">
            <v>https://raw.githubusercontent.com/PokeAPI/sprites/master/sprites/pokemon/other/official-artwork/shiny/911.png</v>
          </cell>
        </row>
        <row r="1209">
          <cell r="A1209">
            <v>912</v>
          </cell>
          <cell r="C1209" t="str">
            <v>Quaxly</v>
          </cell>
          <cell r="D1209" t="str">
            <v>Standard</v>
          </cell>
          <cell r="E1209" t="str">
            <v>water</v>
          </cell>
          <cell r="G1209">
            <v>55</v>
          </cell>
          <cell r="H1209">
            <v>65</v>
          </cell>
          <cell r="I1209">
            <v>45</v>
          </cell>
          <cell r="J1209">
            <v>50</v>
          </cell>
          <cell r="K1209">
            <v>45</v>
          </cell>
          <cell r="L1209">
            <v>50</v>
          </cell>
          <cell r="M1209">
            <v>310</v>
          </cell>
          <cell r="N1209" t="str">
            <v>torrent</v>
          </cell>
          <cell r="P1209" t="str">
            <v>moxie</v>
          </cell>
          <cell r="Q1209">
            <v>0.5</v>
          </cell>
          <cell r="R1209">
            <v>6.1</v>
          </cell>
          <cell r="S1209" t="str">
            <v>This Pokémon migrated to Paldea from distant lands long ago. The gel secreted by its feathers repels water and grime."</v>
          </cell>
          <cell r="T1209" t="str">
            <v>https://raw.githubusercontent.com/PokeAPI/sprites/master/sprites/pokemon/other/official-artwork/912.png</v>
          </cell>
          <cell r="U1209" t="str">
            <v>https://raw.githubusercontent.com/PokeAPI/sprites/master/sprites/pokemon/other/official-artwork/shiny/912.png</v>
          </cell>
        </row>
        <row r="1210">
          <cell r="A1210">
            <v>913</v>
          </cell>
          <cell r="C1210" t="str">
            <v>Quaxwell</v>
          </cell>
          <cell r="D1210" t="str">
            <v>Standard</v>
          </cell>
          <cell r="E1210" t="str">
            <v>water</v>
          </cell>
          <cell r="G1210">
            <v>70</v>
          </cell>
          <cell r="H1210">
            <v>85</v>
          </cell>
          <cell r="I1210">
            <v>65</v>
          </cell>
          <cell r="J1210">
            <v>65</v>
          </cell>
          <cell r="K1210">
            <v>60</v>
          </cell>
          <cell r="L1210">
            <v>65</v>
          </cell>
          <cell r="M1210">
            <v>410</v>
          </cell>
          <cell r="N1210" t="str">
            <v>torrent</v>
          </cell>
          <cell r="P1210" t="str">
            <v>moxie</v>
          </cell>
          <cell r="Q1210">
            <v>1.2</v>
          </cell>
          <cell r="R1210">
            <v>21.5</v>
          </cell>
          <cell r="S1210" t="str">
            <v>These Pokémon constantly run through shallow waters to train their legs, then compete with each other to see which of them kicks most gracefully.</v>
          </cell>
          <cell r="T1210" t="str">
            <v>https://raw.githubusercontent.com/PokeAPI/sprites/master/sprites/pokemon/other/official-artwork/913.png</v>
          </cell>
          <cell r="U1210" t="str">
            <v>https://raw.githubusercontent.com/PokeAPI/sprites/master/sprites/pokemon/other/official-artwork/shiny/913.png</v>
          </cell>
        </row>
        <row r="1211">
          <cell r="A1211">
            <v>914</v>
          </cell>
          <cell r="C1211" t="str">
            <v>Quaquaval</v>
          </cell>
          <cell r="D1211" t="str">
            <v>Standard</v>
          </cell>
          <cell r="E1211" t="str">
            <v>water</v>
          </cell>
          <cell r="F1211" t="str">
            <v>fighting</v>
          </cell>
          <cell r="G1211">
            <v>85</v>
          </cell>
          <cell r="H1211">
            <v>120</v>
          </cell>
          <cell r="I1211">
            <v>80</v>
          </cell>
          <cell r="J1211">
            <v>85</v>
          </cell>
          <cell r="K1211">
            <v>75</v>
          </cell>
          <cell r="L1211">
            <v>85</v>
          </cell>
          <cell r="M1211">
            <v>530</v>
          </cell>
          <cell r="N1211" t="str">
            <v>torrent</v>
          </cell>
          <cell r="P1211" t="str">
            <v>moxie</v>
          </cell>
          <cell r="Q1211">
            <v>1.8</v>
          </cell>
          <cell r="R1211">
            <v>61.9</v>
          </cell>
          <cell r="S1211" t="str">
            <v>A single kick from a Quaquaval can send a truck rolling. This Pokémon uses its powerful legs to perform striking dances from far-off lands.</v>
          </cell>
          <cell r="T1211" t="str">
            <v>https://raw.githubusercontent.com/PokeAPI/sprites/master/sprites/pokemon/other/official-artwork/914.png</v>
          </cell>
          <cell r="U1211" t="str">
            <v>https://raw.githubusercontent.com/PokeAPI/sprites/master/sprites/pokemon/other/official-artwork/shiny/914.png</v>
          </cell>
        </row>
        <row r="1212">
          <cell r="A1212">
            <v>915</v>
          </cell>
          <cell r="C1212" t="str">
            <v>Lechonk</v>
          </cell>
          <cell r="D1212" t="str">
            <v>Standard</v>
          </cell>
          <cell r="E1212" t="str">
            <v>normal</v>
          </cell>
          <cell r="G1212">
            <v>54</v>
          </cell>
          <cell r="H1212">
            <v>45</v>
          </cell>
          <cell r="I1212">
            <v>40</v>
          </cell>
          <cell r="J1212">
            <v>35</v>
          </cell>
          <cell r="K1212">
            <v>45</v>
          </cell>
          <cell r="L1212">
            <v>35</v>
          </cell>
          <cell r="M1212">
            <v>254</v>
          </cell>
          <cell r="N1212" t="str">
            <v>aroma-veil</v>
          </cell>
          <cell r="O1212" t="str">
            <v>gluttony</v>
          </cell>
          <cell r="P1212" t="str">
            <v>thick-fat</v>
          </cell>
          <cell r="Q1212">
            <v>0.5</v>
          </cell>
          <cell r="R1212">
            <v>10.199999999999999</v>
          </cell>
          <cell r="S1212" t="str">
            <v>It searches for food all day. It possesses a keen sense of smell but doesn’t use it for anything other than foraging.</v>
          </cell>
          <cell r="T1212" t="str">
            <v>https://raw.githubusercontent.com/PokeAPI/sprites/master/sprites/pokemon/other/official-artwork/915.png</v>
          </cell>
          <cell r="U1212" t="str">
            <v>https://raw.githubusercontent.com/PokeAPI/sprites/master/sprites/pokemon/other/official-artwork/shiny/915.png</v>
          </cell>
        </row>
        <row r="1213">
          <cell r="A1213">
            <v>916</v>
          </cell>
          <cell r="C1213" t="str">
            <v>Oinkologne Female</v>
          </cell>
          <cell r="D1213" t="str">
            <v>Other</v>
          </cell>
          <cell r="E1213" t="str">
            <v>normal</v>
          </cell>
          <cell r="G1213">
            <v>115</v>
          </cell>
          <cell r="H1213">
            <v>90</v>
          </cell>
          <cell r="I1213">
            <v>70</v>
          </cell>
          <cell r="J1213">
            <v>59</v>
          </cell>
          <cell r="K1213">
            <v>90</v>
          </cell>
          <cell r="L1213">
            <v>65</v>
          </cell>
          <cell r="M1213">
            <v>489</v>
          </cell>
          <cell r="N1213" t="str">
            <v>aroma-veil</v>
          </cell>
          <cell r="O1213" t="str">
            <v>gluttony</v>
          </cell>
          <cell r="P1213" t="str">
            <v>thick-fat</v>
          </cell>
          <cell r="Q1213">
            <v>1</v>
          </cell>
          <cell r="R1213">
            <v>120</v>
          </cell>
          <cell r="S1213" t="str">
            <v>Oinkologne is proud of its fine, glossy skin. It emits a concentrated scent from the tip of its tail.</v>
          </cell>
          <cell r="T1213" t="str">
            <v>https://raw.githubusercontent.com/PokeAPI/sprites/master/sprites/pokemon/other/official-artwork/10254.png</v>
          </cell>
          <cell r="U1213" t="str">
            <v>https://raw.githubusercontent.com/PokeAPI/sprites/master/sprites/pokemon/other/official-artwork/shiny/10254.png</v>
          </cell>
        </row>
        <row r="1214">
          <cell r="A1214">
            <v>916</v>
          </cell>
          <cell r="C1214" t="str">
            <v>Oinkologne Male</v>
          </cell>
          <cell r="D1214" t="str">
            <v>Other</v>
          </cell>
          <cell r="E1214" t="str">
            <v>normal</v>
          </cell>
          <cell r="G1214">
            <v>110</v>
          </cell>
          <cell r="H1214">
            <v>100</v>
          </cell>
          <cell r="I1214">
            <v>75</v>
          </cell>
          <cell r="J1214">
            <v>59</v>
          </cell>
          <cell r="K1214">
            <v>80</v>
          </cell>
          <cell r="L1214">
            <v>65</v>
          </cell>
          <cell r="M1214">
            <v>489</v>
          </cell>
          <cell r="N1214" t="str">
            <v>lingering-aroma</v>
          </cell>
          <cell r="O1214" t="str">
            <v>gluttony</v>
          </cell>
          <cell r="P1214" t="str">
            <v>thick-fat</v>
          </cell>
          <cell r="Q1214">
            <v>1</v>
          </cell>
          <cell r="R1214">
            <v>120</v>
          </cell>
          <cell r="S1214" t="str">
            <v>Oinkologne is proud of its fine, glossy skin. It emits a concentrated scent from the tip of its tail.</v>
          </cell>
          <cell r="T1214" t="str">
            <v>https://raw.githubusercontent.com/PokeAPI/sprites/master/sprites/pokemon/other/official-artwork/916.png</v>
          </cell>
          <cell r="U1214" t="str">
            <v>https://raw.githubusercontent.com/PokeAPI/sprites/master/sprites/pokemon/other/official-artwork/shiny/916.png</v>
          </cell>
        </row>
        <row r="1215">
          <cell r="A1215">
            <v>917</v>
          </cell>
          <cell r="C1215" t="str">
            <v>Tarountula</v>
          </cell>
          <cell r="D1215" t="str">
            <v>Standard</v>
          </cell>
          <cell r="E1215" t="str">
            <v>bug</v>
          </cell>
          <cell r="G1215">
            <v>35</v>
          </cell>
          <cell r="H1215">
            <v>41</v>
          </cell>
          <cell r="I1215">
            <v>45</v>
          </cell>
          <cell r="J1215">
            <v>29</v>
          </cell>
          <cell r="K1215">
            <v>40</v>
          </cell>
          <cell r="L1215">
            <v>20</v>
          </cell>
          <cell r="M1215">
            <v>210</v>
          </cell>
          <cell r="N1215" t="str">
            <v>insomnia</v>
          </cell>
          <cell r="P1215" t="str">
            <v>stakeout</v>
          </cell>
          <cell r="Q1215">
            <v>0.3</v>
          </cell>
          <cell r="R1215">
            <v>4</v>
          </cell>
          <cell r="S1215" t="str">
            <v>The ball of threads wrapped around its body is elastic enough to deflect the scythes of Scyther, this Pokémon’s natural enemy.</v>
          </cell>
          <cell r="T1215" t="str">
            <v>https://raw.githubusercontent.com/PokeAPI/sprites/master/sprites/pokemon/other/official-artwork/917.png</v>
          </cell>
          <cell r="U1215" t="str">
            <v>https://raw.githubusercontent.com/PokeAPI/sprites/master/sprites/pokemon/other/official-artwork/shiny/917.png</v>
          </cell>
        </row>
        <row r="1216">
          <cell r="A1216">
            <v>918</v>
          </cell>
          <cell r="C1216" t="str">
            <v>Spidops</v>
          </cell>
          <cell r="D1216" t="str">
            <v>Standard</v>
          </cell>
          <cell r="E1216" t="str">
            <v>bug</v>
          </cell>
          <cell r="G1216">
            <v>60</v>
          </cell>
          <cell r="H1216">
            <v>79</v>
          </cell>
          <cell r="I1216">
            <v>92</v>
          </cell>
          <cell r="J1216">
            <v>52</v>
          </cell>
          <cell r="K1216">
            <v>86</v>
          </cell>
          <cell r="L1216">
            <v>35</v>
          </cell>
          <cell r="M1216">
            <v>404</v>
          </cell>
          <cell r="N1216" t="str">
            <v>insomnia</v>
          </cell>
          <cell r="P1216" t="str">
            <v>stakeout</v>
          </cell>
          <cell r="Q1216">
            <v>1</v>
          </cell>
          <cell r="R1216">
            <v>16.5</v>
          </cell>
          <cell r="S1216" t="str">
            <v>It clings to branches and ceilings using its threads and moves without a sound. It takes out its prey before the prey even notices it.</v>
          </cell>
          <cell r="T1216" t="str">
            <v>https://raw.githubusercontent.com/PokeAPI/sprites/master/sprites/pokemon/other/official-artwork/918.png</v>
          </cell>
          <cell r="U1216" t="str">
            <v>https://raw.githubusercontent.com/PokeAPI/sprites/master/sprites/pokemon/other/official-artwork/shiny/918.png</v>
          </cell>
        </row>
        <row r="1217">
          <cell r="A1217">
            <v>919</v>
          </cell>
          <cell r="C1217" t="str">
            <v>Nymble</v>
          </cell>
          <cell r="D1217" t="str">
            <v>Standard</v>
          </cell>
          <cell r="E1217" t="str">
            <v>bug</v>
          </cell>
          <cell r="G1217">
            <v>33</v>
          </cell>
          <cell r="H1217">
            <v>46</v>
          </cell>
          <cell r="I1217">
            <v>40</v>
          </cell>
          <cell r="J1217">
            <v>21</v>
          </cell>
          <cell r="K1217">
            <v>25</v>
          </cell>
          <cell r="L1217">
            <v>45</v>
          </cell>
          <cell r="M1217">
            <v>210</v>
          </cell>
          <cell r="N1217" t="str">
            <v>swarm</v>
          </cell>
          <cell r="P1217" t="str">
            <v>tinted-lens</v>
          </cell>
          <cell r="Q1217">
            <v>0.2</v>
          </cell>
          <cell r="R1217">
            <v>1</v>
          </cell>
          <cell r="S1217" t="str">
            <v>It has its third set of legs folded up. When it’s in a tough spot, this Pokémon jumps over 30 feet using the strength of its legs.</v>
          </cell>
          <cell r="T1217" t="str">
            <v>https://raw.githubusercontent.com/PokeAPI/sprites/master/sprites/pokemon/other/official-artwork/919.png</v>
          </cell>
          <cell r="U1217" t="str">
            <v>https://raw.githubusercontent.com/PokeAPI/sprites/master/sprites/pokemon/other/official-artwork/shiny/919.png</v>
          </cell>
        </row>
        <row r="1218">
          <cell r="A1218">
            <v>920</v>
          </cell>
          <cell r="C1218" t="str">
            <v>Lokix</v>
          </cell>
          <cell r="D1218" t="str">
            <v>Standard</v>
          </cell>
          <cell r="E1218" t="str">
            <v>bug</v>
          </cell>
          <cell r="F1218" t="str">
            <v>dark</v>
          </cell>
          <cell r="G1218">
            <v>71</v>
          </cell>
          <cell r="H1218">
            <v>102</v>
          </cell>
          <cell r="I1218">
            <v>78</v>
          </cell>
          <cell r="J1218">
            <v>52</v>
          </cell>
          <cell r="K1218">
            <v>55</v>
          </cell>
          <cell r="L1218">
            <v>92</v>
          </cell>
          <cell r="M1218">
            <v>450</v>
          </cell>
          <cell r="N1218" t="str">
            <v>swarm</v>
          </cell>
          <cell r="P1218" t="str">
            <v>tinted-lens</v>
          </cell>
          <cell r="Q1218">
            <v>1</v>
          </cell>
          <cell r="R1218">
            <v>17.5</v>
          </cell>
          <cell r="S1218" t="str">
            <v>When it decides to fight all out, it stands on its previously folded legs to enter Showdown Mode. It neutralizes its enemies in short order.</v>
          </cell>
          <cell r="T1218" t="str">
            <v>https://raw.githubusercontent.com/PokeAPI/sprites/master/sprites/pokemon/other/official-artwork/920.png</v>
          </cell>
          <cell r="U1218" t="str">
            <v>https://raw.githubusercontent.com/PokeAPI/sprites/master/sprites/pokemon/other/official-artwork/shiny/920.png</v>
          </cell>
        </row>
        <row r="1219">
          <cell r="A1219">
            <v>921</v>
          </cell>
          <cell r="C1219" t="str">
            <v>Pawmi</v>
          </cell>
          <cell r="D1219" t="str">
            <v>Standard</v>
          </cell>
          <cell r="E1219" t="str">
            <v>electric</v>
          </cell>
          <cell r="G1219">
            <v>45</v>
          </cell>
          <cell r="H1219">
            <v>50</v>
          </cell>
          <cell r="I1219">
            <v>20</v>
          </cell>
          <cell r="J1219">
            <v>40</v>
          </cell>
          <cell r="K1219">
            <v>25</v>
          </cell>
          <cell r="L1219">
            <v>60</v>
          </cell>
          <cell r="M1219">
            <v>240</v>
          </cell>
          <cell r="N1219" t="str">
            <v>static</v>
          </cell>
          <cell r="O1219" t="str">
            <v>natural-cure</v>
          </cell>
          <cell r="P1219" t="str">
            <v>iron-fist</v>
          </cell>
          <cell r="Q1219">
            <v>0.3</v>
          </cell>
          <cell r="R1219">
            <v>2.5</v>
          </cell>
          <cell r="S1219" t="str">
            <v>It has underdeveloped electric sacs on its cheeks. These sacs can produce electricity only if Pawmi rubs them furiously with the pads on its forepaws.</v>
          </cell>
          <cell r="T1219" t="str">
            <v>https://raw.githubusercontent.com/PokeAPI/sprites/master/sprites/pokemon/other/official-artwork/921.png</v>
          </cell>
          <cell r="U1219" t="str">
            <v>https://raw.githubusercontent.com/PokeAPI/sprites/master/sprites/pokemon/other/official-artwork/shiny/921.png</v>
          </cell>
        </row>
        <row r="1220">
          <cell r="A1220">
            <v>922</v>
          </cell>
          <cell r="C1220" t="str">
            <v>Pawmo</v>
          </cell>
          <cell r="D1220" t="str">
            <v>Standard</v>
          </cell>
          <cell r="E1220" t="str">
            <v>electric</v>
          </cell>
          <cell r="F1220" t="str">
            <v>fighting</v>
          </cell>
          <cell r="G1220">
            <v>60</v>
          </cell>
          <cell r="H1220">
            <v>75</v>
          </cell>
          <cell r="I1220">
            <v>40</v>
          </cell>
          <cell r="J1220">
            <v>50</v>
          </cell>
          <cell r="K1220">
            <v>40</v>
          </cell>
          <cell r="L1220">
            <v>85</v>
          </cell>
          <cell r="M1220">
            <v>350</v>
          </cell>
          <cell r="N1220" t="str">
            <v>volt-absorb</v>
          </cell>
          <cell r="O1220" t="str">
            <v>natural-cure</v>
          </cell>
          <cell r="P1220" t="str">
            <v>iron-fist</v>
          </cell>
          <cell r="Q1220">
            <v>0.4</v>
          </cell>
          <cell r="R1220">
            <v>6.5</v>
          </cell>
          <cell r="S1220" t="str">
            <v>When its group is attacked, Pawmo is the first to leap into battle, defeating enemies with a fighting technique that utilizes electric shocks.</v>
          </cell>
          <cell r="T1220" t="str">
            <v>https://raw.githubusercontent.com/PokeAPI/sprites/master/sprites/pokemon/other/official-artwork/922.png</v>
          </cell>
          <cell r="U1220" t="str">
            <v>https://raw.githubusercontent.com/PokeAPI/sprites/master/sprites/pokemon/other/official-artwork/shiny/922.png</v>
          </cell>
        </row>
        <row r="1221">
          <cell r="A1221">
            <v>923</v>
          </cell>
          <cell r="C1221" t="str">
            <v>Pawmot</v>
          </cell>
          <cell r="D1221" t="str">
            <v>Standard</v>
          </cell>
          <cell r="E1221" t="str">
            <v>electric</v>
          </cell>
          <cell r="F1221" t="str">
            <v>fighting</v>
          </cell>
          <cell r="G1221">
            <v>70</v>
          </cell>
          <cell r="H1221">
            <v>115</v>
          </cell>
          <cell r="I1221">
            <v>70</v>
          </cell>
          <cell r="J1221">
            <v>70</v>
          </cell>
          <cell r="K1221">
            <v>60</v>
          </cell>
          <cell r="L1221">
            <v>105</v>
          </cell>
          <cell r="M1221">
            <v>490</v>
          </cell>
          <cell r="N1221" t="str">
            <v>volt-absorb</v>
          </cell>
          <cell r="O1221" t="str">
            <v>natural-cure</v>
          </cell>
          <cell r="P1221" t="str">
            <v>iron-fist</v>
          </cell>
          <cell r="Q1221">
            <v>0.9</v>
          </cell>
          <cell r="R1221">
            <v>41</v>
          </cell>
          <cell r="S1221" t="str">
            <v>This Pokémon normally is slow to react, but once it enters battle, it will strike down its enemies with lightning-fast movements.</v>
          </cell>
          <cell r="T1221" t="str">
            <v>https://raw.githubusercontent.com/PokeAPI/sprites/master/sprites/pokemon/other/official-artwork/923.png</v>
          </cell>
          <cell r="U1221" t="str">
            <v>https://raw.githubusercontent.com/PokeAPI/sprites/master/sprites/pokemon/other/official-artwork/shiny/923.png</v>
          </cell>
        </row>
        <row r="1222">
          <cell r="A1222">
            <v>924</v>
          </cell>
          <cell r="C1222" t="str">
            <v>Tandemaus</v>
          </cell>
          <cell r="D1222" t="str">
            <v>Standard</v>
          </cell>
          <cell r="E1222" t="str">
            <v>normal</v>
          </cell>
          <cell r="G1222">
            <v>50</v>
          </cell>
          <cell r="H1222">
            <v>50</v>
          </cell>
          <cell r="I1222">
            <v>45</v>
          </cell>
          <cell r="J1222">
            <v>40</v>
          </cell>
          <cell r="K1222">
            <v>45</v>
          </cell>
          <cell r="L1222">
            <v>75</v>
          </cell>
          <cell r="M1222">
            <v>305</v>
          </cell>
          <cell r="N1222" t="str">
            <v>run-away</v>
          </cell>
          <cell r="O1222" t="str">
            <v>pickup</v>
          </cell>
          <cell r="P1222" t="str">
            <v>own-tempo</v>
          </cell>
          <cell r="Q1222">
            <v>0.3</v>
          </cell>
          <cell r="R1222">
            <v>1.8</v>
          </cell>
          <cell r="S1222" t="str">
            <v>Exhibiting great teamwork, they use their incisors to cut pieces out of any material that might be useful for a nest, then make off with them.</v>
          </cell>
          <cell r="T1222" t="str">
            <v>https://raw.githubusercontent.com/PokeAPI/sprites/master/sprites/pokemon/other/official-artwork/924.png</v>
          </cell>
          <cell r="U1222" t="str">
            <v>https://raw.githubusercontent.com/PokeAPI/sprites/master/sprites/pokemon/other/official-artwork/shiny/924.png</v>
          </cell>
        </row>
        <row r="1223">
          <cell r="A1223">
            <v>925</v>
          </cell>
          <cell r="C1223" t="str">
            <v>Maushold Family Of Four</v>
          </cell>
          <cell r="D1223" t="str">
            <v>Other</v>
          </cell>
          <cell r="E1223" t="str">
            <v>normal</v>
          </cell>
          <cell r="G1223">
            <v>74</v>
          </cell>
          <cell r="H1223">
            <v>75</v>
          </cell>
          <cell r="I1223">
            <v>70</v>
          </cell>
          <cell r="J1223">
            <v>65</v>
          </cell>
          <cell r="K1223">
            <v>75</v>
          </cell>
          <cell r="L1223">
            <v>111</v>
          </cell>
          <cell r="M1223">
            <v>470</v>
          </cell>
          <cell r="N1223" t="str">
            <v>friend-guard</v>
          </cell>
          <cell r="O1223" t="str">
            <v>cheek-pouch</v>
          </cell>
          <cell r="P1223" t="str">
            <v>technician</v>
          </cell>
          <cell r="Q1223">
            <v>0.3</v>
          </cell>
          <cell r="R1223">
            <v>2.2999999999999998</v>
          </cell>
          <cell r="S1223" t="str">
            <v>The two little ones just appeared one day. The group might be a family of related Pokémon, but nobody knows for sure.</v>
          </cell>
          <cell r="T1223" t="str">
            <v>https://raw.githubusercontent.com/PokeAPI/sprites/master/sprites/pokemon/other/official-artwork/925.png</v>
          </cell>
          <cell r="U1223" t="str">
            <v>https://raw.githubusercontent.com/PokeAPI/sprites/master/sprites/pokemon/other/official-artwork/shiny/925.png</v>
          </cell>
        </row>
        <row r="1224">
          <cell r="A1224">
            <v>925</v>
          </cell>
          <cell r="C1224" t="str">
            <v>Maushold Family Of Three</v>
          </cell>
          <cell r="D1224" t="str">
            <v>Other</v>
          </cell>
          <cell r="E1224" t="str">
            <v>normal</v>
          </cell>
          <cell r="G1224">
            <v>74</v>
          </cell>
          <cell r="H1224">
            <v>75</v>
          </cell>
          <cell r="I1224">
            <v>70</v>
          </cell>
          <cell r="J1224">
            <v>65</v>
          </cell>
          <cell r="K1224">
            <v>75</v>
          </cell>
          <cell r="L1224">
            <v>111</v>
          </cell>
          <cell r="M1224">
            <v>470</v>
          </cell>
          <cell r="N1224" t="str">
            <v>friend-guard</v>
          </cell>
          <cell r="O1224" t="str">
            <v>cheek-pouch</v>
          </cell>
          <cell r="P1224" t="str">
            <v>technician</v>
          </cell>
          <cell r="Q1224">
            <v>0.3</v>
          </cell>
          <cell r="R1224">
            <v>2.8</v>
          </cell>
          <cell r="S1224" t="str">
            <v>The two little ones just appeared one day. The group might be a family of related Pokémon, but nobody knows for sure.</v>
          </cell>
          <cell r="T1224" t="str">
            <v>https://raw.githubusercontent.com/PokeAPI/sprites/master/sprites/pokemon/other/official-artwork/10257.png</v>
          </cell>
          <cell r="U1224" t="str">
            <v>https://raw.githubusercontent.com/PokeAPI/sprites/master/sprites/pokemon/shiny/10257.png</v>
          </cell>
        </row>
        <row r="1225">
          <cell r="A1225">
            <v>926</v>
          </cell>
          <cell r="C1225" t="str">
            <v>Fidough</v>
          </cell>
          <cell r="D1225" t="str">
            <v>Standard</v>
          </cell>
          <cell r="E1225" t="str">
            <v>fairy</v>
          </cell>
          <cell r="G1225">
            <v>37</v>
          </cell>
          <cell r="H1225">
            <v>55</v>
          </cell>
          <cell r="I1225">
            <v>70</v>
          </cell>
          <cell r="J1225">
            <v>30</v>
          </cell>
          <cell r="K1225">
            <v>55</v>
          </cell>
          <cell r="L1225">
            <v>65</v>
          </cell>
          <cell r="M1225">
            <v>312</v>
          </cell>
          <cell r="N1225" t="str">
            <v>own-tempo</v>
          </cell>
          <cell r="P1225" t="str">
            <v>klutz</v>
          </cell>
          <cell r="Q1225">
            <v>0.3</v>
          </cell>
          <cell r="R1225">
            <v>10.9</v>
          </cell>
          <cell r="S1225" t="str">
            <v>This Pokémon is smooth and moist to the touch. Yeast in Fidough’s breath induces fermentation in the Pokémon’s vicinity.</v>
          </cell>
          <cell r="T1225" t="str">
            <v>https://raw.githubusercontent.com/PokeAPI/sprites/master/sprites/pokemon/other/official-artwork/926.png</v>
          </cell>
          <cell r="U1225" t="str">
            <v>https://raw.githubusercontent.com/PokeAPI/sprites/master/sprites/pokemon/other/official-artwork/shiny/926.png</v>
          </cell>
        </row>
        <row r="1226">
          <cell r="A1226">
            <v>927</v>
          </cell>
          <cell r="C1226" t="str">
            <v>Dachsbun</v>
          </cell>
          <cell r="D1226" t="str">
            <v>Standard</v>
          </cell>
          <cell r="E1226" t="str">
            <v>fairy</v>
          </cell>
          <cell r="G1226">
            <v>57</v>
          </cell>
          <cell r="H1226">
            <v>80</v>
          </cell>
          <cell r="I1226">
            <v>115</v>
          </cell>
          <cell r="J1226">
            <v>50</v>
          </cell>
          <cell r="K1226">
            <v>80</v>
          </cell>
          <cell r="L1226">
            <v>95</v>
          </cell>
          <cell r="M1226">
            <v>477</v>
          </cell>
          <cell r="N1226" t="str">
            <v>well-baked-body</v>
          </cell>
          <cell r="P1226" t="str">
            <v>aroma-veil</v>
          </cell>
          <cell r="Q1226">
            <v>0.5</v>
          </cell>
          <cell r="R1226">
            <v>14.9</v>
          </cell>
          <cell r="S1226" t="str">
            <v>The pleasant aroma that emanates from this Pokémon’s body helps wheat grow, so Dachsbun has been treasured by farming villages.</v>
          </cell>
          <cell r="T1226" t="str">
            <v>https://raw.githubusercontent.com/PokeAPI/sprites/master/sprites/pokemon/other/official-artwork/927.png</v>
          </cell>
          <cell r="U1226" t="str">
            <v>https://raw.githubusercontent.com/PokeAPI/sprites/master/sprites/pokemon/other/official-artwork/shiny/927.png</v>
          </cell>
        </row>
        <row r="1227">
          <cell r="A1227">
            <v>928</v>
          </cell>
          <cell r="C1227" t="str">
            <v>Smoliv</v>
          </cell>
          <cell r="D1227" t="str">
            <v>Standard</v>
          </cell>
          <cell r="E1227" t="str">
            <v>grass</v>
          </cell>
          <cell r="F1227" t="str">
            <v>normal</v>
          </cell>
          <cell r="G1227">
            <v>41</v>
          </cell>
          <cell r="H1227">
            <v>35</v>
          </cell>
          <cell r="I1227">
            <v>45</v>
          </cell>
          <cell r="J1227">
            <v>58</v>
          </cell>
          <cell r="K1227">
            <v>51</v>
          </cell>
          <cell r="L1227">
            <v>30</v>
          </cell>
          <cell r="M1227">
            <v>260</v>
          </cell>
          <cell r="N1227" t="str">
            <v>early-bird</v>
          </cell>
          <cell r="P1227" t="str">
            <v>harvest</v>
          </cell>
          <cell r="Q1227">
            <v>0.3</v>
          </cell>
          <cell r="R1227">
            <v>6.5</v>
          </cell>
          <cell r="S1227" t="str">
            <v>It protects itself from enemies by emitting oil from the fruit on its head. This oil is bitter and astringent enough to make someone flinch.</v>
          </cell>
          <cell r="T1227" t="str">
            <v>https://raw.githubusercontent.com/PokeAPI/sprites/master/sprites/pokemon/other/official-artwork/928.png</v>
          </cell>
          <cell r="U1227" t="str">
            <v>https://raw.githubusercontent.com/PokeAPI/sprites/master/sprites/pokemon/other/official-artwork/shiny/928.png</v>
          </cell>
        </row>
        <row r="1228">
          <cell r="A1228">
            <v>929</v>
          </cell>
          <cell r="C1228" t="str">
            <v>Dolliv</v>
          </cell>
          <cell r="D1228" t="str">
            <v>Standard</v>
          </cell>
          <cell r="E1228" t="str">
            <v>grass</v>
          </cell>
          <cell r="F1228" t="str">
            <v>normal</v>
          </cell>
          <cell r="G1228">
            <v>52</v>
          </cell>
          <cell r="H1228">
            <v>53</v>
          </cell>
          <cell r="I1228">
            <v>60</v>
          </cell>
          <cell r="J1228">
            <v>78</v>
          </cell>
          <cell r="K1228">
            <v>78</v>
          </cell>
          <cell r="L1228">
            <v>33</v>
          </cell>
          <cell r="M1228">
            <v>354</v>
          </cell>
          <cell r="N1228" t="str">
            <v>early-bird</v>
          </cell>
          <cell r="P1228" t="str">
            <v>harvest</v>
          </cell>
          <cell r="Q1228">
            <v>0.6</v>
          </cell>
          <cell r="R1228">
            <v>11.9</v>
          </cell>
          <cell r="S1228" t="str">
            <v>Dolliv shares its tasty, fresh-scented oil with others. This species has coexisted with humans since times long gone.</v>
          </cell>
          <cell r="T1228" t="str">
            <v>https://raw.githubusercontent.com/PokeAPI/sprites/master/sprites/pokemon/other/official-artwork/929.png</v>
          </cell>
          <cell r="U1228" t="str">
            <v>https://raw.githubusercontent.com/PokeAPI/sprites/master/sprites/pokemon/other/official-artwork/shiny/929.png</v>
          </cell>
        </row>
        <row r="1229">
          <cell r="A1229">
            <v>930</v>
          </cell>
          <cell r="C1229" t="str">
            <v>Arboliva</v>
          </cell>
          <cell r="D1229" t="str">
            <v>Standard</v>
          </cell>
          <cell r="E1229" t="str">
            <v>grass</v>
          </cell>
          <cell r="F1229" t="str">
            <v>normal</v>
          </cell>
          <cell r="G1229">
            <v>78</v>
          </cell>
          <cell r="H1229">
            <v>69</v>
          </cell>
          <cell r="I1229">
            <v>90</v>
          </cell>
          <cell r="J1229">
            <v>125</v>
          </cell>
          <cell r="K1229">
            <v>109</v>
          </cell>
          <cell r="L1229">
            <v>39</v>
          </cell>
          <cell r="M1229">
            <v>510</v>
          </cell>
          <cell r="N1229" t="str">
            <v>seed-sower</v>
          </cell>
          <cell r="P1229" t="str">
            <v>harvest</v>
          </cell>
          <cell r="Q1229">
            <v>1.4</v>
          </cell>
          <cell r="R1229">
            <v>48.2</v>
          </cell>
          <cell r="S1229" t="str">
            <v>This calm Pokémon is very compassionate. It will share its delicious, nutrient-rich oil with weakened Pokémon.</v>
          </cell>
          <cell r="T1229" t="str">
            <v>https://raw.githubusercontent.com/PokeAPI/sprites/master/sprites/pokemon/other/official-artwork/930.png</v>
          </cell>
          <cell r="U1229" t="str">
            <v>https://raw.githubusercontent.com/PokeAPI/sprites/master/sprites/pokemon/other/official-artwork/shiny/930.png</v>
          </cell>
        </row>
        <row r="1230">
          <cell r="A1230">
            <v>931</v>
          </cell>
          <cell r="C1230" t="str">
            <v>Squawkabilly Blue Plumage</v>
          </cell>
          <cell r="D1230" t="str">
            <v>Other</v>
          </cell>
          <cell r="E1230" t="str">
            <v>normal</v>
          </cell>
          <cell r="F1230" t="str">
            <v>flying</v>
          </cell>
          <cell r="G1230">
            <v>82</v>
          </cell>
          <cell r="H1230">
            <v>96</v>
          </cell>
          <cell r="I1230">
            <v>51</v>
          </cell>
          <cell r="J1230">
            <v>45</v>
          </cell>
          <cell r="K1230">
            <v>51</v>
          </cell>
          <cell r="L1230">
            <v>92</v>
          </cell>
          <cell r="M1230">
            <v>417</v>
          </cell>
          <cell r="N1230" t="str">
            <v>intimidate</v>
          </cell>
          <cell r="O1230" t="str">
            <v>hustle</v>
          </cell>
          <cell r="P1230" t="str">
            <v>guts</v>
          </cell>
          <cell r="Q1230">
            <v>0.6</v>
          </cell>
          <cell r="R1230">
            <v>2.4</v>
          </cell>
          <cell r="S1230" t="str">
            <v>These Pokémon prefer to live in cities. They form flocks based on the color of their feathers, and they fight over territory.</v>
          </cell>
          <cell r="T1230" t="str">
            <v>https://raw.githubusercontent.com/PokeAPI/sprites/master/sprites/pokemon/other/official-artwork/10260.png</v>
          </cell>
          <cell r="U1230" t="str">
            <v>https://raw.githubusercontent.com/PokeAPI/sprites/master/sprites/pokemon/other/official-artwork/shiny/10260.png</v>
          </cell>
        </row>
        <row r="1231">
          <cell r="A1231">
            <v>931</v>
          </cell>
          <cell r="C1231" t="str">
            <v>Squawkabilly Green Plumage</v>
          </cell>
          <cell r="D1231" t="str">
            <v>Other</v>
          </cell>
          <cell r="E1231" t="str">
            <v>normal</v>
          </cell>
          <cell r="F1231" t="str">
            <v>flying</v>
          </cell>
          <cell r="G1231">
            <v>82</v>
          </cell>
          <cell r="H1231">
            <v>96</v>
          </cell>
          <cell r="I1231">
            <v>51</v>
          </cell>
          <cell r="J1231">
            <v>45</v>
          </cell>
          <cell r="K1231">
            <v>51</v>
          </cell>
          <cell r="L1231">
            <v>92</v>
          </cell>
          <cell r="M1231">
            <v>417</v>
          </cell>
          <cell r="N1231" t="str">
            <v>intimidate</v>
          </cell>
          <cell r="O1231" t="str">
            <v>hustle</v>
          </cell>
          <cell r="P1231" t="str">
            <v>guts</v>
          </cell>
          <cell r="Q1231">
            <v>0.6</v>
          </cell>
          <cell r="R1231">
            <v>2.4</v>
          </cell>
          <cell r="S1231" t="str">
            <v>These Pokémon prefer to live in cities. They form flocks based on the color of their feathers, and they fight over territory.</v>
          </cell>
          <cell r="T1231" t="str">
            <v>https://raw.githubusercontent.com/PokeAPI/sprites/master/sprites/pokemon/other/official-artwork/931.png</v>
          </cell>
          <cell r="U1231" t="str">
            <v>https://raw.githubusercontent.com/PokeAPI/sprites/master/sprites/pokemon/other/official-artwork/shiny/931.png</v>
          </cell>
        </row>
        <row r="1232">
          <cell r="A1232">
            <v>931</v>
          </cell>
          <cell r="C1232" t="str">
            <v>Squawkabilly White Plumage</v>
          </cell>
          <cell r="D1232" t="str">
            <v>Other</v>
          </cell>
          <cell r="E1232" t="str">
            <v>normal</v>
          </cell>
          <cell r="F1232" t="str">
            <v>flying</v>
          </cell>
          <cell r="G1232">
            <v>82</v>
          </cell>
          <cell r="H1232">
            <v>96</v>
          </cell>
          <cell r="I1232">
            <v>51</v>
          </cell>
          <cell r="J1232">
            <v>45</v>
          </cell>
          <cell r="K1232">
            <v>51</v>
          </cell>
          <cell r="L1232">
            <v>92</v>
          </cell>
          <cell r="M1232">
            <v>417</v>
          </cell>
          <cell r="N1232" t="str">
            <v>intimidate</v>
          </cell>
          <cell r="O1232" t="str">
            <v>hustle</v>
          </cell>
          <cell r="P1232" t="str">
            <v>sheer-force</v>
          </cell>
          <cell r="Q1232">
            <v>0.6</v>
          </cell>
          <cell r="R1232">
            <v>2.4</v>
          </cell>
          <cell r="S1232" t="str">
            <v>These Pokémon prefer to live in cities. They form flocks based on the color of their feathers, and they fight over territory.</v>
          </cell>
          <cell r="T1232" t="str">
            <v>https://raw.githubusercontent.com/PokeAPI/sprites/master/sprites/pokemon/other/official-artwork/10262.png</v>
          </cell>
          <cell r="U1232" t="str">
            <v>https://raw.githubusercontent.com/PokeAPI/sprites/master/sprites/pokemon/other/official-artwork/shiny/10262.png</v>
          </cell>
        </row>
        <row r="1233">
          <cell r="A1233">
            <v>931</v>
          </cell>
          <cell r="C1233" t="str">
            <v>Squawkabilly Yellow Plumage</v>
          </cell>
          <cell r="D1233" t="str">
            <v>Other</v>
          </cell>
          <cell r="E1233" t="str">
            <v>normal</v>
          </cell>
          <cell r="F1233" t="str">
            <v>flying</v>
          </cell>
          <cell r="G1233">
            <v>82</v>
          </cell>
          <cell r="H1233">
            <v>96</v>
          </cell>
          <cell r="I1233">
            <v>51</v>
          </cell>
          <cell r="J1233">
            <v>45</v>
          </cell>
          <cell r="K1233">
            <v>51</v>
          </cell>
          <cell r="L1233">
            <v>92</v>
          </cell>
          <cell r="M1233">
            <v>417</v>
          </cell>
          <cell r="N1233" t="str">
            <v>intimidate</v>
          </cell>
          <cell r="O1233" t="str">
            <v>hustle</v>
          </cell>
          <cell r="P1233" t="str">
            <v>sheer-force</v>
          </cell>
          <cell r="Q1233">
            <v>0.6</v>
          </cell>
          <cell r="R1233">
            <v>2.4</v>
          </cell>
          <cell r="S1233" t="str">
            <v>These Pokémon prefer to live in cities. They form flocks based on the color of their feathers, and they fight over territory.</v>
          </cell>
          <cell r="T1233" t="str">
            <v>https://raw.githubusercontent.com/PokeAPI/sprites/master/sprites/pokemon/other/official-artwork/10261.png</v>
          </cell>
          <cell r="U1233" t="str">
            <v>https://raw.githubusercontent.com/PokeAPI/sprites/master/sprites/pokemon/other/official-artwork/shiny/10261.png</v>
          </cell>
        </row>
        <row r="1234">
          <cell r="A1234">
            <v>932</v>
          </cell>
          <cell r="C1234" t="str">
            <v>Nacli</v>
          </cell>
          <cell r="D1234" t="str">
            <v>Standard</v>
          </cell>
          <cell r="E1234" t="str">
            <v>rock</v>
          </cell>
          <cell r="G1234">
            <v>55</v>
          </cell>
          <cell r="H1234">
            <v>55</v>
          </cell>
          <cell r="I1234">
            <v>75</v>
          </cell>
          <cell r="J1234">
            <v>35</v>
          </cell>
          <cell r="K1234">
            <v>35</v>
          </cell>
          <cell r="L1234">
            <v>25</v>
          </cell>
          <cell r="M1234">
            <v>280</v>
          </cell>
          <cell r="N1234" t="str">
            <v>purifying-salt</v>
          </cell>
          <cell r="O1234" t="str">
            <v>sturdy</v>
          </cell>
          <cell r="P1234" t="str">
            <v>clear-body</v>
          </cell>
          <cell r="Q1234">
            <v>0.4</v>
          </cell>
          <cell r="R1234">
            <v>16</v>
          </cell>
          <cell r="S1234" t="str">
            <v>It was born in a layer of rock salt deep under the earth. This species was particularly treasured in the old days, as they would share precious salt.</v>
          </cell>
          <cell r="T1234" t="str">
            <v>https://raw.githubusercontent.com/PokeAPI/sprites/master/sprites/pokemon/other/official-artwork/932.png</v>
          </cell>
          <cell r="U1234" t="str">
            <v>https://raw.githubusercontent.com/PokeAPI/sprites/master/sprites/pokemon/other/official-artwork/shiny/932.png</v>
          </cell>
        </row>
        <row r="1235">
          <cell r="A1235">
            <v>933</v>
          </cell>
          <cell r="C1235" t="str">
            <v>Naclstack</v>
          </cell>
          <cell r="D1235" t="str">
            <v>Standard</v>
          </cell>
          <cell r="E1235" t="str">
            <v>rock</v>
          </cell>
          <cell r="G1235">
            <v>60</v>
          </cell>
          <cell r="H1235">
            <v>60</v>
          </cell>
          <cell r="I1235">
            <v>100</v>
          </cell>
          <cell r="J1235">
            <v>35</v>
          </cell>
          <cell r="K1235">
            <v>65</v>
          </cell>
          <cell r="L1235">
            <v>35</v>
          </cell>
          <cell r="M1235">
            <v>355</v>
          </cell>
          <cell r="N1235" t="str">
            <v>purifying-salt</v>
          </cell>
          <cell r="O1235" t="str">
            <v>sturdy</v>
          </cell>
          <cell r="P1235" t="str">
            <v>clear-body</v>
          </cell>
          <cell r="Q1235">
            <v>0.6</v>
          </cell>
          <cell r="R1235">
            <v>105</v>
          </cell>
          <cell r="S1235" t="str">
            <v>This Pokémon dry cures its prey by spraying salt over them. The curing process steals away the water in the prey’s body.</v>
          </cell>
          <cell r="T1235" t="str">
            <v>https://raw.githubusercontent.com/PokeAPI/sprites/master/sprites/pokemon/other/official-artwork/933.png</v>
          </cell>
          <cell r="U1235" t="str">
            <v>https://raw.githubusercontent.com/PokeAPI/sprites/master/sprites/pokemon/other/official-artwork/shiny/933.png</v>
          </cell>
        </row>
        <row r="1236">
          <cell r="A1236">
            <v>934</v>
          </cell>
          <cell r="C1236" t="str">
            <v>Garganacl</v>
          </cell>
          <cell r="D1236" t="str">
            <v>Standard</v>
          </cell>
          <cell r="E1236" t="str">
            <v>rock</v>
          </cell>
          <cell r="G1236">
            <v>100</v>
          </cell>
          <cell r="H1236">
            <v>100</v>
          </cell>
          <cell r="I1236">
            <v>130</v>
          </cell>
          <cell r="J1236">
            <v>45</v>
          </cell>
          <cell r="K1236">
            <v>90</v>
          </cell>
          <cell r="L1236">
            <v>35</v>
          </cell>
          <cell r="M1236">
            <v>500</v>
          </cell>
          <cell r="N1236" t="str">
            <v>purifying-salt</v>
          </cell>
          <cell r="O1236" t="str">
            <v>sturdy</v>
          </cell>
          <cell r="P1236" t="str">
            <v>clear-body</v>
          </cell>
          <cell r="Q1236">
            <v>2.2999999999999998</v>
          </cell>
          <cell r="R1236">
            <v>240</v>
          </cell>
          <cell r="S1236" t="str">
            <v>Garganacl will rub its fingertips together and sprinkle injured Pokémon with salt. Even severe wounds will promptly heal afterward.</v>
          </cell>
          <cell r="T1236" t="str">
            <v>https://raw.githubusercontent.com/PokeAPI/sprites/master/sprites/pokemon/other/official-artwork/934.png</v>
          </cell>
          <cell r="U1236" t="str">
            <v>https://raw.githubusercontent.com/PokeAPI/sprites/master/sprites/pokemon/other/official-artwork/shiny/934.png</v>
          </cell>
        </row>
        <row r="1237">
          <cell r="A1237">
            <v>935</v>
          </cell>
          <cell r="C1237" t="str">
            <v>Charcadet</v>
          </cell>
          <cell r="D1237" t="str">
            <v>Standard</v>
          </cell>
          <cell r="E1237" t="str">
            <v>fire</v>
          </cell>
          <cell r="G1237">
            <v>40</v>
          </cell>
          <cell r="H1237">
            <v>50</v>
          </cell>
          <cell r="I1237">
            <v>40</v>
          </cell>
          <cell r="J1237">
            <v>50</v>
          </cell>
          <cell r="K1237">
            <v>40</v>
          </cell>
          <cell r="L1237">
            <v>35</v>
          </cell>
          <cell r="M1237">
            <v>255</v>
          </cell>
          <cell r="N1237" t="str">
            <v>flash-fire</v>
          </cell>
          <cell r="P1237" t="str">
            <v>flame-body</v>
          </cell>
          <cell r="Q1237">
            <v>0.6</v>
          </cell>
          <cell r="R1237">
            <v>10.5</v>
          </cell>
          <cell r="S1237" t="str">
            <v>Burnt charcoal came to life and became a Pokémon. Possessing a fiery fighting spirit, Charcadet will battle even tough opponents.</v>
          </cell>
          <cell r="T1237" t="str">
            <v>https://raw.githubusercontent.com/PokeAPI/sprites/master/sprites/pokemon/other/official-artwork/935.png</v>
          </cell>
          <cell r="U1237" t="str">
            <v>https://raw.githubusercontent.com/PokeAPI/sprites/master/sprites/pokemon/other/official-artwork/shiny/935.png</v>
          </cell>
        </row>
        <row r="1238">
          <cell r="A1238">
            <v>936</v>
          </cell>
          <cell r="C1238" t="str">
            <v>Armarouge</v>
          </cell>
          <cell r="D1238" t="str">
            <v>Standard</v>
          </cell>
          <cell r="E1238" t="str">
            <v>fire</v>
          </cell>
          <cell r="F1238" t="str">
            <v>psychic</v>
          </cell>
          <cell r="G1238">
            <v>85</v>
          </cell>
          <cell r="H1238">
            <v>60</v>
          </cell>
          <cell r="I1238">
            <v>100</v>
          </cell>
          <cell r="J1238">
            <v>125</v>
          </cell>
          <cell r="K1238">
            <v>80</v>
          </cell>
          <cell r="L1238">
            <v>75</v>
          </cell>
          <cell r="M1238">
            <v>525</v>
          </cell>
          <cell r="N1238" t="str">
            <v>flash-fire</v>
          </cell>
          <cell r="P1238" t="str">
            <v>weak-armor</v>
          </cell>
          <cell r="Q1238">
            <v>1.5</v>
          </cell>
          <cell r="R1238">
            <v>85</v>
          </cell>
          <cell r="S1238" t="str">
            <v>Armarouge evolved through the use of a set of armor that belonged to a distinguished warrior. This Pokémon is incredibly loyal.</v>
          </cell>
          <cell r="T1238" t="str">
            <v>https://raw.githubusercontent.com/PokeAPI/sprites/master/sprites/pokemon/other/official-artwork/936.png</v>
          </cell>
          <cell r="U1238" t="str">
            <v>https://raw.githubusercontent.com/PokeAPI/sprites/master/sprites/pokemon/other/official-artwork/shiny/936.png</v>
          </cell>
        </row>
        <row r="1239">
          <cell r="A1239">
            <v>937</v>
          </cell>
          <cell r="C1239" t="str">
            <v>Ceruledge</v>
          </cell>
          <cell r="D1239" t="str">
            <v>Standard</v>
          </cell>
          <cell r="E1239" t="str">
            <v>fire</v>
          </cell>
          <cell r="F1239" t="str">
            <v>ghost</v>
          </cell>
          <cell r="G1239">
            <v>75</v>
          </cell>
          <cell r="H1239">
            <v>125</v>
          </cell>
          <cell r="I1239">
            <v>80</v>
          </cell>
          <cell r="J1239">
            <v>60</v>
          </cell>
          <cell r="K1239">
            <v>100</v>
          </cell>
          <cell r="L1239">
            <v>85</v>
          </cell>
          <cell r="M1239">
            <v>525</v>
          </cell>
          <cell r="N1239" t="str">
            <v>flash-fire</v>
          </cell>
          <cell r="P1239" t="str">
            <v>weak-armor</v>
          </cell>
          <cell r="Q1239">
            <v>1.6</v>
          </cell>
          <cell r="R1239">
            <v>62</v>
          </cell>
          <cell r="S1239" t="str">
            <v>The fiery blades on its arms burn fiercely with the lingering resentment of a sword wielder who fell before accomplishing their goal.</v>
          </cell>
          <cell r="T1239" t="str">
            <v>https://raw.githubusercontent.com/PokeAPI/sprites/master/sprites/pokemon/other/official-artwork/937.png</v>
          </cell>
          <cell r="U1239" t="str">
            <v>https://raw.githubusercontent.com/PokeAPI/sprites/master/sprites/pokemon/other/official-artwork/shiny/937.png</v>
          </cell>
        </row>
        <row r="1240">
          <cell r="A1240">
            <v>938</v>
          </cell>
          <cell r="C1240" t="str">
            <v>Tadbulb</v>
          </cell>
          <cell r="D1240" t="str">
            <v>Standard</v>
          </cell>
          <cell r="E1240" t="str">
            <v>electric</v>
          </cell>
          <cell r="G1240">
            <v>61</v>
          </cell>
          <cell r="H1240">
            <v>31</v>
          </cell>
          <cell r="I1240">
            <v>41</v>
          </cell>
          <cell r="J1240">
            <v>59</v>
          </cell>
          <cell r="K1240">
            <v>35</v>
          </cell>
          <cell r="L1240">
            <v>45</v>
          </cell>
          <cell r="M1240">
            <v>272</v>
          </cell>
          <cell r="N1240" t="str">
            <v>own-tempo</v>
          </cell>
          <cell r="O1240" t="str">
            <v>static</v>
          </cell>
          <cell r="P1240" t="str">
            <v>damp</v>
          </cell>
          <cell r="Q1240">
            <v>0.3</v>
          </cell>
          <cell r="R1240">
            <v>0.4</v>
          </cell>
          <cell r="S1240" t="str">
            <v>Tadbulb shakes its tail to generate electricity. If it senses danger, it will make its head blink on and off to alert its allies.</v>
          </cell>
          <cell r="T1240" t="str">
            <v>https://raw.githubusercontent.com/PokeAPI/sprites/master/sprites/pokemon/other/official-artwork/938.png</v>
          </cell>
          <cell r="U1240" t="str">
            <v>https://raw.githubusercontent.com/PokeAPI/sprites/master/sprites/pokemon/other/official-artwork/shiny/938.png</v>
          </cell>
        </row>
        <row r="1241">
          <cell r="A1241">
            <v>939</v>
          </cell>
          <cell r="C1241" t="str">
            <v>Bellibolt</v>
          </cell>
          <cell r="D1241" t="str">
            <v>Standard</v>
          </cell>
          <cell r="E1241" t="str">
            <v>electric</v>
          </cell>
          <cell r="G1241">
            <v>109</v>
          </cell>
          <cell r="H1241">
            <v>64</v>
          </cell>
          <cell r="I1241">
            <v>91</v>
          </cell>
          <cell r="J1241">
            <v>103</v>
          </cell>
          <cell r="K1241">
            <v>83</v>
          </cell>
          <cell r="L1241">
            <v>45</v>
          </cell>
          <cell r="M1241">
            <v>495</v>
          </cell>
          <cell r="N1241" t="str">
            <v>electromorphosis</v>
          </cell>
          <cell r="O1241" t="str">
            <v>static</v>
          </cell>
          <cell r="P1241" t="str">
            <v>damp</v>
          </cell>
          <cell r="Q1241">
            <v>1.2</v>
          </cell>
          <cell r="R1241">
            <v>113</v>
          </cell>
          <cell r="S1241" t="str">
            <v>When this Pokémon expands and contracts its wobbly body, the belly-button dynamo in its stomach produces a huge amount of electricity.</v>
          </cell>
          <cell r="T1241" t="str">
            <v>https://raw.githubusercontent.com/PokeAPI/sprites/master/sprites/pokemon/other/official-artwork/939.png</v>
          </cell>
          <cell r="U1241" t="str">
            <v>https://raw.githubusercontent.com/PokeAPI/sprites/master/sprites/pokemon/other/official-artwork/shiny/939.png</v>
          </cell>
        </row>
        <row r="1242">
          <cell r="A1242">
            <v>940</v>
          </cell>
          <cell r="C1242" t="str">
            <v>Wattrel</v>
          </cell>
          <cell r="D1242" t="str">
            <v>Standard</v>
          </cell>
          <cell r="E1242" t="str">
            <v>electric</v>
          </cell>
          <cell r="F1242" t="str">
            <v>flying</v>
          </cell>
          <cell r="G1242">
            <v>40</v>
          </cell>
          <cell r="H1242">
            <v>40</v>
          </cell>
          <cell r="I1242">
            <v>35</v>
          </cell>
          <cell r="J1242">
            <v>55</v>
          </cell>
          <cell r="K1242">
            <v>40</v>
          </cell>
          <cell r="L1242">
            <v>70</v>
          </cell>
          <cell r="M1242">
            <v>280</v>
          </cell>
          <cell r="N1242" t="str">
            <v>wind-power</v>
          </cell>
          <cell r="O1242" t="str">
            <v>volt-absorb</v>
          </cell>
          <cell r="P1242" t="str">
            <v>competitive</v>
          </cell>
          <cell r="Q1242">
            <v>0.4</v>
          </cell>
          <cell r="R1242">
            <v>3.6</v>
          </cell>
          <cell r="S1242" t="str">
            <v>When its wings catch the wind, the bones within produce electricity. This Pokémon dives into the ocean, catching prey by electrocuting them.</v>
          </cell>
          <cell r="T1242" t="str">
            <v>https://raw.githubusercontent.com/PokeAPI/sprites/master/sprites/pokemon/other/official-artwork/940.png</v>
          </cell>
          <cell r="U1242" t="str">
            <v>https://raw.githubusercontent.com/PokeAPI/sprites/master/sprites/pokemon/other/official-artwork/shiny/940.png</v>
          </cell>
        </row>
        <row r="1243">
          <cell r="A1243">
            <v>941</v>
          </cell>
          <cell r="C1243" t="str">
            <v>Kilowattrel</v>
          </cell>
          <cell r="D1243" t="str">
            <v>Standard</v>
          </cell>
          <cell r="E1243" t="str">
            <v>electric</v>
          </cell>
          <cell r="F1243" t="str">
            <v>flying</v>
          </cell>
          <cell r="G1243">
            <v>70</v>
          </cell>
          <cell r="H1243">
            <v>70</v>
          </cell>
          <cell r="I1243">
            <v>60</v>
          </cell>
          <cell r="J1243">
            <v>105</v>
          </cell>
          <cell r="K1243">
            <v>60</v>
          </cell>
          <cell r="L1243">
            <v>125</v>
          </cell>
          <cell r="M1243">
            <v>490</v>
          </cell>
          <cell r="N1243" t="str">
            <v>wind-power</v>
          </cell>
          <cell r="O1243" t="str">
            <v>volt-absorb</v>
          </cell>
          <cell r="P1243" t="str">
            <v>competitive</v>
          </cell>
          <cell r="Q1243">
            <v>1.4</v>
          </cell>
          <cell r="R1243">
            <v>38.6</v>
          </cell>
          <cell r="S1243" t="str">
            <v>Kilowattrel inflates its throat sac to amplify its electricity. By riding the wind, this Pokémon can fly over 430 miles in a day.</v>
          </cell>
          <cell r="T1243" t="str">
            <v>https://raw.githubusercontent.com/PokeAPI/sprites/master/sprites/pokemon/other/official-artwork/941.png</v>
          </cell>
          <cell r="U1243" t="str">
            <v>https://raw.githubusercontent.com/PokeAPI/sprites/master/sprites/pokemon/other/official-artwork/shiny/941.png</v>
          </cell>
        </row>
        <row r="1244">
          <cell r="A1244">
            <v>942</v>
          </cell>
          <cell r="C1244" t="str">
            <v>Maschiff</v>
          </cell>
          <cell r="D1244" t="str">
            <v>Standard</v>
          </cell>
          <cell r="E1244" t="str">
            <v>dark</v>
          </cell>
          <cell r="G1244">
            <v>60</v>
          </cell>
          <cell r="H1244">
            <v>78</v>
          </cell>
          <cell r="I1244">
            <v>60</v>
          </cell>
          <cell r="J1244">
            <v>40</v>
          </cell>
          <cell r="K1244">
            <v>51</v>
          </cell>
          <cell r="L1244">
            <v>51</v>
          </cell>
          <cell r="M1244">
            <v>340</v>
          </cell>
          <cell r="N1244" t="str">
            <v>intimidate</v>
          </cell>
          <cell r="O1244" t="str">
            <v>run-away</v>
          </cell>
          <cell r="P1244" t="str">
            <v>stakeout</v>
          </cell>
          <cell r="Q1244">
            <v>0.5</v>
          </cell>
          <cell r="R1244">
            <v>16</v>
          </cell>
          <cell r="S1244" t="str">
            <v>It always scowls in an attempt to make opponents take it seriously, but even crying children will burst into laughter when they see Maschiff’s face.</v>
          </cell>
          <cell r="T1244" t="str">
            <v>https://raw.githubusercontent.com/PokeAPI/sprites/master/sprites/pokemon/other/official-artwork/942.png</v>
          </cell>
          <cell r="U1244" t="str">
            <v>https://raw.githubusercontent.com/PokeAPI/sprites/master/sprites/pokemon/other/official-artwork/shiny/942.png</v>
          </cell>
        </row>
        <row r="1245">
          <cell r="A1245">
            <v>943</v>
          </cell>
          <cell r="C1245" t="str">
            <v>Mabosstiff</v>
          </cell>
          <cell r="D1245" t="str">
            <v>Standard</v>
          </cell>
          <cell r="E1245" t="str">
            <v>dark</v>
          </cell>
          <cell r="G1245">
            <v>80</v>
          </cell>
          <cell r="H1245">
            <v>120</v>
          </cell>
          <cell r="I1245">
            <v>90</v>
          </cell>
          <cell r="J1245">
            <v>60</v>
          </cell>
          <cell r="K1245">
            <v>70</v>
          </cell>
          <cell r="L1245">
            <v>85</v>
          </cell>
          <cell r="M1245">
            <v>505</v>
          </cell>
          <cell r="N1245" t="str">
            <v>intimidate</v>
          </cell>
          <cell r="O1245" t="str">
            <v>guard-dog</v>
          </cell>
          <cell r="P1245" t="str">
            <v>stakeout</v>
          </cell>
          <cell r="Q1245">
            <v>1.1000000000000001</v>
          </cell>
          <cell r="R1245">
            <v>61</v>
          </cell>
          <cell r="S1245" t="str">
            <v>This Pokémon can store energy in its large dewlap. Mabosstiff unleashes this energy all at once to blow away enemies.</v>
          </cell>
          <cell r="T1245" t="str">
            <v>https://raw.githubusercontent.com/PokeAPI/sprites/master/sprites/pokemon/other/official-artwork/943.png</v>
          </cell>
          <cell r="U1245" t="str">
            <v>https://raw.githubusercontent.com/PokeAPI/sprites/master/sprites/pokemon/other/official-artwork/shiny/943.png</v>
          </cell>
        </row>
        <row r="1246">
          <cell r="A1246">
            <v>944</v>
          </cell>
          <cell r="C1246" t="str">
            <v>Shroodle</v>
          </cell>
          <cell r="D1246" t="str">
            <v>Standard</v>
          </cell>
          <cell r="E1246" t="str">
            <v>poison</v>
          </cell>
          <cell r="F1246" t="str">
            <v>normal</v>
          </cell>
          <cell r="G1246">
            <v>40</v>
          </cell>
          <cell r="H1246">
            <v>65</v>
          </cell>
          <cell r="I1246">
            <v>35</v>
          </cell>
          <cell r="J1246">
            <v>40</v>
          </cell>
          <cell r="K1246">
            <v>35</v>
          </cell>
          <cell r="L1246">
            <v>75</v>
          </cell>
          <cell r="M1246">
            <v>290</v>
          </cell>
          <cell r="N1246" t="str">
            <v>unburden</v>
          </cell>
          <cell r="O1246" t="str">
            <v>pickpocket</v>
          </cell>
          <cell r="P1246" t="str">
            <v>prankster</v>
          </cell>
          <cell r="Q1246">
            <v>0.2</v>
          </cell>
          <cell r="R1246">
            <v>0.7</v>
          </cell>
          <cell r="S1246" t="str">
            <v>Though usually a mellow Pokémon, it will sink its sharp, poison-soaked front teeth into any that anger it, causing paralysis in the object of its ire.</v>
          </cell>
          <cell r="T1246" t="str">
            <v>https://raw.githubusercontent.com/PokeAPI/sprites/master/sprites/pokemon/other/official-artwork/944.png</v>
          </cell>
          <cell r="U1246" t="str">
            <v>https://raw.githubusercontent.com/PokeAPI/sprites/master/sprites/pokemon/other/official-artwork/shiny/944.png</v>
          </cell>
        </row>
        <row r="1247">
          <cell r="A1247">
            <v>945</v>
          </cell>
          <cell r="C1247" t="str">
            <v>Grafaiai</v>
          </cell>
          <cell r="D1247" t="str">
            <v>Standard</v>
          </cell>
          <cell r="E1247" t="str">
            <v>poison</v>
          </cell>
          <cell r="F1247" t="str">
            <v>normal</v>
          </cell>
          <cell r="G1247">
            <v>63</v>
          </cell>
          <cell r="H1247">
            <v>95</v>
          </cell>
          <cell r="I1247">
            <v>65</v>
          </cell>
          <cell r="J1247">
            <v>80</v>
          </cell>
          <cell r="K1247">
            <v>72</v>
          </cell>
          <cell r="L1247">
            <v>110</v>
          </cell>
          <cell r="M1247">
            <v>485</v>
          </cell>
          <cell r="N1247" t="str">
            <v>unburden</v>
          </cell>
          <cell r="O1247" t="str">
            <v>poison-touch</v>
          </cell>
          <cell r="P1247" t="str">
            <v>prankster</v>
          </cell>
          <cell r="Q1247">
            <v>0.7</v>
          </cell>
          <cell r="R1247">
            <v>27.2</v>
          </cell>
          <cell r="S1247" t="str">
            <v>The color of the poisonous saliva depends on what the Pokémon eats. Grafaiai covers its fingers in its saliva and draws patterns on trees in forests.</v>
          </cell>
          <cell r="T1247" t="str">
            <v>https://raw.githubusercontent.com/PokeAPI/sprites/master/sprites/pokemon/other/official-artwork/945.png</v>
          </cell>
          <cell r="U1247" t="str">
            <v>https://raw.githubusercontent.com/PokeAPI/sprites/master/sprites/pokemon/other/official-artwork/shiny/945.png</v>
          </cell>
        </row>
        <row r="1248">
          <cell r="A1248">
            <v>946</v>
          </cell>
          <cell r="C1248" t="str">
            <v>Bramblin</v>
          </cell>
          <cell r="D1248" t="str">
            <v>Standard</v>
          </cell>
          <cell r="E1248" t="str">
            <v>grass</v>
          </cell>
          <cell r="F1248" t="str">
            <v>ghost</v>
          </cell>
          <cell r="G1248">
            <v>40</v>
          </cell>
          <cell r="H1248">
            <v>65</v>
          </cell>
          <cell r="I1248">
            <v>30</v>
          </cell>
          <cell r="J1248">
            <v>45</v>
          </cell>
          <cell r="K1248">
            <v>35</v>
          </cell>
          <cell r="L1248">
            <v>60</v>
          </cell>
          <cell r="M1248">
            <v>275</v>
          </cell>
          <cell r="N1248" t="str">
            <v>wind-rider</v>
          </cell>
          <cell r="P1248" t="str">
            <v>infiltrator</v>
          </cell>
          <cell r="Q1248">
            <v>0.6</v>
          </cell>
          <cell r="R1248">
            <v>0.6</v>
          </cell>
          <cell r="S1248" t="str">
            <v>A soul unable to move on to the afterlife was blown around by the wind until it got tangled up with dried grass and became a Pokémon.</v>
          </cell>
          <cell r="T1248" t="str">
            <v>https://raw.githubusercontent.com/PokeAPI/sprites/master/sprites/pokemon/other/official-artwork/946.png</v>
          </cell>
          <cell r="U1248" t="str">
            <v>https://raw.githubusercontent.com/PokeAPI/sprites/master/sprites/pokemon/other/official-artwork/shiny/946.png</v>
          </cell>
        </row>
        <row r="1249">
          <cell r="A1249">
            <v>947</v>
          </cell>
          <cell r="C1249" t="str">
            <v>Brambleghast</v>
          </cell>
          <cell r="D1249" t="str">
            <v>Standard</v>
          </cell>
          <cell r="E1249" t="str">
            <v>grass</v>
          </cell>
          <cell r="F1249" t="str">
            <v>ghost</v>
          </cell>
          <cell r="G1249">
            <v>55</v>
          </cell>
          <cell r="H1249">
            <v>115</v>
          </cell>
          <cell r="I1249">
            <v>70</v>
          </cell>
          <cell r="J1249">
            <v>80</v>
          </cell>
          <cell r="K1249">
            <v>70</v>
          </cell>
          <cell r="L1249">
            <v>90</v>
          </cell>
          <cell r="M1249">
            <v>480</v>
          </cell>
          <cell r="N1249" t="str">
            <v>wind-rider</v>
          </cell>
          <cell r="P1249" t="str">
            <v>infiltrator</v>
          </cell>
          <cell r="Q1249">
            <v>1.2</v>
          </cell>
          <cell r="R1249">
            <v>6</v>
          </cell>
          <cell r="S1249" t="str">
            <v>It will open the branches of its head to envelop its prey. Once it absorbs all the life energy it needs, it expels the prey and discards it.</v>
          </cell>
          <cell r="T1249" t="str">
            <v>https://raw.githubusercontent.com/PokeAPI/sprites/master/sprites/pokemon/other/official-artwork/947.png</v>
          </cell>
          <cell r="U1249" t="str">
            <v>https://raw.githubusercontent.com/PokeAPI/sprites/master/sprites/pokemon/other/official-artwork/shiny/947.png</v>
          </cell>
        </row>
        <row r="1250">
          <cell r="A1250">
            <v>948</v>
          </cell>
          <cell r="C1250" t="str">
            <v>Toedscool</v>
          </cell>
          <cell r="D1250" t="str">
            <v>Standard</v>
          </cell>
          <cell r="E1250" t="str">
            <v>ground</v>
          </cell>
          <cell r="F1250" t="str">
            <v>grass</v>
          </cell>
          <cell r="G1250">
            <v>40</v>
          </cell>
          <cell r="H1250">
            <v>40</v>
          </cell>
          <cell r="I1250">
            <v>35</v>
          </cell>
          <cell r="J1250">
            <v>50</v>
          </cell>
          <cell r="K1250">
            <v>100</v>
          </cell>
          <cell r="L1250">
            <v>70</v>
          </cell>
          <cell r="M1250">
            <v>335</v>
          </cell>
          <cell r="N1250" t="str">
            <v>mycelium-might</v>
          </cell>
          <cell r="P1250" t="str">
            <v>mycelium-might</v>
          </cell>
          <cell r="Q1250">
            <v>0.9</v>
          </cell>
          <cell r="R1250">
            <v>33</v>
          </cell>
          <cell r="S1250" t="str">
            <v>Toedscool lives in muggy forests. The flaps that fall from its body are chewy and very delicious.</v>
          </cell>
          <cell r="T1250" t="str">
            <v>https://raw.githubusercontent.com/PokeAPI/sprites/master/sprites/pokemon/other/official-artwork/948.png</v>
          </cell>
          <cell r="U1250" t="str">
            <v>https://raw.githubusercontent.com/PokeAPI/sprites/master/sprites/pokemon/other/official-artwork/shiny/948.png</v>
          </cell>
        </row>
        <row r="1251">
          <cell r="A1251">
            <v>949</v>
          </cell>
          <cell r="C1251" t="str">
            <v>Toedscruel</v>
          </cell>
          <cell r="D1251" t="str">
            <v>Standard</v>
          </cell>
          <cell r="E1251" t="str">
            <v>ground</v>
          </cell>
          <cell r="F1251" t="str">
            <v>grass</v>
          </cell>
          <cell r="G1251">
            <v>80</v>
          </cell>
          <cell r="H1251">
            <v>70</v>
          </cell>
          <cell r="I1251">
            <v>65</v>
          </cell>
          <cell r="J1251">
            <v>80</v>
          </cell>
          <cell r="K1251">
            <v>120</v>
          </cell>
          <cell r="L1251">
            <v>100</v>
          </cell>
          <cell r="M1251">
            <v>515</v>
          </cell>
          <cell r="N1251" t="str">
            <v>mycelium-might</v>
          </cell>
          <cell r="P1251" t="str">
            <v>mycelium-might</v>
          </cell>
          <cell r="Q1251">
            <v>1.9</v>
          </cell>
          <cell r="R1251">
            <v>58</v>
          </cell>
          <cell r="S1251" t="str">
            <v>These Pokémon gather into groups and form colonies deep within forests. They absolutely hate it when strangers approach.</v>
          </cell>
          <cell r="T1251" t="str">
            <v>https://raw.githubusercontent.com/PokeAPI/sprites/master/sprites/pokemon/other/official-artwork/949.png</v>
          </cell>
          <cell r="U1251" t="str">
            <v>https://raw.githubusercontent.com/PokeAPI/sprites/master/sprites/pokemon/other/official-artwork/shiny/949.png</v>
          </cell>
        </row>
        <row r="1252">
          <cell r="A1252">
            <v>950</v>
          </cell>
          <cell r="C1252" t="str">
            <v>Klawf</v>
          </cell>
          <cell r="D1252" t="str">
            <v>Standard</v>
          </cell>
          <cell r="E1252" t="str">
            <v>rock</v>
          </cell>
          <cell r="G1252">
            <v>70</v>
          </cell>
          <cell r="H1252">
            <v>100</v>
          </cell>
          <cell r="I1252">
            <v>115</v>
          </cell>
          <cell r="J1252">
            <v>35</v>
          </cell>
          <cell r="K1252">
            <v>55</v>
          </cell>
          <cell r="L1252">
            <v>75</v>
          </cell>
          <cell r="M1252">
            <v>450</v>
          </cell>
          <cell r="N1252" t="str">
            <v>anger-shell</v>
          </cell>
          <cell r="O1252" t="str">
            <v>shell-armor</v>
          </cell>
          <cell r="P1252" t="str">
            <v>regenerator</v>
          </cell>
          <cell r="Q1252">
            <v>1.3</v>
          </cell>
          <cell r="R1252">
            <v>79</v>
          </cell>
          <cell r="S1252" t="str">
            <v>Klawf hangs upside-down from cliffs, waiting for prey. But Klawf can’t remain in this position for long because its blood rushes to its head.</v>
          </cell>
          <cell r="T1252" t="str">
            <v>https://raw.githubusercontent.com/PokeAPI/sprites/master/sprites/pokemon/other/official-artwork/950.png</v>
          </cell>
          <cell r="U1252" t="str">
            <v>https://raw.githubusercontent.com/PokeAPI/sprites/master/sprites/pokemon/other/official-artwork/shiny/950.png</v>
          </cell>
        </row>
        <row r="1253">
          <cell r="A1253">
            <v>951</v>
          </cell>
          <cell r="C1253" t="str">
            <v>Capsakid</v>
          </cell>
          <cell r="D1253" t="str">
            <v>Standard</v>
          </cell>
          <cell r="E1253" t="str">
            <v>grass</v>
          </cell>
          <cell r="G1253">
            <v>50</v>
          </cell>
          <cell r="H1253">
            <v>62</v>
          </cell>
          <cell r="I1253">
            <v>40</v>
          </cell>
          <cell r="J1253">
            <v>62</v>
          </cell>
          <cell r="K1253">
            <v>40</v>
          </cell>
          <cell r="L1253">
            <v>50</v>
          </cell>
          <cell r="M1253">
            <v>304</v>
          </cell>
          <cell r="N1253" t="str">
            <v>chlorophyll</v>
          </cell>
          <cell r="O1253" t="str">
            <v>insomnia</v>
          </cell>
          <cell r="P1253" t="str">
            <v>klutz</v>
          </cell>
          <cell r="Q1253">
            <v>0.3</v>
          </cell>
          <cell r="R1253">
            <v>3</v>
          </cell>
          <cell r="S1253" t="str">
            <v>The more sunlight this Pokémon bathes in, the more spicy chemicals are produced by its body, and thus the spicier its moves become.</v>
          </cell>
          <cell r="T1253" t="str">
            <v>https://raw.githubusercontent.com/PokeAPI/sprites/master/sprites/pokemon/other/official-artwork/951.png</v>
          </cell>
          <cell r="U1253" t="str">
            <v>https://raw.githubusercontent.com/PokeAPI/sprites/master/sprites/pokemon/other/official-artwork/shiny/951.png</v>
          </cell>
        </row>
        <row r="1254">
          <cell r="A1254">
            <v>952</v>
          </cell>
          <cell r="C1254" t="str">
            <v>Scovillain</v>
          </cell>
          <cell r="D1254" t="str">
            <v>Standard</v>
          </cell>
          <cell r="E1254" t="str">
            <v>grass</v>
          </cell>
          <cell r="F1254" t="str">
            <v>fire</v>
          </cell>
          <cell r="G1254">
            <v>65</v>
          </cell>
          <cell r="H1254">
            <v>108</v>
          </cell>
          <cell r="I1254">
            <v>65</v>
          </cell>
          <cell r="J1254">
            <v>108</v>
          </cell>
          <cell r="K1254">
            <v>65</v>
          </cell>
          <cell r="L1254">
            <v>75</v>
          </cell>
          <cell r="M1254">
            <v>486</v>
          </cell>
          <cell r="N1254" t="str">
            <v>chlorophyll</v>
          </cell>
          <cell r="O1254" t="str">
            <v>insomnia</v>
          </cell>
          <cell r="P1254" t="str">
            <v>moody</v>
          </cell>
          <cell r="Q1254">
            <v>0.9</v>
          </cell>
          <cell r="R1254">
            <v>15</v>
          </cell>
          <cell r="S1254" t="str">
            <v>The red head converts spicy chemicals into fire energy and blasts the surrounding area with a super spicy stream of flame.</v>
          </cell>
          <cell r="T1254" t="str">
            <v>https://raw.githubusercontent.com/PokeAPI/sprites/master/sprites/pokemon/other/official-artwork/952.png</v>
          </cell>
          <cell r="U1254" t="str">
            <v>https://raw.githubusercontent.com/PokeAPI/sprites/master/sprites/pokemon/other/official-artwork/shiny/952.png</v>
          </cell>
        </row>
        <row r="1255">
          <cell r="A1255">
            <v>952</v>
          </cell>
          <cell r="C1255" t="str">
            <v>Scovillain Mega</v>
          </cell>
          <cell r="D1255" t="str">
            <v>Mega</v>
          </cell>
          <cell r="E1255" t="str">
            <v>grass</v>
          </cell>
          <cell r="F1255" t="str">
            <v>fire</v>
          </cell>
          <cell r="G1255">
            <v>65</v>
          </cell>
          <cell r="H1255">
            <v>138</v>
          </cell>
          <cell r="I1255">
            <v>85</v>
          </cell>
          <cell r="J1255">
            <v>138</v>
          </cell>
          <cell r="K1255">
            <v>85</v>
          </cell>
          <cell r="L1255">
            <v>75</v>
          </cell>
          <cell r="M1255">
            <v>586</v>
          </cell>
          <cell r="Q1255">
            <v>1.2</v>
          </cell>
          <cell r="R1255">
            <v>22</v>
          </cell>
          <cell r="S1255" t="str">
            <v>The red head converts spicy chemicals into fire energy and blasts the surrounding area with a super spicy stream of flame.</v>
          </cell>
        </row>
        <row r="1256">
          <cell r="A1256">
            <v>953</v>
          </cell>
          <cell r="C1256" t="str">
            <v>Rellor</v>
          </cell>
          <cell r="D1256" t="str">
            <v>Standard</v>
          </cell>
          <cell r="E1256" t="str">
            <v>bug</v>
          </cell>
          <cell r="G1256">
            <v>41</v>
          </cell>
          <cell r="H1256">
            <v>50</v>
          </cell>
          <cell r="I1256">
            <v>60</v>
          </cell>
          <cell r="J1256">
            <v>31</v>
          </cell>
          <cell r="K1256">
            <v>58</v>
          </cell>
          <cell r="L1256">
            <v>30</v>
          </cell>
          <cell r="M1256">
            <v>270</v>
          </cell>
          <cell r="N1256" t="str">
            <v>compound-eyes</v>
          </cell>
          <cell r="P1256" t="str">
            <v>shed-skin</v>
          </cell>
          <cell r="Q1256">
            <v>0.2</v>
          </cell>
          <cell r="R1256">
            <v>1</v>
          </cell>
          <cell r="S1256" t="str">
            <v>This Pokémon creates a mud ball by mixing sand and dirt with psychic energy. It treasures its mud ball more than its own life.</v>
          </cell>
          <cell r="T1256" t="str">
            <v>https://raw.githubusercontent.com/PokeAPI/sprites/master/sprites/pokemon/other/official-artwork/953.png</v>
          </cell>
          <cell r="U1256" t="str">
            <v>https://raw.githubusercontent.com/PokeAPI/sprites/master/sprites/pokemon/other/official-artwork/shiny/953.png</v>
          </cell>
        </row>
        <row r="1257">
          <cell r="A1257">
            <v>954</v>
          </cell>
          <cell r="C1257" t="str">
            <v>Rabsca</v>
          </cell>
          <cell r="D1257" t="str">
            <v>Standard</v>
          </cell>
          <cell r="E1257" t="str">
            <v>bug</v>
          </cell>
          <cell r="F1257" t="str">
            <v>psychic</v>
          </cell>
          <cell r="G1257">
            <v>75</v>
          </cell>
          <cell r="H1257">
            <v>50</v>
          </cell>
          <cell r="I1257">
            <v>85</v>
          </cell>
          <cell r="J1257">
            <v>115</v>
          </cell>
          <cell r="K1257">
            <v>100</v>
          </cell>
          <cell r="L1257">
            <v>45</v>
          </cell>
          <cell r="M1257">
            <v>470</v>
          </cell>
          <cell r="N1257" t="str">
            <v>synchronize</v>
          </cell>
          <cell r="P1257" t="str">
            <v>telepathy</v>
          </cell>
          <cell r="Q1257">
            <v>0.3</v>
          </cell>
          <cell r="R1257">
            <v>3.5</v>
          </cell>
          <cell r="S1257" t="str">
            <v>The body that supports the ball barely moves. Therefore, it is thought that the true body of this Pokémon is actually inside the ball.</v>
          </cell>
          <cell r="T1257" t="str">
            <v>https://raw.githubusercontent.com/PokeAPI/sprites/master/sprites/pokemon/other/official-artwork/954.png</v>
          </cell>
          <cell r="U1257" t="str">
            <v>https://raw.githubusercontent.com/PokeAPI/sprites/master/sprites/pokemon/other/official-artwork/shiny/954.png</v>
          </cell>
        </row>
        <row r="1258">
          <cell r="A1258">
            <v>955</v>
          </cell>
          <cell r="C1258" t="str">
            <v>Flittle</v>
          </cell>
          <cell r="D1258" t="str">
            <v>Standard</v>
          </cell>
          <cell r="E1258" t="str">
            <v>psychic</v>
          </cell>
          <cell r="G1258">
            <v>30</v>
          </cell>
          <cell r="H1258">
            <v>35</v>
          </cell>
          <cell r="I1258">
            <v>30</v>
          </cell>
          <cell r="J1258">
            <v>55</v>
          </cell>
          <cell r="K1258">
            <v>30</v>
          </cell>
          <cell r="L1258">
            <v>75</v>
          </cell>
          <cell r="M1258">
            <v>255</v>
          </cell>
          <cell r="N1258" t="str">
            <v>anticipation</v>
          </cell>
          <cell r="O1258" t="str">
            <v>frisk</v>
          </cell>
          <cell r="P1258" t="str">
            <v>speed-boost</v>
          </cell>
          <cell r="Q1258">
            <v>0.2</v>
          </cell>
          <cell r="R1258">
            <v>1.5</v>
          </cell>
          <cell r="S1258" t="str">
            <v>Flittle’s toes levitate about half an inch above the ground because of the psychic power emitted from the frills on the Pokémon’s belly.</v>
          </cell>
          <cell r="T1258" t="str">
            <v>https://raw.githubusercontent.com/PokeAPI/sprites/master/sprites/pokemon/other/official-artwork/955.png</v>
          </cell>
          <cell r="U1258" t="str">
            <v>https://raw.githubusercontent.com/PokeAPI/sprites/master/sprites/pokemon/other/official-artwork/shiny/955.png</v>
          </cell>
        </row>
        <row r="1259">
          <cell r="A1259">
            <v>956</v>
          </cell>
          <cell r="C1259" t="str">
            <v>Espathra</v>
          </cell>
          <cell r="D1259" t="str">
            <v>Standard</v>
          </cell>
          <cell r="E1259" t="str">
            <v>psychic</v>
          </cell>
          <cell r="G1259">
            <v>95</v>
          </cell>
          <cell r="H1259">
            <v>60</v>
          </cell>
          <cell r="I1259">
            <v>60</v>
          </cell>
          <cell r="J1259">
            <v>101</v>
          </cell>
          <cell r="K1259">
            <v>60</v>
          </cell>
          <cell r="L1259">
            <v>105</v>
          </cell>
          <cell r="M1259">
            <v>481</v>
          </cell>
          <cell r="N1259" t="str">
            <v>opportunist</v>
          </cell>
          <cell r="O1259" t="str">
            <v>frisk</v>
          </cell>
          <cell r="P1259" t="str">
            <v>speed-boost</v>
          </cell>
          <cell r="Q1259">
            <v>1.9</v>
          </cell>
          <cell r="R1259">
            <v>90</v>
          </cell>
          <cell r="S1259" t="str">
            <v>It immobilizes opponents by bathing them in psychic power from its large eyes. Despite its appearance, it has a vicious temperament.</v>
          </cell>
          <cell r="T1259" t="str">
            <v>https://raw.githubusercontent.com/PokeAPI/sprites/master/sprites/pokemon/other/official-artwork/956.png</v>
          </cell>
          <cell r="U1259" t="str">
            <v>https://raw.githubusercontent.com/PokeAPI/sprites/master/sprites/pokemon/other/official-artwork/shiny/956.png</v>
          </cell>
        </row>
        <row r="1260">
          <cell r="A1260">
            <v>957</v>
          </cell>
          <cell r="C1260" t="str">
            <v>Tinkatink</v>
          </cell>
          <cell r="D1260" t="str">
            <v>Standard</v>
          </cell>
          <cell r="E1260" t="str">
            <v>fairy</v>
          </cell>
          <cell r="F1260" t="str">
            <v>steel</v>
          </cell>
          <cell r="G1260">
            <v>50</v>
          </cell>
          <cell r="H1260">
            <v>45</v>
          </cell>
          <cell r="I1260">
            <v>45</v>
          </cell>
          <cell r="J1260">
            <v>35</v>
          </cell>
          <cell r="K1260">
            <v>64</v>
          </cell>
          <cell r="L1260">
            <v>58</v>
          </cell>
          <cell r="M1260">
            <v>297</v>
          </cell>
          <cell r="N1260" t="str">
            <v>mold-breaker</v>
          </cell>
          <cell r="O1260" t="str">
            <v>own-tempo</v>
          </cell>
          <cell r="P1260" t="str">
            <v>pickpocket</v>
          </cell>
          <cell r="Q1260">
            <v>0.4</v>
          </cell>
          <cell r="R1260">
            <v>8.9</v>
          </cell>
          <cell r="S1260" t="str">
            <v>It swings its handmade hammer around to protect itself, but the hammer is often stolen by Pokémon that eat metal.</v>
          </cell>
          <cell r="T1260" t="str">
            <v>https://raw.githubusercontent.com/PokeAPI/sprites/master/sprites/pokemon/other/official-artwork/957.png</v>
          </cell>
          <cell r="U1260" t="str">
            <v>https://raw.githubusercontent.com/PokeAPI/sprites/master/sprites/pokemon/other/official-artwork/shiny/957.png</v>
          </cell>
        </row>
        <row r="1261">
          <cell r="A1261">
            <v>958</v>
          </cell>
          <cell r="C1261" t="str">
            <v>Tinkatuff</v>
          </cell>
          <cell r="D1261" t="str">
            <v>Standard</v>
          </cell>
          <cell r="E1261" t="str">
            <v>fairy</v>
          </cell>
          <cell r="F1261" t="str">
            <v>steel</v>
          </cell>
          <cell r="G1261">
            <v>65</v>
          </cell>
          <cell r="H1261">
            <v>55</v>
          </cell>
          <cell r="I1261">
            <v>55</v>
          </cell>
          <cell r="J1261">
            <v>45</v>
          </cell>
          <cell r="K1261">
            <v>82</v>
          </cell>
          <cell r="L1261">
            <v>78</v>
          </cell>
          <cell r="M1261">
            <v>380</v>
          </cell>
          <cell r="N1261" t="str">
            <v>mold-breaker</v>
          </cell>
          <cell r="O1261" t="str">
            <v>own-tempo</v>
          </cell>
          <cell r="P1261" t="str">
            <v>pickpocket</v>
          </cell>
          <cell r="Q1261">
            <v>0.7</v>
          </cell>
          <cell r="R1261">
            <v>59.1</v>
          </cell>
          <cell r="S1261" t="str">
            <v>This Pokémon will attack groups of Pawniard and Bisharp, gathering metal from them in order to create a large and sturdy hammer.</v>
          </cell>
          <cell r="T1261" t="str">
            <v>https://raw.githubusercontent.com/PokeAPI/sprites/master/sprites/pokemon/other/official-artwork/958.png</v>
          </cell>
          <cell r="U1261" t="str">
            <v>https://raw.githubusercontent.com/PokeAPI/sprites/master/sprites/pokemon/other/official-artwork/shiny/958.png</v>
          </cell>
        </row>
        <row r="1262">
          <cell r="A1262">
            <v>959</v>
          </cell>
          <cell r="C1262" t="str">
            <v>Tinkaton</v>
          </cell>
          <cell r="D1262" t="str">
            <v>Standard</v>
          </cell>
          <cell r="E1262" t="str">
            <v>fairy</v>
          </cell>
          <cell r="F1262" t="str">
            <v>steel</v>
          </cell>
          <cell r="G1262">
            <v>85</v>
          </cell>
          <cell r="H1262">
            <v>75</v>
          </cell>
          <cell r="I1262">
            <v>77</v>
          </cell>
          <cell r="J1262">
            <v>70</v>
          </cell>
          <cell r="K1262">
            <v>105</v>
          </cell>
          <cell r="L1262">
            <v>94</v>
          </cell>
          <cell r="M1262">
            <v>506</v>
          </cell>
          <cell r="N1262" t="str">
            <v>mold-breaker</v>
          </cell>
          <cell r="O1262" t="str">
            <v>own-tempo</v>
          </cell>
          <cell r="P1262" t="str">
            <v>pickpocket</v>
          </cell>
          <cell r="Q1262">
            <v>0.7</v>
          </cell>
          <cell r="R1262">
            <v>112.8</v>
          </cell>
          <cell r="S1262" t="str">
            <v>This intelligent Pokémon has a very daring disposition. It knocks rocks into the sky with its hammer, aiming for flying Corviknight.</v>
          </cell>
          <cell r="T1262" t="str">
            <v>https://raw.githubusercontent.com/PokeAPI/sprites/master/sprites/pokemon/other/official-artwork/959.png</v>
          </cell>
          <cell r="U1262" t="str">
            <v>https://raw.githubusercontent.com/PokeAPI/sprites/master/sprites/pokemon/other/official-artwork/shiny/959.png</v>
          </cell>
        </row>
        <row r="1263">
          <cell r="A1263">
            <v>960</v>
          </cell>
          <cell r="C1263" t="str">
            <v>Wiglett</v>
          </cell>
          <cell r="D1263" t="str">
            <v>Standard</v>
          </cell>
          <cell r="E1263" t="str">
            <v>water</v>
          </cell>
          <cell r="G1263">
            <v>10</v>
          </cell>
          <cell r="H1263">
            <v>55</v>
          </cell>
          <cell r="I1263">
            <v>25</v>
          </cell>
          <cell r="J1263">
            <v>35</v>
          </cell>
          <cell r="K1263">
            <v>25</v>
          </cell>
          <cell r="L1263">
            <v>95</v>
          </cell>
          <cell r="M1263">
            <v>245</v>
          </cell>
          <cell r="N1263" t="str">
            <v>gooey</v>
          </cell>
          <cell r="O1263" t="str">
            <v>rattled</v>
          </cell>
          <cell r="P1263" t="str">
            <v>sand-veil</v>
          </cell>
          <cell r="Q1263">
            <v>1.2</v>
          </cell>
          <cell r="R1263">
            <v>1.8</v>
          </cell>
          <cell r="S1263" t="str">
            <v>This Pokémon can pick up the scent of a Veluza just over 65 feet away and will hide itself in the sand.</v>
          </cell>
          <cell r="T1263" t="str">
            <v>https://raw.githubusercontent.com/PokeAPI/sprites/master/sprites/pokemon/other/official-artwork/960.png</v>
          </cell>
          <cell r="U1263" t="str">
            <v>https://raw.githubusercontent.com/PokeAPI/sprites/master/sprites/pokemon/other/official-artwork/shiny/960.png</v>
          </cell>
        </row>
        <row r="1264">
          <cell r="A1264">
            <v>961</v>
          </cell>
          <cell r="C1264" t="str">
            <v>Wugtrio</v>
          </cell>
          <cell r="D1264" t="str">
            <v>Standard</v>
          </cell>
          <cell r="E1264" t="str">
            <v>water</v>
          </cell>
          <cell r="G1264">
            <v>35</v>
          </cell>
          <cell r="H1264">
            <v>100</v>
          </cell>
          <cell r="I1264">
            <v>50</v>
          </cell>
          <cell r="J1264">
            <v>50</v>
          </cell>
          <cell r="K1264">
            <v>70</v>
          </cell>
          <cell r="L1264">
            <v>120</v>
          </cell>
          <cell r="M1264">
            <v>425</v>
          </cell>
          <cell r="N1264" t="str">
            <v>gooey</v>
          </cell>
          <cell r="O1264" t="str">
            <v>rattled</v>
          </cell>
          <cell r="P1264" t="str">
            <v>sand-veil</v>
          </cell>
          <cell r="Q1264">
            <v>1.2</v>
          </cell>
          <cell r="R1264">
            <v>5.4</v>
          </cell>
          <cell r="S1264" t="str">
            <v>It has a vicious temperament, contrary to what its appearance may suggest. It wraps its long bodies around prey, then drags the prey into its den.</v>
          </cell>
          <cell r="T1264" t="str">
            <v>https://raw.githubusercontent.com/PokeAPI/sprites/master/sprites/pokemon/other/official-artwork/961.png</v>
          </cell>
          <cell r="U1264" t="str">
            <v>https://raw.githubusercontent.com/PokeAPI/sprites/master/sprites/pokemon/other/official-artwork/shiny/961.png</v>
          </cell>
        </row>
        <row r="1265">
          <cell r="A1265">
            <v>962</v>
          </cell>
          <cell r="C1265" t="str">
            <v>Bombirdier</v>
          </cell>
          <cell r="D1265" t="str">
            <v>Standard</v>
          </cell>
          <cell r="E1265" t="str">
            <v>flying</v>
          </cell>
          <cell r="F1265" t="str">
            <v>dark</v>
          </cell>
          <cell r="G1265">
            <v>70</v>
          </cell>
          <cell r="H1265">
            <v>103</v>
          </cell>
          <cell r="I1265">
            <v>85</v>
          </cell>
          <cell r="J1265">
            <v>60</v>
          </cell>
          <cell r="K1265">
            <v>85</v>
          </cell>
          <cell r="L1265">
            <v>82</v>
          </cell>
          <cell r="M1265">
            <v>485</v>
          </cell>
          <cell r="N1265" t="str">
            <v>big-pecks</v>
          </cell>
          <cell r="O1265" t="str">
            <v>keen-eye</v>
          </cell>
          <cell r="P1265" t="str">
            <v>rocky-payload</v>
          </cell>
          <cell r="Q1265">
            <v>1.5</v>
          </cell>
          <cell r="R1265">
            <v>42.9</v>
          </cell>
          <cell r="S1265" t="str">
            <v>It gathers things up in an apron made from shed feathers added to the Pokémon’s chest feathers, then drops those things from high places for fun.</v>
          </cell>
          <cell r="T1265" t="str">
            <v>https://raw.githubusercontent.com/PokeAPI/sprites/master/sprites/pokemon/other/official-artwork/962.png</v>
          </cell>
          <cell r="U1265" t="str">
            <v>https://raw.githubusercontent.com/PokeAPI/sprites/master/sprites/pokemon/other/official-artwork/shiny/962.png</v>
          </cell>
        </row>
        <row r="1266">
          <cell r="A1266">
            <v>963</v>
          </cell>
          <cell r="C1266" t="str">
            <v>Finizen</v>
          </cell>
          <cell r="D1266" t="str">
            <v>Standard</v>
          </cell>
          <cell r="E1266" t="str">
            <v>water</v>
          </cell>
          <cell r="G1266">
            <v>70</v>
          </cell>
          <cell r="H1266">
            <v>45</v>
          </cell>
          <cell r="I1266">
            <v>40</v>
          </cell>
          <cell r="J1266">
            <v>45</v>
          </cell>
          <cell r="K1266">
            <v>40</v>
          </cell>
          <cell r="L1266">
            <v>75</v>
          </cell>
          <cell r="M1266">
            <v>315</v>
          </cell>
          <cell r="N1266" t="str">
            <v>water-veil</v>
          </cell>
          <cell r="P1266" t="str">
            <v>water-veil</v>
          </cell>
          <cell r="Q1266">
            <v>1.3</v>
          </cell>
          <cell r="R1266">
            <v>60.2</v>
          </cell>
          <cell r="S1266" t="str">
            <v>It likes playing with others of its kind using the water ring on its tail. It uses ultrasonic waves to sense the emotions of other living creatures.</v>
          </cell>
          <cell r="T1266" t="str">
            <v>https://raw.githubusercontent.com/PokeAPI/sprites/master/sprites/pokemon/other/official-artwork/963.png</v>
          </cell>
          <cell r="U1266" t="str">
            <v>https://raw.githubusercontent.com/PokeAPI/sprites/master/sprites/pokemon/other/official-artwork/shiny/963.png</v>
          </cell>
        </row>
        <row r="1267">
          <cell r="A1267">
            <v>964</v>
          </cell>
          <cell r="C1267" t="str">
            <v>Palafin Hero</v>
          </cell>
          <cell r="D1267" t="str">
            <v>Other</v>
          </cell>
          <cell r="E1267" t="str">
            <v>water</v>
          </cell>
          <cell r="G1267">
            <v>100</v>
          </cell>
          <cell r="H1267">
            <v>160</v>
          </cell>
          <cell r="I1267">
            <v>97</v>
          </cell>
          <cell r="J1267">
            <v>106</v>
          </cell>
          <cell r="K1267">
            <v>87</v>
          </cell>
          <cell r="L1267">
            <v>100</v>
          </cell>
          <cell r="M1267">
            <v>650</v>
          </cell>
          <cell r="N1267" t="str">
            <v>zero-to-hero</v>
          </cell>
          <cell r="P1267" t="str">
            <v>zero-to-hero</v>
          </cell>
          <cell r="Q1267">
            <v>1.8</v>
          </cell>
          <cell r="R1267">
            <v>97.4</v>
          </cell>
          <cell r="S1267" t="str">
            <v>This Pokémon changes its appearance if it hears its allies calling for help. Palafin will never show anybody its moment of transformation.</v>
          </cell>
          <cell r="T1267" t="str">
            <v>https://raw.githubusercontent.com/PokeAPI/sprites/master/sprites/pokemon/other/official-artwork/10256.png</v>
          </cell>
          <cell r="U1267" t="str">
            <v>https://raw.githubusercontent.com/PokeAPI/sprites/master/sprites/pokemon/other/official-artwork/shiny/10256.png</v>
          </cell>
        </row>
        <row r="1268">
          <cell r="A1268">
            <v>964</v>
          </cell>
          <cell r="C1268" t="str">
            <v>Palafin Zero</v>
          </cell>
          <cell r="D1268" t="str">
            <v>Other</v>
          </cell>
          <cell r="E1268" t="str">
            <v>water</v>
          </cell>
          <cell r="G1268">
            <v>100</v>
          </cell>
          <cell r="H1268">
            <v>70</v>
          </cell>
          <cell r="I1268">
            <v>72</v>
          </cell>
          <cell r="J1268">
            <v>53</v>
          </cell>
          <cell r="K1268">
            <v>62</v>
          </cell>
          <cell r="L1268">
            <v>100</v>
          </cell>
          <cell r="M1268">
            <v>457</v>
          </cell>
          <cell r="N1268" t="str">
            <v>zero-to-hero</v>
          </cell>
          <cell r="P1268" t="str">
            <v>zero-to-hero</v>
          </cell>
          <cell r="Q1268">
            <v>1.3</v>
          </cell>
          <cell r="R1268">
            <v>60.2</v>
          </cell>
          <cell r="S1268" t="str">
            <v>This Pokémon changes its appearance if it hears its allies calling for help. Palafin will never show anybody its moment of transformation.</v>
          </cell>
          <cell r="T1268" t="str">
            <v>https://raw.githubusercontent.com/PokeAPI/sprites/master/sprites/pokemon/other/official-artwork/964.png</v>
          </cell>
          <cell r="U1268" t="str">
            <v>https://raw.githubusercontent.com/PokeAPI/sprites/master/sprites/pokemon/other/official-artwork/shiny/964.png</v>
          </cell>
        </row>
        <row r="1269">
          <cell r="A1269">
            <v>965</v>
          </cell>
          <cell r="C1269" t="str">
            <v>Varoom</v>
          </cell>
          <cell r="D1269" t="str">
            <v>Standard</v>
          </cell>
          <cell r="E1269" t="str">
            <v>steel</v>
          </cell>
          <cell r="F1269" t="str">
            <v>poison</v>
          </cell>
          <cell r="G1269">
            <v>45</v>
          </cell>
          <cell r="H1269">
            <v>70</v>
          </cell>
          <cell r="I1269">
            <v>63</v>
          </cell>
          <cell r="J1269">
            <v>30</v>
          </cell>
          <cell r="K1269">
            <v>45</v>
          </cell>
          <cell r="L1269">
            <v>47</v>
          </cell>
          <cell r="M1269">
            <v>300</v>
          </cell>
          <cell r="N1269" t="str">
            <v>overcoat</v>
          </cell>
          <cell r="P1269" t="str">
            <v>slow-start</v>
          </cell>
          <cell r="Q1269">
            <v>1</v>
          </cell>
          <cell r="R1269">
            <v>35</v>
          </cell>
          <cell r="S1269" t="str">
            <v>It is said that this Pokémon was born when an unknown poison Pokémon entered and inspirited an engine left at a scrap-processing factory.</v>
          </cell>
          <cell r="T1269" t="str">
            <v>https://raw.githubusercontent.com/PokeAPI/sprites/master/sprites/pokemon/other/official-artwork/965.png</v>
          </cell>
          <cell r="U1269" t="str">
            <v>https://raw.githubusercontent.com/PokeAPI/sprites/master/sprites/pokemon/other/official-artwork/shiny/965.png</v>
          </cell>
        </row>
        <row r="1270">
          <cell r="A1270">
            <v>966</v>
          </cell>
          <cell r="C1270" t="str">
            <v>Revavroom</v>
          </cell>
          <cell r="D1270" t="str">
            <v>Standard</v>
          </cell>
          <cell r="E1270" t="str">
            <v>steel</v>
          </cell>
          <cell r="F1270" t="str">
            <v>poison</v>
          </cell>
          <cell r="G1270">
            <v>80</v>
          </cell>
          <cell r="H1270">
            <v>119</v>
          </cell>
          <cell r="I1270">
            <v>90</v>
          </cell>
          <cell r="J1270">
            <v>54</v>
          </cell>
          <cell r="K1270">
            <v>67</v>
          </cell>
          <cell r="L1270">
            <v>90</v>
          </cell>
          <cell r="M1270">
            <v>500</v>
          </cell>
          <cell r="N1270" t="str">
            <v>overcoat</v>
          </cell>
          <cell r="P1270" t="str">
            <v>filter</v>
          </cell>
          <cell r="Q1270">
            <v>1.8</v>
          </cell>
          <cell r="R1270">
            <v>120</v>
          </cell>
          <cell r="S1270" t="str">
            <v>It creates a gas out of poison and minerals from rocks. It then detonates the gas in its cylinders—now numbering eight—to generate energy.</v>
          </cell>
          <cell r="T1270" t="str">
            <v>https://raw.githubusercontent.com/PokeAPI/sprites/master/sprites/pokemon/other/official-artwork/966.png</v>
          </cell>
          <cell r="U1270" t="str">
            <v>https://raw.githubusercontent.com/PokeAPI/sprites/master/sprites/pokemon/other/official-artwork/shiny/966.png</v>
          </cell>
        </row>
        <row r="1271">
          <cell r="A1271">
            <v>967</v>
          </cell>
          <cell r="C1271" t="str">
            <v>Cyclizar</v>
          </cell>
          <cell r="D1271" t="str">
            <v>Standard</v>
          </cell>
          <cell r="E1271" t="str">
            <v>dragon</v>
          </cell>
          <cell r="F1271" t="str">
            <v>normal</v>
          </cell>
          <cell r="G1271">
            <v>70</v>
          </cell>
          <cell r="H1271">
            <v>95</v>
          </cell>
          <cell r="I1271">
            <v>65</v>
          </cell>
          <cell r="J1271">
            <v>85</v>
          </cell>
          <cell r="K1271">
            <v>65</v>
          </cell>
          <cell r="L1271">
            <v>121</v>
          </cell>
          <cell r="M1271">
            <v>501</v>
          </cell>
          <cell r="N1271" t="str">
            <v>shed-skin</v>
          </cell>
          <cell r="P1271" t="str">
            <v>regenerator</v>
          </cell>
          <cell r="Q1271">
            <v>1.6</v>
          </cell>
          <cell r="R1271">
            <v>63</v>
          </cell>
          <cell r="S1271" t="str">
            <v>Apparently Cyclizar has been allowing people to ride on its back since ancient times. Depictions of this have been found in 10,000-year-old murals.</v>
          </cell>
          <cell r="T1271" t="str">
            <v>https://raw.githubusercontent.com/PokeAPI/sprites/master/sprites/pokemon/other/official-artwork/967.png</v>
          </cell>
          <cell r="U1271" t="str">
            <v>https://raw.githubusercontent.com/PokeAPI/sprites/master/sprites/pokemon/other/official-artwork/shiny/967.png</v>
          </cell>
        </row>
        <row r="1272">
          <cell r="A1272">
            <v>968</v>
          </cell>
          <cell r="C1272" t="str">
            <v>Orthworm</v>
          </cell>
          <cell r="D1272" t="str">
            <v>Standard</v>
          </cell>
          <cell r="E1272" t="str">
            <v>steel</v>
          </cell>
          <cell r="G1272">
            <v>70</v>
          </cell>
          <cell r="H1272">
            <v>85</v>
          </cell>
          <cell r="I1272">
            <v>145</v>
          </cell>
          <cell r="J1272">
            <v>60</v>
          </cell>
          <cell r="K1272">
            <v>55</v>
          </cell>
          <cell r="L1272">
            <v>65</v>
          </cell>
          <cell r="M1272">
            <v>480</v>
          </cell>
          <cell r="N1272" t="str">
            <v>earth-eater</v>
          </cell>
          <cell r="P1272" t="str">
            <v>sand-veil</v>
          </cell>
          <cell r="Q1272">
            <v>2.5</v>
          </cell>
          <cell r="R1272">
            <v>310</v>
          </cell>
          <cell r="S1272" t="str">
            <v>When attacked, this Pokémon will wield the tendrils on its body like fists and pelt the opponent with a storm of punches.</v>
          </cell>
          <cell r="T1272" t="str">
            <v>https://raw.githubusercontent.com/PokeAPI/sprites/master/sprites/pokemon/other/official-artwork/968.png</v>
          </cell>
          <cell r="U1272" t="str">
            <v>https://raw.githubusercontent.com/PokeAPI/sprites/master/sprites/pokemon/other/official-artwork/shiny/968.png</v>
          </cell>
        </row>
        <row r="1273">
          <cell r="A1273">
            <v>969</v>
          </cell>
          <cell r="C1273" t="str">
            <v>Glimmet</v>
          </cell>
          <cell r="D1273" t="str">
            <v>Standard</v>
          </cell>
          <cell r="E1273" t="str">
            <v>rock</v>
          </cell>
          <cell r="F1273" t="str">
            <v>poison</v>
          </cell>
          <cell r="G1273">
            <v>48</v>
          </cell>
          <cell r="H1273">
            <v>35</v>
          </cell>
          <cell r="I1273">
            <v>42</v>
          </cell>
          <cell r="J1273">
            <v>105</v>
          </cell>
          <cell r="K1273">
            <v>60</v>
          </cell>
          <cell r="L1273">
            <v>60</v>
          </cell>
          <cell r="M1273">
            <v>350</v>
          </cell>
          <cell r="N1273" t="str">
            <v>toxic-debris</v>
          </cell>
          <cell r="P1273" t="str">
            <v>corrosion</v>
          </cell>
          <cell r="Q1273">
            <v>0.7</v>
          </cell>
          <cell r="R1273">
            <v>8</v>
          </cell>
          <cell r="S1273" t="str">
            <v>It absorbs nutrients from cave walls. The petals it wears are made of crystallized poison.</v>
          </cell>
          <cell r="T1273" t="str">
            <v>https://raw.githubusercontent.com/PokeAPI/sprites/master/sprites/pokemon/other/official-artwork/969.png</v>
          </cell>
          <cell r="U1273" t="str">
            <v>https://raw.githubusercontent.com/PokeAPI/sprites/master/sprites/pokemon/other/official-artwork/shiny/969.png</v>
          </cell>
        </row>
        <row r="1274">
          <cell r="A1274">
            <v>970</v>
          </cell>
          <cell r="C1274" t="str">
            <v>Glimmora</v>
          </cell>
          <cell r="D1274" t="str">
            <v>Standard</v>
          </cell>
          <cell r="E1274" t="str">
            <v>rock</v>
          </cell>
          <cell r="F1274" t="str">
            <v>poison</v>
          </cell>
          <cell r="G1274">
            <v>83</v>
          </cell>
          <cell r="H1274">
            <v>55</v>
          </cell>
          <cell r="I1274">
            <v>90</v>
          </cell>
          <cell r="J1274">
            <v>130</v>
          </cell>
          <cell r="K1274">
            <v>81</v>
          </cell>
          <cell r="L1274">
            <v>86</v>
          </cell>
          <cell r="M1274">
            <v>525</v>
          </cell>
          <cell r="N1274" t="str">
            <v>toxic-debris</v>
          </cell>
          <cell r="P1274" t="str">
            <v>corrosion</v>
          </cell>
          <cell r="Q1274">
            <v>1.5</v>
          </cell>
          <cell r="R1274">
            <v>45</v>
          </cell>
          <cell r="S1274" t="str">
            <v>When this Pokémon detects danger, it will open up its crystalline petals and fire beams from its conical body.</v>
          </cell>
          <cell r="T1274" t="str">
            <v>https://raw.githubusercontent.com/PokeAPI/sprites/master/sprites/pokemon/other/official-artwork/970.png</v>
          </cell>
          <cell r="U1274" t="str">
            <v>https://raw.githubusercontent.com/PokeAPI/sprites/master/sprites/pokemon/other/official-artwork/shiny/970.png</v>
          </cell>
        </row>
        <row r="1275">
          <cell r="A1275">
            <v>970</v>
          </cell>
          <cell r="C1275" t="str">
            <v>Glimmora Mega</v>
          </cell>
          <cell r="D1275" t="str">
            <v>Mega</v>
          </cell>
          <cell r="E1275" t="str">
            <v>rock</v>
          </cell>
          <cell r="F1275" t="str">
            <v>poison</v>
          </cell>
          <cell r="G1275">
            <v>83</v>
          </cell>
          <cell r="H1275">
            <v>90</v>
          </cell>
          <cell r="I1275">
            <v>105</v>
          </cell>
          <cell r="J1275">
            <v>150</v>
          </cell>
          <cell r="K1275">
            <v>96</v>
          </cell>
          <cell r="L1275">
            <v>101</v>
          </cell>
          <cell r="M1275">
            <v>625</v>
          </cell>
          <cell r="Q1275">
            <v>2.8</v>
          </cell>
          <cell r="R1275">
            <v>77</v>
          </cell>
          <cell r="S1275" t="str">
            <v>When this Pokémon detects danger, it will open up its crystalline petals and fire beams from its conical body.</v>
          </cell>
        </row>
        <row r="1276">
          <cell r="A1276">
            <v>971</v>
          </cell>
          <cell r="C1276" t="str">
            <v>Greavard</v>
          </cell>
          <cell r="D1276" t="str">
            <v>Standard</v>
          </cell>
          <cell r="E1276" t="str">
            <v>ghost</v>
          </cell>
          <cell r="G1276">
            <v>50</v>
          </cell>
          <cell r="H1276">
            <v>61</v>
          </cell>
          <cell r="I1276">
            <v>60</v>
          </cell>
          <cell r="J1276">
            <v>30</v>
          </cell>
          <cell r="K1276">
            <v>55</v>
          </cell>
          <cell r="L1276">
            <v>34</v>
          </cell>
          <cell r="M1276">
            <v>290</v>
          </cell>
          <cell r="N1276" t="str">
            <v>pickup</v>
          </cell>
          <cell r="P1276" t="str">
            <v>fluffy</v>
          </cell>
          <cell r="Q1276">
            <v>0.6</v>
          </cell>
          <cell r="R1276">
            <v>35</v>
          </cell>
          <cell r="S1276" t="str">
            <v>It is said that a dog Pokémon that died in the wild without ever interacting with a human was reborn as this Pokémon.</v>
          </cell>
          <cell r="T1276" t="str">
            <v>https://raw.githubusercontent.com/PokeAPI/sprites/master/sprites/pokemon/other/official-artwork/971.png</v>
          </cell>
          <cell r="U1276" t="str">
            <v>https://raw.githubusercontent.com/PokeAPI/sprites/master/sprites/pokemon/other/official-artwork/shiny/971.png</v>
          </cell>
        </row>
        <row r="1277">
          <cell r="A1277">
            <v>972</v>
          </cell>
          <cell r="C1277" t="str">
            <v>Houndstone</v>
          </cell>
          <cell r="D1277" t="str">
            <v>Standard</v>
          </cell>
          <cell r="E1277" t="str">
            <v>ghost</v>
          </cell>
          <cell r="G1277">
            <v>72</v>
          </cell>
          <cell r="H1277">
            <v>101</v>
          </cell>
          <cell r="I1277">
            <v>100</v>
          </cell>
          <cell r="J1277">
            <v>50</v>
          </cell>
          <cell r="K1277">
            <v>97</v>
          </cell>
          <cell r="L1277">
            <v>68</v>
          </cell>
          <cell r="M1277">
            <v>488</v>
          </cell>
          <cell r="N1277" t="str">
            <v>sand-rush</v>
          </cell>
          <cell r="P1277" t="str">
            <v>fluffy</v>
          </cell>
          <cell r="Q1277">
            <v>2</v>
          </cell>
          <cell r="R1277">
            <v>15</v>
          </cell>
          <cell r="S1277" t="str">
            <v>Houndstone spends most of its time sleeping in graveyards. Among all the dog Pokémon, this one is most loyal to its master.</v>
          </cell>
          <cell r="T1277" t="str">
            <v>https://raw.githubusercontent.com/PokeAPI/sprites/master/sprites/pokemon/other/official-artwork/972.png</v>
          </cell>
          <cell r="U1277" t="str">
            <v>https://raw.githubusercontent.com/PokeAPI/sprites/master/sprites/pokemon/other/official-artwork/shiny/972.png</v>
          </cell>
        </row>
        <row r="1278">
          <cell r="A1278">
            <v>973</v>
          </cell>
          <cell r="C1278" t="str">
            <v>Flamigo</v>
          </cell>
          <cell r="D1278" t="str">
            <v>Standard</v>
          </cell>
          <cell r="E1278" t="str">
            <v>flying</v>
          </cell>
          <cell r="F1278" t="str">
            <v>fighting</v>
          </cell>
          <cell r="G1278">
            <v>82</v>
          </cell>
          <cell r="H1278">
            <v>115</v>
          </cell>
          <cell r="I1278">
            <v>74</v>
          </cell>
          <cell r="J1278">
            <v>75</v>
          </cell>
          <cell r="K1278">
            <v>64</v>
          </cell>
          <cell r="L1278">
            <v>90</v>
          </cell>
          <cell r="M1278">
            <v>500</v>
          </cell>
          <cell r="N1278" t="str">
            <v>scrappy</v>
          </cell>
          <cell r="O1278" t="str">
            <v>tangled-feet</v>
          </cell>
          <cell r="P1278" t="str">
            <v>costar</v>
          </cell>
          <cell r="Q1278">
            <v>1.6</v>
          </cell>
          <cell r="R1278">
            <v>37</v>
          </cell>
          <cell r="S1278" t="str">
            <v>This Pokémon apparently ties the base of its neck into a knot so that energy stored in its belly does not escape from its beak.</v>
          </cell>
          <cell r="T1278" t="str">
            <v>https://raw.githubusercontent.com/PokeAPI/sprites/master/sprites/pokemon/other/official-artwork/973.png</v>
          </cell>
          <cell r="U1278" t="str">
            <v>https://raw.githubusercontent.com/PokeAPI/sprites/master/sprites/pokemon/other/official-artwork/shiny/973.png</v>
          </cell>
        </row>
        <row r="1279">
          <cell r="A1279">
            <v>974</v>
          </cell>
          <cell r="C1279" t="str">
            <v>Cetoddle</v>
          </cell>
          <cell r="D1279" t="str">
            <v>Standard</v>
          </cell>
          <cell r="E1279" t="str">
            <v>ice</v>
          </cell>
          <cell r="G1279">
            <v>108</v>
          </cell>
          <cell r="H1279">
            <v>68</v>
          </cell>
          <cell r="I1279">
            <v>45</v>
          </cell>
          <cell r="J1279">
            <v>30</v>
          </cell>
          <cell r="K1279">
            <v>40</v>
          </cell>
          <cell r="L1279">
            <v>43</v>
          </cell>
          <cell r="M1279">
            <v>334</v>
          </cell>
          <cell r="N1279" t="str">
            <v>thick-fat</v>
          </cell>
          <cell r="O1279" t="str">
            <v>snow-cloak</v>
          </cell>
          <cell r="P1279" t="str">
            <v>sheer-force</v>
          </cell>
          <cell r="Q1279">
            <v>1.2</v>
          </cell>
          <cell r="R1279">
            <v>45</v>
          </cell>
          <cell r="S1279" t="str">
            <v>This species left the ocean and began living on land a very long time ago. It seems to be closely related to Wailmer.</v>
          </cell>
          <cell r="T1279" t="str">
            <v>https://raw.githubusercontent.com/PokeAPI/sprites/master/sprites/pokemon/other/official-artwork/974.png</v>
          </cell>
          <cell r="U1279" t="str">
            <v>https://raw.githubusercontent.com/PokeAPI/sprites/master/sprites/pokemon/other/official-artwork/shiny/974.png</v>
          </cell>
        </row>
        <row r="1280">
          <cell r="A1280">
            <v>975</v>
          </cell>
          <cell r="C1280" t="str">
            <v>Cetitan</v>
          </cell>
          <cell r="D1280" t="str">
            <v>Standard</v>
          </cell>
          <cell r="E1280" t="str">
            <v>ice</v>
          </cell>
          <cell r="G1280">
            <v>170</v>
          </cell>
          <cell r="H1280">
            <v>113</v>
          </cell>
          <cell r="I1280">
            <v>65</v>
          </cell>
          <cell r="J1280">
            <v>45</v>
          </cell>
          <cell r="K1280">
            <v>55</v>
          </cell>
          <cell r="L1280">
            <v>73</v>
          </cell>
          <cell r="M1280">
            <v>521</v>
          </cell>
          <cell r="N1280" t="str">
            <v>thick-fat</v>
          </cell>
          <cell r="O1280" t="str">
            <v>slush-rush</v>
          </cell>
          <cell r="P1280" t="str">
            <v>sheer-force</v>
          </cell>
          <cell r="Q1280">
            <v>4.5</v>
          </cell>
          <cell r="R1280">
            <v>700</v>
          </cell>
          <cell r="S1280" t="str">
            <v>This Pokémon wanders around snowy, icy areas. It protects its body with powerful muscles and a thick layer of fat under its skin.</v>
          </cell>
          <cell r="T1280" t="str">
            <v>https://raw.githubusercontent.com/PokeAPI/sprites/master/sprites/pokemon/other/official-artwork/975.png</v>
          </cell>
          <cell r="U1280" t="str">
            <v>https://raw.githubusercontent.com/PokeAPI/sprites/master/sprites/pokemon/other/official-artwork/shiny/975.png</v>
          </cell>
        </row>
        <row r="1281">
          <cell r="A1281">
            <v>976</v>
          </cell>
          <cell r="C1281" t="str">
            <v>Veluza</v>
          </cell>
          <cell r="D1281" t="str">
            <v>Standard</v>
          </cell>
          <cell r="E1281" t="str">
            <v>water</v>
          </cell>
          <cell r="F1281" t="str">
            <v>psychic</v>
          </cell>
          <cell r="G1281">
            <v>90</v>
          </cell>
          <cell r="H1281">
            <v>102</v>
          </cell>
          <cell r="I1281">
            <v>73</v>
          </cell>
          <cell r="J1281">
            <v>78</v>
          </cell>
          <cell r="K1281">
            <v>65</v>
          </cell>
          <cell r="L1281">
            <v>70</v>
          </cell>
          <cell r="M1281">
            <v>478</v>
          </cell>
          <cell r="N1281" t="str">
            <v>mold-breaker</v>
          </cell>
          <cell r="P1281" t="str">
            <v>sharpness</v>
          </cell>
          <cell r="Q1281">
            <v>2.5</v>
          </cell>
          <cell r="R1281">
            <v>90</v>
          </cell>
          <cell r="S1281" t="str">
            <v>When Veluza discards unnecessary flesh, its mind becomes honed and its psychic power increases. The spare flesh has a mild but delicious flavor.</v>
          </cell>
          <cell r="T1281" t="str">
            <v>https://raw.githubusercontent.com/PokeAPI/sprites/master/sprites/pokemon/other/official-artwork/976.png</v>
          </cell>
          <cell r="U1281" t="str">
            <v>https://raw.githubusercontent.com/PokeAPI/sprites/master/sprites/pokemon/other/official-artwork/shiny/976.png</v>
          </cell>
        </row>
        <row r="1282">
          <cell r="A1282">
            <v>977</v>
          </cell>
          <cell r="C1282" t="str">
            <v>Dondozo</v>
          </cell>
          <cell r="D1282" t="str">
            <v>Standard</v>
          </cell>
          <cell r="E1282" t="str">
            <v>water</v>
          </cell>
          <cell r="G1282">
            <v>150</v>
          </cell>
          <cell r="H1282">
            <v>100</v>
          </cell>
          <cell r="I1282">
            <v>115</v>
          </cell>
          <cell r="J1282">
            <v>65</v>
          </cell>
          <cell r="K1282">
            <v>65</v>
          </cell>
          <cell r="L1282">
            <v>35</v>
          </cell>
          <cell r="M1282">
            <v>530</v>
          </cell>
          <cell r="N1282" t="str">
            <v>unaware</v>
          </cell>
          <cell r="O1282" t="str">
            <v>oblivious</v>
          </cell>
          <cell r="P1282" t="str">
            <v>water-veil</v>
          </cell>
          <cell r="Q1282">
            <v>12</v>
          </cell>
          <cell r="R1282">
            <v>220</v>
          </cell>
          <cell r="S1282" t="str">
            <v>This Pokémon is a glutton, but it’s bad at getting food. It teams up with a Tatsugiri to catch prey.</v>
          </cell>
          <cell r="T1282" t="str">
            <v>https://raw.githubusercontent.com/PokeAPI/sprites/master/sprites/pokemon/other/official-artwork/977.png</v>
          </cell>
          <cell r="U1282" t="str">
            <v>https://raw.githubusercontent.com/PokeAPI/sprites/master/sprites/pokemon/other/official-artwork/shiny/977.png</v>
          </cell>
        </row>
        <row r="1283">
          <cell r="A1283">
            <v>978</v>
          </cell>
          <cell r="C1283" t="str">
            <v>Tatsugiri Curly</v>
          </cell>
          <cell r="D1283" t="str">
            <v>Other</v>
          </cell>
          <cell r="E1283" t="str">
            <v>dragon</v>
          </cell>
          <cell r="F1283" t="str">
            <v>water</v>
          </cell>
          <cell r="G1283">
            <v>68</v>
          </cell>
          <cell r="H1283">
            <v>50</v>
          </cell>
          <cell r="I1283">
            <v>60</v>
          </cell>
          <cell r="J1283">
            <v>120</v>
          </cell>
          <cell r="K1283">
            <v>95</v>
          </cell>
          <cell r="L1283">
            <v>82</v>
          </cell>
          <cell r="M1283">
            <v>475</v>
          </cell>
          <cell r="N1283" t="str">
            <v>commander</v>
          </cell>
          <cell r="P1283" t="str">
            <v>storm-drain</v>
          </cell>
          <cell r="Q1283">
            <v>0.3</v>
          </cell>
          <cell r="R1283">
            <v>8</v>
          </cell>
          <cell r="S1283" t="str">
            <v>This is a small dragon Pokémon. It lives inside the mouth of Dondozo to protect itself from enemies on the outside.</v>
          </cell>
          <cell r="T1283" t="str">
            <v>https://raw.githubusercontent.com/PokeAPI/sprites/master/sprites/pokemon/other/official-artwork/978.png</v>
          </cell>
          <cell r="U1283" t="str">
            <v>https://raw.githubusercontent.com/PokeAPI/sprites/master/sprites/pokemon/other/official-artwork/shiny/978.png</v>
          </cell>
        </row>
        <row r="1284">
          <cell r="A1284">
            <v>978</v>
          </cell>
          <cell r="C1284" t="str">
            <v>Tatsugiri Curly Mega</v>
          </cell>
          <cell r="D1284" t="str">
            <v>Mega</v>
          </cell>
          <cell r="E1284" t="str">
            <v>dragon</v>
          </cell>
          <cell r="F1284" t="str">
            <v>water</v>
          </cell>
          <cell r="G1284">
            <v>68</v>
          </cell>
          <cell r="H1284">
            <v>65</v>
          </cell>
          <cell r="I1284">
            <v>90</v>
          </cell>
          <cell r="J1284">
            <v>135</v>
          </cell>
          <cell r="K1284">
            <v>125</v>
          </cell>
          <cell r="L1284">
            <v>92</v>
          </cell>
          <cell r="M1284">
            <v>575</v>
          </cell>
          <cell r="Q1284">
            <v>0.6</v>
          </cell>
          <cell r="R1284">
            <v>24</v>
          </cell>
          <cell r="S1284" t="str">
            <v>This is a small dragon Pokémon. It lives inside the mouth of Dondozo to protect itself from enemies on the outside.</v>
          </cell>
        </row>
        <row r="1285">
          <cell r="A1285">
            <v>978</v>
          </cell>
          <cell r="C1285" t="str">
            <v>Tatsugiri Droopy</v>
          </cell>
          <cell r="D1285" t="str">
            <v>Other</v>
          </cell>
          <cell r="E1285" t="str">
            <v>dragon</v>
          </cell>
          <cell r="F1285" t="str">
            <v>water</v>
          </cell>
          <cell r="G1285">
            <v>68</v>
          </cell>
          <cell r="H1285">
            <v>50</v>
          </cell>
          <cell r="I1285">
            <v>60</v>
          </cell>
          <cell r="J1285">
            <v>120</v>
          </cell>
          <cell r="K1285">
            <v>95</v>
          </cell>
          <cell r="L1285">
            <v>82</v>
          </cell>
          <cell r="M1285">
            <v>475</v>
          </cell>
          <cell r="N1285" t="str">
            <v>commander</v>
          </cell>
          <cell r="P1285" t="str">
            <v>storm-drain</v>
          </cell>
          <cell r="Q1285">
            <v>0.3</v>
          </cell>
          <cell r="R1285">
            <v>8</v>
          </cell>
          <cell r="S1285" t="str">
            <v>This is a small dragon Pokémon. It lives inside the mouth of Dondozo to protect itself from enemies on the outside.</v>
          </cell>
          <cell r="T1285" t="str">
            <v>https://raw.githubusercontent.com/PokeAPI/sprites/master/sprites/pokemon/other/official-artwork/10258.png</v>
          </cell>
          <cell r="U1285" t="str">
            <v>https://raw.githubusercontent.com/PokeAPI/sprites/master/sprites/pokemon/other/official-artwork/shiny/10258.png</v>
          </cell>
        </row>
        <row r="1286">
          <cell r="A1286">
            <v>978</v>
          </cell>
          <cell r="C1286" t="str">
            <v>Tatsugiri Droopy Mega</v>
          </cell>
          <cell r="D1286" t="str">
            <v>Mega</v>
          </cell>
          <cell r="E1286" t="str">
            <v>dragon</v>
          </cell>
          <cell r="F1286" t="str">
            <v>water</v>
          </cell>
          <cell r="G1286">
            <v>68</v>
          </cell>
          <cell r="H1286">
            <v>65</v>
          </cell>
          <cell r="I1286">
            <v>90</v>
          </cell>
          <cell r="J1286">
            <v>135</v>
          </cell>
          <cell r="K1286">
            <v>125</v>
          </cell>
          <cell r="L1286">
            <v>92</v>
          </cell>
          <cell r="M1286">
            <v>575</v>
          </cell>
          <cell r="Q1286">
            <v>0.6</v>
          </cell>
          <cell r="R1286">
            <v>24</v>
          </cell>
          <cell r="S1286" t="str">
            <v>This is a small dragon Pokémon. It lives inside the mouth of Dondozo to protect itself from enemies on the outside.</v>
          </cell>
        </row>
        <row r="1287">
          <cell r="A1287">
            <v>978</v>
          </cell>
          <cell r="C1287" t="str">
            <v>Tatsugiri Stretchy</v>
          </cell>
          <cell r="D1287" t="str">
            <v>Other</v>
          </cell>
          <cell r="E1287" t="str">
            <v>dragon</v>
          </cell>
          <cell r="F1287" t="str">
            <v>water</v>
          </cell>
          <cell r="G1287">
            <v>68</v>
          </cell>
          <cell r="H1287">
            <v>50</v>
          </cell>
          <cell r="I1287">
            <v>60</v>
          </cell>
          <cell r="J1287">
            <v>120</v>
          </cell>
          <cell r="K1287">
            <v>95</v>
          </cell>
          <cell r="L1287">
            <v>82</v>
          </cell>
          <cell r="M1287">
            <v>475</v>
          </cell>
          <cell r="N1287" t="str">
            <v>commander</v>
          </cell>
          <cell r="P1287" t="str">
            <v>storm-drain</v>
          </cell>
          <cell r="Q1287">
            <v>0.3</v>
          </cell>
          <cell r="R1287">
            <v>8</v>
          </cell>
          <cell r="S1287" t="str">
            <v>This is a small dragon Pokémon. It lives inside the mouth of Dondozo to protect itself from enemies on the outside.</v>
          </cell>
          <cell r="T1287" t="str">
            <v>https://raw.githubusercontent.com/PokeAPI/sprites/master/sprites/pokemon/other/official-artwork/10259.png</v>
          </cell>
          <cell r="U1287" t="str">
            <v>https://raw.githubusercontent.com/PokeAPI/sprites/master/sprites/pokemon/other/official-artwork/shiny/10259.png</v>
          </cell>
        </row>
        <row r="1288">
          <cell r="A1288">
            <v>978</v>
          </cell>
          <cell r="C1288" t="str">
            <v>Tatsugiri Stretchy Mega</v>
          </cell>
          <cell r="D1288" t="str">
            <v>Mega</v>
          </cell>
          <cell r="E1288" t="str">
            <v>dragon</v>
          </cell>
          <cell r="F1288" t="str">
            <v>water</v>
          </cell>
          <cell r="G1288">
            <v>68</v>
          </cell>
          <cell r="H1288">
            <v>65</v>
          </cell>
          <cell r="I1288">
            <v>90</v>
          </cell>
          <cell r="J1288">
            <v>135</v>
          </cell>
          <cell r="K1288">
            <v>125</v>
          </cell>
          <cell r="L1288">
            <v>92</v>
          </cell>
          <cell r="M1288">
            <v>575</v>
          </cell>
          <cell r="Q1288">
            <v>0.6</v>
          </cell>
          <cell r="R1288">
            <v>24</v>
          </cell>
          <cell r="S1288" t="str">
            <v>This is a small dragon Pokémon. It lives inside the mouth of Dondozo to protect itself from enemies on the outside.</v>
          </cell>
        </row>
        <row r="1289">
          <cell r="A1289">
            <v>979</v>
          </cell>
          <cell r="C1289" t="str">
            <v>Annihilape</v>
          </cell>
          <cell r="D1289" t="str">
            <v>Standard</v>
          </cell>
          <cell r="E1289" t="str">
            <v>fighting</v>
          </cell>
          <cell r="F1289" t="str">
            <v>ghost</v>
          </cell>
          <cell r="G1289">
            <v>110</v>
          </cell>
          <cell r="H1289">
            <v>115</v>
          </cell>
          <cell r="I1289">
            <v>80</v>
          </cell>
          <cell r="J1289">
            <v>50</v>
          </cell>
          <cell r="K1289">
            <v>90</v>
          </cell>
          <cell r="L1289">
            <v>90</v>
          </cell>
          <cell r="M1289">
            <v>535</v>
          </cell>
          <cell r="N1289" t="str">
            <v>vital-spirit</v>
          </cell>
          <cell r="O1289" t="str">
            <v>inner-focus</v>
          </cell>
          <cell r="P1289" t="str">
            <v>defiant</v>
          </cell>
          <cell r="Q1289">
            <v>1.2</v>
          </cell>
          <cell r="R1289">
            <v>56</v>
          </cell>
          <cell r="S1289" t="str">
            <v>When its anger rose beyond a critical point, this Pokémon gained power that is unfettered by the limits of its physical body.</v>
          </cell>
          <cell r="T1289" t="str">
            <v>https://raw.githubusercontent.com/PokeAPI/sprites/master/sprites/pokemon/other/official-artwork/979.png</v>
          </cell>
          <cell r="U1289" t="str">
            <v>https://raw.githubusercontent.com/PokeAPI/sprites/master/sprites/pokemon/other/official-artwork/shiny/979.png</v>
          </cell>
        </row>
        <row r="1290">
          <cell r="A1290">
            <v>980</v>
          </cell>
          <cell r="C1290" t="str">
            <v>Clodsire</v>
          </cell>
          <cell r="D1290" t="str">
            <v>Standard</v>
          </cell>
          <cell r="E1290" t="str">
            <v>poison</v>
          </cell>
          <cell r="F1290" t="str">
            <v>ground</v>
          </cell>
          <cell r="G1290">
            <v>130</v>
          </cell>
          <cell r="H1290">
            <v>75</v>
          </cell>
          <cell r="I1290">
            <v>60</v>
          </cell>
          <cell r="J1290">
            <v>45</v>
          </cell>
          <cell r="K1290">
            <v>100</v>
          </cell>
          <cell r="L1290">
            <v>20</v>
          </cell>
          <cell r="M1290">
            <v>430</v>
          </cell>
          <cell r="N1290" t="str">
            <v>poison-point</v>
          </cell>
          <cell r="O1290" t="str">
            <v>water-absorb</v>
          </cell>
          <cell r="P1290" t="str">
            <v>unaware</v>
          </cell>
          <cell r="Q1290">
            <v>1.8</v>
          </cell>
          <cell r="R1290">
            <v>223</v>
          </cell>
          <cell r="S1290" t="str">
            <v>When attacked, this Pokémon will retaliate by sticking thick spines out from its body. It’s a risky move that puts everything on the line.</v>
          </cell>
          <cell r="T1290" t="str">
            <v>https://raw.githubusercontent.com/PokeAPI/sprites/master/sprites/pokemon/other/official-artwork/980.png</v>
          </cell>
          <cell r="U1290" t="str">
            <v>https://raw.githubusercontent.com/PokeAPI/sprites/master/sprites/pokemon/other/official-artwork/shiny/980.png</v>
          </cell>
        </row>
        <row r="1291">
          <cell r="A1291">
            <v>981</v>
          </cell>
          <cell r="C1291" t="str">
            <v>Farigiraf</v>
          </cell>
          <cell r="D1291" t="str">
            <v>Standard</v>
          </cell>
          <cell r="E1291" t="str">
            <v>normal</v>
          </cell>
          <cell r="F1291" t="str">
            <v>psychic</v>
          </cell>
          <cell r="G1291">
            <v>120</v>
          </cell>
          <cell r="H1291">
            <v>90</v>
          </cell>
          <cell r="I1291">
            <v>70</v>
          </cell>
          <cell r="J1291">
            <v>110</v>
          </cell>
          <cell r="K1291">
            <v>70</v>
          </cell>
          <cell r="L1291">
            <v>60</v>
          </cell>
          <cell r="M1291">
            <v>520</v>
          </cell>
          <cell r="N1291" t="str">
            <v>cud-chew</v>
          </cell>
          <cell r="O1291" t="str">
            <v>armor-tail</v>
          </cell>
          <cell r="P1291" t="str">
            <v>sap-sipper</v>
          </cell>
          <cell r="Q1291">
            <v>3.2</v>
          </cell>
          <cell r="R1291">
            <v>160</v>
          </cell>
          <cell r="S1291" t="str">
            <v>Now that the brain waves from the head and tail are synced up, the psychic power of this Pokémon is 10 times stronger than Girafarig’s.</v>
          </cell>
          <cell r="T1291" t="str">
            <v>https://raw.githubusercontent.com/PokeAPI/sprites/master/sprites/pokemon/other/official-artwork/981.png</v>
          </cell>
          <cell r="U1291" t="str">
            <v>https://raw.githubusercontent.com/PokeAPI/sprites/master/sprites/pokemon/other/official-artwork/shiny/981.png</v>
          </cell>
        </row>
        <row r="1292">
          <cell r="A1292">
            <v>982</v>
          </cell>
          <cell r="C1292" t="str">
            <v>Dudunsparce Three Segment</v>
          </cell>
          <cell r="D1292" t="str">
            <v>Other</v>
          </cell>
          <cell r="E1292" t="str">
            <v>normal</v>
          </cell>
          <cell r="G1292">
            <v>125</v>
          </cell>
          <cell r="H1292">
            <v>100</v>
          </cell>
          <cell r="I1292">
            <v>80</v>
          </cell>
          <cell r="J1292">
            <v>85</v>
          </cell>
          <cell r="K1292">
            <v>75</v>
          </cell>
          <cell r="L1292">
            <v>55</v>
          </cell>
          <cell r="M1292">
            <v>520</v>
          </cell>
          <cell r="N1292" t="str">
            <v>serene-grace</v>
          </cell>
          <cell r="O1292" t="str">
            <v>run-away</v>
          </cell>
          <cell r="P1292" t="str">
            <v>rattled</v>
          </cell>
          <cell r="Q1292">
            <v>4.5</v>
          </cell>
          <cell r="R1292">
            <v>47.4</v>
          </cell>
          <cell r="S1292" t="str">
            <v>This Pokémon uses its hard tail to make its nest by boring holes into bedrock deep underground. The nest can reach lengths of over six miles.</v>
          </cell>
          <cell r="T1292" t="str">
            <v>https://raw.githubusercontent.com/PokeAPI/sprites/master/sprites/pokemon/other/official-artwork/10255.png</v>
          </cell>
          <cell r="U1292" t="str">
            <v>https://raw.githubusercontent.com/PokeAPI/sprites/master/sprites/pokemon/shiny/10255.png</v>
          </cell>
        </row>
        <row r="1293">
          <cell r="A1293">
            <v>982</v>
          </cell>
          <cell r="C1293" t="str">
            <v>Dudunsparce Two Segment</v>
          </cell>
          <cell r="D1293" t="str">
            <v>Other</v>
          </cell>
          <cell r="E1293" t="str">
            <v>normal</v>
          </cell>
          <cell r="G1293">
            <v>125</v>
          </cell>
          <cell r="H1293">
            <v>100</v>
          </cell>
          <cell r="I1293">
            <v>80</v>
          </cell>
          <cell r="J1293">
            <v>85</v>
          </cell>
          <cell r="K1293">
            <v>75</v>
          </cell>
          <cell r="L1293">
            <v>55</v>
          </cell>
          <cell r="M1293">
            <v>520</v>
          </cell>
          <cell r="N1293" t="str">
            <v>serene-grace</v>
          </cell>
          <cell r="O1293" t="str">
            <v>run-away</v>
          </cell>
          <cell r="P1293" t="str">
            <v>rattled</v>
          </cell>
          <cell r="Q1293">
            <v>3.6</v>
          </cell>
          <cell r="R1293">
            <v>39.200000000000003</v>
          </cell>
          <cell r="S1293" t="str">
            <v>This Pokémon uses its hard tail to make its nest by boring holes into bedrock deep underground. The nest can reach lengths of over six miles.</v>
          </cell>
          <cell r="T1293" t="str">
            <v>https://raw.githubusercontent.com/PokeAPI/sprites/master/sprites/pokemon/other/official-artwork/982.png</v>
          </cell>
          <cell r="U1293" t="str">
            <v>https://raw.githubusercontent.com/PokeAPI/sprites/master/sprites/pokemon/other/official-artwork/shiny/982.png</v>
          </cell>
        </row>
        <row r="1294">
          <cell r="A1294">
            <v>983</v>
          </cell>
          <cell r="C1294" t="str">
            <v>Kingambit</v>
          </cell>
          <cell r="D1294" t="str">
            <v>Standard</v>
          </cell>
          <cell r="E1294" t="str">
            <v>dark</v>
          </cell>
          <cell r="F1294" t="str">
            <v>steel</v>
          </cell>
          <cell r="G1294">
            <v>100</v>
          </cell>
          <cell r="H1294">
            <v>135</v>
          </cell>
          <cell r="I1294">
            <v>120</v>
          </cell>
          <cell r="J1294">
            <v>60</v>
          </cell>
          <cell r="K1294">
            <v>85</v>
          </cell>
          <cell r="L1294">
            <v>50</v>
          </cell>
          <cell r="M1294">
            <v>550</v>
          </cell>
          <cell r="N1294" t="str">
            <v>defiant</v>
          </cell>
          <cell r="O1294" t="str">
            <v>supreme-overlord</v>
          </cell>
          <cell r="P1294" t="str">
            <v>pressure</v>
          </cell>
          <cell r="Q1294">
            <v>2</v>
          </cell>
          <cell r="R1294">
            <v>120</v>
          </cell>
          <cell r="S1294" t="str">
            <v>Only a Bisharp that stands above all others in its vast army can evolve into Kingambit.</v>
          </cell>
          <cell r="T1294" t="str">
            <v>https://raw.githubusercontent.com/PokeAPI/sprites/master/sprites/pokemon/other/official-artwork/983.png</v>
          </cell>
          <cell r="U1294" t="str">
            <v>https://raw.githubusercontent.com/PokeAPI/sprites/master/sprites/pokemon/other/official-artwork/shiny/983.png</v>
          </cell>
        </row>
        <row r="1295">
          <cell r="A1295">
            <v>984</v>
          </cell>
          <cell r="C1295" t="str">
            <v>Great Tusk</v>
          </cell>
          <cell r="D1295" t="str">
            <v>Other</v>
          </cell>
          <cell r="E1295" t="str">
            <v>ground</v>
          </cell>
          <cell r="F1295" t="str">
            <v>fighting</v>
          </cell>
          <cell r="G1295">
            <v>115</v>
          </cell>
          <cell r="H1295">
            <v>131</v>
          </cell>
          <cell r="I1295">
            <v>131</v>
          </cell>
          <cell r="J1295">
            <v>53</v>
          </cell>
          <cell r="K1295">
            <v>53</v>
          </cell>
          <cell r="L1295">
            <v>87</v>
          </cell>
          <cell r="M1295">
            <v>570</v>
          </cell>
          <cell r="N1295" t="str">
            <v>protosynthesis</v>
          </cell>
          <cell r="Q1295">
            <v>2.2000000000000002</v>
          </cell>
          <cell r="R1295">
            <v>320</v>
          </cell>
          <cell r="S1295" t="str">
            <v>Sightings of this Pokémon have occurred in recent years. The name Great Tusk was taken from a creature listed in a certain book.</v>
          </cell>
          <cell r="T1295" t="str">
            <v>https://raw.githubusercontent.com/PokeAPI/sprites/master/sprites/pokemon/other/official-artwork/984.png</v>
          </cell>
          <cell r="U1295" t="str">
            <v>https://raw.githubusercontent.com/PokeAPI/sprites/master/sprites/pokemon/other/official-artwork/shiny/984.png</v>
          </cell>
        </row>
        <row r="1296">
          <cell r="A1296">
            <v>985</v>
          </cell>
          <cell r="C1296" t="str">
            <v>Scream Tail</v>
          </cell>
          <cell r="D1296" t="str">
            <v>Other</v>
          </cell>
          <cell r="E1296" t="str">
            <v>fairy</v>
          </cell>
          <cell r="F1296" t="str">
            <v>psychic</v>
          </cell>
          <cell r="G1296">
            <v>115</v>
          </cell>
          <cell r="H1296">
            <v>65</v>
          </cell>
          <cell r="I1296">
            <v>99</v>
          </cell>
          <cell r="J1296">
            <v>65</v>
          </cell>
          <cell r="K1296">
            <v>115</v>
          </cell>
          <cell r="L1296">
            <v>111</v>
          </cell>
          <cell r="M1296">
            <v>570</v>
          </cell>
          <cell r="N1296" t="str">
            <v>protosynthesis</v>
          </cell>
          <cell r="Q1296">
            <v>1.2</v>
          </cell>
          <cell r="R1296">
            <v>8</v>
          </cell>
          <cell r="S1296" t="str">
            <v>There has been only one reported sighting of this Pokémon. It resembles a mysterious creature depicted in an old expedition journal.</v>
          </cell>
          <cell r="T1296" t="str">
            <v>https://raw.githubusercontent.com/PokeAPI/sprites/master/sprites/pokemon/other/official-artwork/985.png</v>
          </cell>
          <cell r="U1296" t="str">
            <v>https://raw.githubusercontent.com/PokeAPI/sprites/master/sprites/pokemon/other/official-artwork/shiny/985.png</v>
          </cell>
        </row>
        <row r="1297">
          <cell r="A1297">
            <v>986</v>
          </cell>
          <cell r="C1297" t="str">
            <v>Brute Bonnet</v>
          </cell>
          <cell r="D1297" t="str">
            <v>Other</v>
          </cell>
          <cell r="E1297" t="str">
            <v>grass</v>
          </cell>
          <cell r="F1297" t="str">
            <v>dark</v>
          </cell>
          <cell r="G1297">
            <v>111</v>
          </cell>
          <cell r="H1297">
            <v>127</v>
          </cell>
          <cell r="I1297">
            <v>99</v>
          </cell>
          <cell r="J1297">
            <v>79</v>
          </cell>
          <cell r="K1297">
            <v>99</v>
          </cell>
          <cell r="L1297">
            <v>55</v>
          </cell>
          <cell r="M1297">
            <v>570</v>
          </cell>
          <cell r="N1297" t="str">
            <v>protosynthesis</v>
          </cell>
          <cell r="Q1297">
            <v>1.2</v>
          </cell>
          <cell r="R1297">
            <v>21</v>
          </cell>
          <cell r="S1297" t="str">
            <v>It is possible that the creature listed as Brute Bonnet in a certain book could actually be this Pokémon.</v>
          </cell>
          <cell r="T1297" t="str">
            <v>https://raw.githubusercontent.com/PokeAPI/sprites/master/sprites/pokemon/other/official-artwork/986.png</v>
          </cell>
          <cell r="U1297" t="str">
            <v>https://raw.githubusercontent.com/PokeAPI/sprites/master/sprites/pokemon/other/official-artwork/shiny/986.png</v>
          </cell>
        </row>
        <row r="1298">
          <cell r="A1298">
            <v>987</v>
          </cell>
          <cell r="C1298" t="str">
            <v>Flutter Mane</v>
          </cell>
          <cell r="D1298" t="str">
            <v>Other</v>
          </cell>
          <cell r="E1298" t="str">
            <v>ghost</v>
          </cell>
          <cell r="F1298" t="str">
            <v>fairy</v>
          </cell>
          <cell r="G1298">
            <v>55</v>
          </cell>
          <cell r="H1298">
            <v>55</v>
          </cell>
          <cell r="I1298">
            <v>55</v>
          </cell>
          <cell r="J1298">
            <v>135</v>
          </cell>
          <cell r="K1298">
            <v>135</v>
          </cell>
          <cell r="L1298">
            <v>135</v>
          </cell>
          <cell r="M1298">
            <v>570</v>
          </cell>
          <cell r="N1298" t="str">
            <v>protosynthesis</v>
          </cell>
          <cell r="Q1298">
            <v>1.4</v>
          </cell>
          <cell r="R1298">
            <v>4</v>
          </cell>
          <cell r="S1298" t="str">
            <v>This Pokémon has characteristics similar to those of Flutter Mane, a creature mentioned in a certain book.</v>
          </cell>
          <cell r="T1298" t="str">
            <v>https://raw.githubusercontent.com/PokeAPI/sprites/master/sprites/pokemon/other/official-artwork/987.png</v>
          </cell>
          <cell r="U1298" t="str">
            <v>https://raw.githubusercontent.com/PokeAPI/sprites/master/sprites/pokemon/other/official-artwork/shiny/987.png</v>
          </cell>
        </row>
        <row r="1299">
          <cell r="A1299">
            <v>988</v>
          </cell>
          <cell r="C1299" t="str">
            <v>Slither Wing</v>
          </cell>
          <cell r="D1299" t="str">
            <v>Other</v>
          </cell>
          <cell r="E1299" t="str">
            <v>bug</v>
          </cell>
          <cell r="F1299" t="str">
            <v>fighting</v>
          </cell>
          <cell r="G1299">
            <v>85</v>
          </cell>
          <cell r="H1299">
            <v>135</v>
          </cell>
          <cell r="I1299">
            <v>79</v>
          </cell>
          <cell r="J1299">
            <v>85</v>
          </cell>
          <cell r="K1299">
            <v>105</v>
          </cell>
          <cell r="L1299">
            <v>81</v>
          </cell>
          <cell r="M1299">
            <v>570</v>
          </cell>
          <cell r="N1299" t="str">
            <v>protosynthesis</v>
          </cell>
          <cell r="Q1299">
            <v>3.2</v>
          </cell>
          <cell r="R1299">
            <v>92</v>
          </cell>
          <cell r="S1299" t="str">
            <v>This mysterious Pokémon has some similarities to a creature that an old book introduced as Slither Wing.</v>
          </cell>
          <cell r="T1299" t="str">
            <v>https://raw.githubusercontent.com/PokeAPI/sprites/master/sprites/pokemon/other/official-artwork/988.png</v>
          </cell>
          <cell r="U1299" t="str">
            <v>https://raw.githubusercontent.com/PokeAPI/sprites/master/sprites/pokemon/other/official-artwork/shiny/988.png</v>
          </cell>
        </row>
        <row r="1300">
          <cell r="A1300">
            <v>989</v>
          </cell>
          <cell r="C1300" t="str">
            <v>Sandy Shocks</v>
          </cell>
          <cell r="D1300" t="str">
            <v>Other</v>
          </cell>
          <cell r="E1300" t="str">
            <v>electric</v>
          </cell>
          <cell r="F1300" t="str">
            <v>ground</v>
          </cell>
          <cell r="G1300">
            <v>85</v>
          </cell>
          <cell r="H1300">
            <v>81</v>
          </cell>
          <cell r="I1300">
            <v>97</v>
          </cell>
          <cell r="J1300">
            <v>121</v>
          </cell>
          <cell r="K1300">
            <v>85</v>
          </cell>
          <cell r="L1300">
            <v>101</v>
          </cell>
          <cell r="M1300">
            <v>570</v>
          </cell>
          <cell r="N1300" t="str">
            <v>protosynthesis</v>
          </cell>
          <cell r="Q1300">
            <v>2.2999999999999998</v>
          </cell>
          <cell r="R1300">
            <v>60</v>
          </cell>
          <cell r="S1300" t="str">
            <v>No records exist of this Pokémon being caught. Data is lacking, but the Pokémon’s traits match up with a creature shown in an expedition journal.</v>
          </cell>
          <cell r="T1300" t="str">
            <v>https://raw.githubusercontent.com/PokeAPI/sprites/master/sprites/pokemon/other/official-artwork/989.png</v>
          </cell>
          <cell r="U1300" t="str">
            <v>https://raw.githubusercontent.com/PokeAPI/sprites/master/sprites/pokemon/other/official-artwork/shiny/989.png</v>
          </cell>
        </row>
        <row r="1301">
          <cell r="A1301">
            <v>990</v>
          </cell>
          <cell r="C1301" t="str">
            <v>Iron Treads</v>
          </cell>
          <cell r="D1301" t="str">
            <v>Other</v>
          </cell>
          <cell r="E1301" t="str">
            <v>ground</v>
          </cell>
          <cell r="F1301" t="str">
            <v>steel</v>
          </cell>
          <cell r="G1301">
            <v>90</v>
          </cell>
          <cell r="H1301">
            <v>112</v>
          </cell>
          <cell r="I1301">
            <v>120</v>
          </cell>
          <cell r="J1301">
            <v>72</v>
          </cell>
          <cell r="K1301">
            <v>70</v>
          </cell>
          <cell r="L1301">
            <v>106</v>
          </cell>
          <cell r="M1301">
            <v>570</v>
          </cell>
          <cell r="N1301" t="str">
            <v>quark-drive</v>
          </cell>
          <cell r="Q1301">
            <v>0.9</v>
          </cell>
          <cell r="R1301">
            <v>240</v>
          </cell>
          <cell r="S1301" t="str">
            <v>This Pokémon closely resembles a scientific weapon that a paranormal magazine claimed was sent to this planet by aliens.</v>
          </cell>
          <cell r="T1301" t="str">
            <v>https://raw.githubusercontent.com/PokeAPI/sprites/master/sprites/pokemon/other/official-artwork/990.png</v>
          </cell>
          <cell r="U1301" t="str">
            <v>https://raw.githubusercontent.com/PokeAPI/sprites/master/sprites/pokemon/other/official-artwork/shiny/990.png</v>
          </cell>
        </row>
        <row r="1302">
          <cell r="A1302">
            <v>991</v>
          </cell>
          <cell r="C1302" t="str">
            <v>Iron Bundle</v>
          </cell>
          <cell r="D1302" t="str">
            <v>Other</v>
          </cell>
          <cell r="E1302" t="str">
            <v>ice</v>
          </cell>
          <cell r="F1302" t="str">
            <v>water</v>
          </cell>
          <cell r="G1302">
            <v>56</v>
          </cell>
          <cell r="H1302">
            <v>80</v>
          </cell>
          <cell r="I1302">
            <v>114</v>
          </cell>
          <cell r="J1302">
            <v>124</v>
          </cell>
          <cell r="K1302">
            <v>60</v>
          </cell>
          <cell r="L1302">
            <v>136</v>
          </cell>
          <cell r="M1302">
            <v>570</v>
          </cell>
          <cell r="N1302" t="str">
            <v>quark-drive</v>
          </cell>
          <cell r="Q1302">
            <v>0.6</v>
          </cell>
          <cell r="R1302">
            <v>11</v>
          </cell>
          <cell r="S1302" t="str">
            <v>Its shape is similar to a robot featured in a paranormal magazine article. The robot was said to have been created by an ancient civilization.</v>
          </cell>
          <cell r="T1302" t="str">
            <v>https://raw.githubusercontent.com/PokeAPI/sprites/master/sprites/pokemon/other/official-artwork/991.png</v>
          </cell>
          <cell r="U1302" t="str">
            <v>https://raw.githubusercontent.com/PokeAPI/sprites/master/sprites/pokemon/other/official-artwork/shiny/991.png</v>
          </cell>
        </row>
        <row r="1303">
          <cell r="A1303">
            <v>992</v>
          </cell>
          <cell r="C1303" t="str">
            <v>Iron Hands</v>
          </cell>
          <cell r="D1303" t="str">
            <v>Other</v>
          </cell>
          <cell r="E1303" t="str">
            <v>fighting</v>
          </cell>
          <cell r="F1303" t="str">
            <v>electric</v>
          </cell>
          <cell r="G1303">
            <v>154</v>
          </cell>
          <cell r="H1303">
            <v>140</v>
          </cell>
          <cell r="I1303">
            <v>108</v>
          </cell>
          <cell r="J1303">
            <v>50</v>
          </cell>
          <cell r="K1303">
            <v>68</v>
          </cell>
          <cell r="L1303">
            <v>50</v>
          </cell>
          <cell r="M1303">
            <v>570</v>
          </cell>
          <cell r="N1303" t="str">
            <v>quark-drive</v>
          </cell>
          <cell r="Q1303">
            <v>1.8</v>
          </cell>
          <cell r="R1303">
            <v>380.7</v>
          </cell>
          <cell r="S1303" t="str">
            <v>It is very similar to a cyborg covered exclusively by a paranormal magazine. The cyborg was said to be the modified form of a certain athlete.</v>
          </cell>
          <cell r="T1303" t="str">
            <v>https://raw.githubusercontent.com/PokeAPI/sprites/master/sprites/pokemon/other/official-artwork/992.png</v>
          </cell>
          <cell r="U1303" t="str">
            <v>https://raw.githubusercontent.com/PokeAPI/sprites/master/sprites/pokemon/other/official-artwork/shiny/992.png</v>
          </cell>
        </row>
        <row r="1304">
          <cell r="A1304">
            <v>993</v>
          </cell>
          <cell r="C1304" t="str">
            <v>Iron Jugulis</v>
          </cell>
          <cell r="D1304" t="str">
            <v>Other</v>
          </cell>
          <cell r="E1304" t="str">
            <v>dark</v>
          </cell>
          <cell r="F1304" t="str">
            <v>flying</v>
          </cell>
          <cell r="G1304">
            <v>94</v>
          </cell>
          <cell r="H1304">
            <v>80</v>
          </cell>
          <cell r="I1304">
            <v>86</v>
          </cell>
          <cell r="J1304">
            <v>122</v>
          </cell>
          <cell r="K1304">
            <v>80</v>
          </cell>
          <cell r="L1304">
            <v>108</v>
          </cell>
          <cell r="M1304">
            <v>570</v>
          </cell>
          <cell r="N1304" t="str">
            <v>quark-drive</v>
          </cell>
          <cell r="Q1304">
            <v>1.3</v>
          </cell>
          <cell r="R1304">
            <v>111</v>
          </cell>
          <cell r="S1304" t="str">
            <v>It resembles a certain Pokémon introduced in a paranormal magazine, described as the offspring of a Hydreigon that fell in love with a robot.</v>
          </cell>
          <cell r="T1304" t="str">
            <v>https://raw.githubusercontent.com/PokeAPI/sprites/master/sprites/pokemon/other/official-artwork/993.png</v>
          </cell>
          <cell r="U1304" t="str">
            <v>https://raw.githubusercontent.com/PokeAPI/sprites/master/sprites/pokemon/other/official-artwork/shiny/993.png</v>
          </cell>
        </row>
        <row r="1305">
          <cell r="A1305">
            <v>994</v>
          </cell>
          <cell r="C1305" t="str">
            <v>Iron Moth</v>
          </cell>
          <cell r="D1305" t="str">
            <v>Other</v>
          </cell>
          <cell r="E1305" t="str">
            <v>fire</v>
          </cell>
          <cell r="F1305" t="str">
            <v>poison</v>
          </cell>
          <cell r="G1305">
            <v>80</v>
          </cell>
          <cell r="H1305">
            <v>70</v>
          </cell>
          <cell r="I1305">
            <v>60</v>
          </cell>
          <cell r="J1305">
            <v>140</v>
          </cell>
          <cell r="K1305">
            <v>110</v>
          </cell>
          <cell r="L1305">
            <v>110</v>
          </cell>
          <cell r="M1305">
            <v>570</v>
          </cell>
          <cell r="N1305" t="str">
            <v>quark-drive</v>
          </cell>
          <cell r="Q1305">
            <v>1.2</v>
          </cell>
          <cell r="R1305">
            <v>36</v>
          </cell>
          <cell r="S1305" t="str">
            <v>This Pokémon resembles an unknown object described in a paranormal magazine as a UFO sent to observe humanity.</v>
          </cell>
          <cell r="T1305" t="str">
            <v>https://raw.githubusercontent.com/PokeAPI/sprites/master/sprites/pokemon/other/official-artwork/994.png</v>
          </cell>
          <cell r="U1305" t="str">
            <v>https://raw.githubusercontent.com/PokeAPI/sprites/master/sprites/pokemon/other/official-artwork/shiny/994.png</v>
          </cell>
        </row>
        <row r="1306">
          <cell r="A1306">
            <v>995</v>
          </cell>
          <cell r="C1306" t="str">
            <v>Iron Thorns</v>
          </cell>
          <cell r="D1306" t="str">
            <v>Other</v>
          </cell>
          <cell r="E1306" t="str">
            <v>rock</v>
          </cell>
          <cell r="F1306" t="str">
            <v>electric</v>
          </cell>
          <cell r="G1306">
            <v>100</v>
          </cell>
          <cell r="H1306">
            <v>134</v>
          </cell>
          <cell r="I1306">
            <v>110</v>
          </cell>
          <cell r="J1306">
            <v>70</v>
          </cell>
          <cell r="K1306">
            <v>84</v>
          </cell>
          <cell r="L1306">
            <v>72</v>
          </cell>
          <cell r="M1306">
            <v>570</v>
          </cell>
          <cell r="N1306" t="str">
            <v>quark-drive</v>
          </cell>
          <cell r="Q1306">
            <v>1.6</v>
          </cell>
          <cell r="R1306">
            <v>303</v>
          </cell>
          <cell r="S1306" t="str">
            <v>It has some similarities to a Pokémon introduced in a dubious magazine as a Tyranitar from one billion years into the future.</v>
          </cell>
          <cell r="T1306" t="str">
            <v>https://raw.githubusercontent.com/PokeAPI/sprites/master/sprites/pokemon/other/official-artwork/995.png</v>
          </cell>
          <cell r="U1306" t="str">
            <v>https://raw.githubusercontent.com/PokeAPI/sprites/master/sprites/pokemon/other/official-artwork/shiny/995.png</v>
          </cell>
        </row>
        <row r="1307">
          <cell r="A1307">
            <v>996</v>
          </cell>
          <cell r="C1307" t="str">
            <v>Frigibax</v>
          </cell>
          <cell r="D1307" t="str">
            <v>Standard</v>
          </cell>
          <cell r="E1307" t="str">
            <v>dragon</v>
          </cell>
          <cell r="F1307" t="str">
            <v>ice</v>
          </cell>
          <cell r="G1307">
            <v>65</v>
          </cell>
          <cell r="H1307">
            <v>75</v>
          </cell>
          <cell r="I1307">
            <v>45</v>
          </cell>
          <cell r="J1307">
            <v>35</v>
          </cell>
          <cell r="K1307">
            <v>45</v>
          </cell>
          <cell r="L1307">
            <v>55</v>
          </cell>
          <cell r="M1307">
            <v>320</v>
          </cell>
          <cell r="N1307" t="str">
            <v>thermal-exchange</v>
          </cell>
          <cell r="P1307" t="str">
            <v>ice-body</v>
          </cell>
          <cell r="Q1307">
            <v>0.5</v>
          </cell>
          <cell r="R1307">
            <v>17</v>
          </cell>
          <cell r="S1307" t="str">
            <v>Frigibax absorbs heat through its dorsal fin and converts the heat into ice energy. The higher the temperature, the more energy Frigibax stores.</v>
          </cell>
          <cell r="T1307" t="str">
            <v>https://raw.githubusercontent.com/PokeAPI/sprites/master/sprites/pokemon/other/official-artwork/996.png</v>
          </cell>
          <cell r="U1307" t="str">
            <v>https://raw.githubusercontent.com/PokeAPI/sprites/master/sprites/pokemon/other/official-artwork/shiny/996.png</v>
          </cell>
        </row>
        <row r="1308">
          <cell r="A1308">
            <v>997</v>
          </cell>
          <cell r="C1308" t="str">
            <v>Arctibax</v>
          </cell>
          <cell r="D1308" t="str">
            <v>Standard</v>
          </cell>
          <cell r="E1308" t="str">
            <v>dragon</v>
          </cell>
          <cell r="F1308" t="str">
            <v>ice</v>
          </cell>
          <cell r="G1308">
            <v>90</v>
          </cell>
          <cell r="H1308">
            <v>95</v>
          </cell>
          <cell r="I1308">
            <v>66</v>
          </cell>
          <cell r="J1308">
            <v>45</v>
          </cell>
          <cell r="K1308">
            <v>65</v>
          </cell>
          <cell r="L1308">
            <v>62</v>
          </cell>
          <cell r="M1308">
            <v>423</v>
          </cell>
          <cell r="N1308" t="str">
            <v>thermal-exchange</v>
          </cell>
          <cell r="P1308" t="str">
            <v>ice-body</v>
          </cell>
          <cell r="Q1308">
            <v>0.8</v>
          </cell>
          <cell r="R1308">
            <v>30</v>
          </cell>
          <cell r="S1308" t="str">
            <v>Arctibax freezes the air around it, protecting its face with an ice mask and turning its dorsal fin into a blade of ice.</v>
          </cell>
          <cell r="T1308" t="str">
            <v>https://raw.githubusercontent.com/PokeAPI/sprites/master/sprites/pokemon/other/official-artwork/997.png</v>
          </cell>
          <cell r="U1308" t="str">
            <v>https://raw.githubusercontent.com/PokeAPI/sprites/master/sprites/pokemon/other/official-artwork/shiny/997.png</v>
          </cell>
        </row>
        <row r="1309">
          <cell r="A1309">
            <v>998</v>
          </cell>
          <cell r="C1309" t="str">
            <v>Baxcalibur</v>
          </cell>
          <cell r="D1309" t="str">
            <v>Standard</v>
          </cell>
          <cell r="E1309" t="str">
            <v>dragon</v>
          </cell>
          <cell r="F1309" t="str">
            <v>ice</v>
          </cell>
          <cell r="G1309">
            <v>115</v>
          </cell>
          <cell r="H1309">
            <v>145</v>
          </cell>
          <cell r="I1309">
            <v>92</v>
          </cell>
          <cell r="J1309">
            <v>75</v>
          </cell>
          <cell r="K1309">
            <v>86</v>
          </cell>
          <cell r="L1309">
            <v>87</v>
          </cell>
          <cell r="M1309">
            <v>600</v>
          </cell>
          <cell r="N1309" t="str">
            <v>thermal-exchange</v>
          </cell>
          <cell r="P1309" t="str">
            <v>ice-body</v>
          </cell>
          <cell r="Q1309">
            <v>2.1</v>
          </cell>
          <cell r="R1309">
            <v>210</v>
          </cell>
          <cell r="S1309" t="str">
            <v>This Pokémon blasts cryogenic air out from its mouth. This air can instantly freeze even liquid-hot lava.</v>
          </cell>
          <cell r="T1309" t="str">
            <v>https://raw.githubusercontent.com/PokeAPI/sprites/master/sprites/pokemon/other/official-artwork/998.png</v>
          </cell>
          <cell r="U1309" t="str">
            <v>https://raw.githubusercontent.com/PokeAPI/sprites/master/sprites/pokemon/other/official-artwork/shiny/998.png</v>
          </cell>
        </row>
        <row r="1310">
          <cell r="A1310">
            <v>998</v>
          </cell>
          <cell r="C1310" t="str">
            <v>Baxcalibur Mega</v>
          </cell>
          <cell r="D1310" t="str">
            <v>Mega</v>
          </cell>
          <cell r="E1310" t="str">
            <v>dragon</v>
          </cell>
          <cell r="F1310" t="str">
            <v>ice</v>
          </cell>
          <cell r="G1310">
            <v>115</v>
          </cell>
          <cell r="H1310">
            <v>175</v>
          </cell>
          <cell r="I1310">
            <v>117</v>
          </cell>
          <cell r="J1310">
            <v>105</v>
          </cell>
          <cell r="K1310">
            <v>101</v>
          </cell>
          <cell r="L1310">
            <v>87</v>
          </cell>
          <cell r="M1310">
            <v>700</v>
          </cell>
          <cell r="Q1310">
            <v>2.1</v>
          </cell>
          <cell r="R1310">
            <v>315</v>
          </cell>
          <cell r="S1310" t="str">
            <v>This Pokémon blasts cryogenic air out from its mouth. This air can instantly freeze even liquid-hot lava.</v>
          </cell>
        </row>
        <row r="1311">
          <cell r="A1311">
            <v>999</v>
          </cell>
          <cell r="C1311" t="str">
            <v>Gimmighoul</v>
          </cell>
          <cell r="D1311" t="str">
            <v>Standard</v>
          </cell>
          <cell r="E1311" t="str">
            <v>ghost</v>
          </cell>
          <cell r="G1311">
            <v>45</v>
          </cell>
          <cell r="H1311">
            <v>30</v>
          </cell>
          <cell r="I1311">
            <v>70</v>
          </cell>
          <cell r="J1311">
            <v>75</v>
          </cell>
          <cell r="K1311">
            <v>70</v>
          </cell>
          <cell r="L1311">
            <v>10</v>
          </cell>
          <cell r="M1311">
            <v>300</v>
          </cell>
          <cell r="N1311" t="str">
            <v>rattled</v>
          </cell>
          <cell r="Q1311">
            <v>0.3</v>
          </cell>
          <cell r="R1311">
            <v>5</v>
          </cell>
          <cell r="S1311" t="str">
            <v>This Pokémon was born inside a treasure chest about 1,500 years ago. It sucks the life-force out of scoundrels who try to steal the treasure.</v>
          </cell>
          <cell r="T1311" t="str">
            <v>https://raw.githubusercontent.com/PokeAPI/sprites/master/sprites/pokemon/other/official-artwork/999.png</v>
          </cell>
          <cell r="U1311" t="str">
            <v>https://raw.githubusercontent.com/PokeAPI/sprites/master/sprites/pokemon/other/official-artwork/shiny/999.png</v>
          </cell>
        </row>
        <row r="1312">
          <cell r="A1312">
            <v>999</v>
          </cell>
          <cell r="C1312" t="str">
            <v>Gimmighoul Roaming</v>
          </cell>
          <cell r="D1312" t="str">
            <v>Other</v>
          </cell>
          <cell r="E1312" t="str">
            <v>ghost</v>
          </cell>
          <cell r="G1312">
            <v>45</v>
          </cell>
          <cell r="H1312">
            <v>30</v>
          </cell>
          <cell r="I1312">
            <v>25</v>
          </cell>
          <cell r="J1312">
            <v>75</v>
          </cell>
          <cell r="K1312">
            <v>45</v>
          </cell>
          <cell r="L1312">
            <v>80</v>
          </cell>
          <cell r="M1312">
            <v>300</v>
          </cell>
          <cell r="N1312" t="str">
            <v>run-away</v>
          </cell>
          <cell r="P1312" t="str">
            <v>run-away</v>
          </cell>
          <cell r="Q1312">
            <v>0.1</v>
          </cell>
          <cell r="R1312">
            <v>1</v>
          </cell>
          <cell r="S1312" t="str">
            <v>This Pokémon was born inside a treasure chest about 1,500 years ago. It sucks the life-force out of scoundrels who try to steal the treasure.</v>
          </cell>
          <cell r="T1312" t="str">
            <v>https://raw.githubusercontent.com/PokeAPI/sprites/master/sprites/pokemon/other/official-artwork/10263.png</v>
          </cell>
          <cell r="U1312" t="str">
            <v>https://raw.githubusercontent.com/PokeAPI/sprites/master/sprites/pokemon/other/official-artwork/shiny/10263.png</v>
          </cell>
        </row>
        <row r="1313">
          <cell r="A1313">
            <v>1000</v>
          </cell>
          <cell r="C1313" t="str">
            <v>Gholdengo</v>
          </cell>
          <cell r="D1313" t="str">
            <v>Standard</v>
          </cell>
          <cell r="E1313" t="str">
            <v>steel</v>
          </cell>
          <cell r="F1313" t="str">
            <v>ghost</v>
          </cell>
          <cell r="G1313">
            <v>87</v>
          </cell>
          <cell r="H1313">
            <v>60</v>
          </cell>
          <cell r="I1313">
            <v>95</v>
          </cell>
          <cell r="J1313">
            <v>133</v>
          </cell>
          <cell r="K1313">
            <v>91</v>
          </cell>
          <cell r="L1313">
            <v>84</v>
          </cell>
          <cell r="M1313">
            <v>550</v>
          </cell>
          <cell r="N1313" t="str">
            <v>good-as-gold</v>
          </cell>
          <cell r="Q1313">
            <v>1.2</v>
          </cell>
          <cell r="R1313">
            <v>30</v>
          </cell>
          <cell r="S1313" t="str">
            <v>Its body seems to be made up of 1,000 coins. This Pokémon gets along well with others and is quick to make friends with anybody.</v>
          </cell>
          <cell r="T1313" t="str">
            <v>https://raw.githubusercontent.com/PokeAPI/sprites/master/sprites/pokemon/other/official-artwork/1000.png</v>
          </cell>
          <cell r="U1313" t="str">
            <v>https://raw.githubusercontent.com/PokeAPI/sprites/master/sprites/pokemon/other/official-artwork/shiny/1000.png</v>
          </cell>
        </row>
        <row r="1314">
          <cell r="A1314">
            <v>1001</v>
          </cell>
          <cell r="C1314" t="str">
            <v>Wo Chien</v>
          </cell>
          <cell r="D1314" t="str">
            <v>Other</v>
          </cell>
          <cell r="E1314" t="str">
            <v>dark</v>
          </cell>
          <cell r="F1314" t="str">
            <v>grass</v>
          </cell>
          <cell r="G1314">
            <v>85</v>
          </cell>
          <cell r="H1314">
            <v>85</v>
          </cell>
          <cell r="I1314">
            <v>100</v>
          </cell>
          <cell r="J1314">
            <v>95</v>
          </cell>
          <cell r="K1314">
            <v>135</v>
          </cell>
          <cell r="L1314">
            <v>70</v>
          </cell>
          <cell r="M1314">
            <v>570</v>
          </cell>
          <cell r="N1314" t="str">
            <v>tablets-of-ruin</v>
          </cell>
          <cell r="Q1314">
            <v>1.5</v>
          </cell>
          <cell r="R1314">
            <v>74.2</v>
          </cell>
          <cell r="S1314" t="str">
            <v>The grudge of a person punished for writing the king’s evil deeds upon wooden tablets has clad itself in dead leaves to become a Pokémon.</v>
          </cell>
          <cell r="T1314" t="str">
            <v>https://raw.githubusercontent.com/PokeAPI/sprites/master/sprites/pokemon/other/official-artwork/1001.png</v>
          </cell>
          <cell r="U1314" t="str">
            <v>https://raw.githubusercontent.com/PokeAPI/sprites/master/sprites/pokemon/other/official-artwork/shiny/1001.png</v>
          </cell>
        </row>
        <row r="1315">
          <cell r="A1315">
            <v>1002</v>
          </cell>
          <cell r="C1315" t="str">
            <v>Chien Pao</v>
          </cell>
          <cell r="D1315" t="str">
            <v>Other</v>
          </cell>
          <cell r="E1315" t="str">
            <v>dark</v>
          </cell>
          <cell r="F1315" t="str">
            <v>ice</v>
          </cell>
          <cell r="G1315">
            <v>80</v>
          </cell>
          <cell r="H1315">
            <v>120</v>
          </cell>
          <cell r="I1315">
            <v>80</v>
          </cell>
          <cell r="J1315">
            <v>90</v>
          </cell>
          <cell r="K1315">
            <v>65</v>
          </cell>
          <cell r="L1315">
            <v>135</v>
          </cell>
          <cell r="M1315">
            <v>570</v>
          </cell>
          <cell r="N1315" t="str">
            <v>sword-of-ruin</v>
          </cell>
          <cell r="Q1315">
            <v>1.9</v>
          </cell>
          <cell r="R1315">
            <v>152.19999999999999</v>
          </cell>
          <cell r="S1315" t="str">
            <v>This Pokémon can control 100 tons of fallen snow. It plays around innocently by leaping in and out of avalanches it has caused.</v>
          </cell>
          <cell r="T1315" t="str">
            <v>https://raw.githubusercontent.com/PokeAPI/sprites/master/sprites/pokemon/other/official-artwork/1002.png</v>
          </cell>
          <cell r="U1315" t="str">
            <v>https://raw.githubusercontent.com/PokeAPI/sprites/master/sprites/pokemon/other/official-artwork/shiny/1002.png</v>
          </cell>
        </row>
        <row r="1316">
          <cell r="A1316">
            <v>1003</v>
          </cell>
          <cell r="C1316" t="str">
            <v>Ting Lu</v>
          </cell>
          <cell r="D1316" t="str">
            <v>Other</v>
          </cell>
          <cell r="E1316" t="str">
            <v>dark</v>
          </cell>
          <cell r="F1316" t="str">
            <v>ground</v>
          </cell>
          <cell r="G1316">
            <v>155</v>
          </cell>
          <cell r="H1316">
            <v>110</v>
          </cell>
          <cell r="I1316">
            <v>125</v>
          </cell>
          <cell r="J1316">
            <v>55</v>
          </cell>
          <cell r="K1316">
            <v>80</v>
          </cell>
          <cell r="L1316">
            <v>45</v>
          </cell>
          <cell r="M1316">
            <v>570</v>
          </cell>
          <cell r="N1316" t="str">
            <v>vessel-of-ruin</v>
          </cell>
          <cell r="Q1316">
            <v>2.7</v>
          </cell>
          <cell r="R1316">
            <v>699.7</v>
          </cell>
          <cell r="S1316" t="str">
            <v>The fear poured into an ancient ritual vessel has clad itself in rocks and dirt to become a Pokémon.</v>
          </cell>
          <cell r="T1316" t="str">
            <v>https://raw.githubusercontent.com/PokeAPI/sprites/master/sprites/pokemon/other/official-artwork/1003.png</v>
          </cell>
          <cell r="U1316" t="str">
            <v>https://raw.githubusercontent.com/PokeAPI/sprites/master/sprites/pokemon/other/official-artwork/shiny/1003.png</v>
          </cell>
        </row>
        <row r="1317">
          <cell r="A1317">
            <v>1004</v>
          </cell>
          <cell r="C1317" t="str">
            <v>Chi Yu</v>
          </cell>
          <cell r="D1317" t="str">
            <v>Other</v>
          </cell>
          <cell r="E1317" t="str">
            <v>dark</v>
          </cell>
          <cell r="F1317" t="str">
            <v>fire</v>
          </cell>
          <cell r="G1317">
            <v>55</v>
          </cell>
          <cell r="H1317">
            <v>80</v>
          </cell>
          <cell r="I1317">
            <v>80</v>
          </cell>
          <cell r="J1317">
            <v>135</v>
          </cell>
          <cell r="K1317">
            <v>120</v>
          </cell>
          <cell r="L1317">
            <v>100</v>
          </cell>
          <cell r="M1317">
            <v>570</v>
          </cell>
          <cell r="N1317" t="str">
            <v>beads-of-ruin</v>
          </cell>
          <cell r="Q1317">
            <v>0.4</v>
          </cell>
          <cell r="R1317">
            <v>4.9000000000000004</v>
          </cell>
          <cell r="S1317" t="str">
            <v>It controls flames burning at over 5,400 degrees Fahrenheit. It casually swims through the sea of lava it creates by melting rock and sand.</v>
          </cell>
          <cell r="T1317" t="str">
            <v>https://raw.githubusercontent.com/PokeAPI/sprites/master/sprites/pokemon/other/official-artwork/1004.png</v>
          </cell>
          <cell r="U1317" t="str">
            <v>https://raw.githubusercontent.com/PokeAPI/sprites/master/sprites/pokemon/other/official-artwork/shiny/1004.png</v>
          </cell>
        </row>
        <row r="1318">
          <cell r="A1318">
            <v>1005</v>
          </cell>
          <cell r="C1318" t="str">
            <v>Roaring Moon</v>
          </cell>
          <cell r="D1318" t="str">
            <v>Other</v>
          </cell>
          <cell r="E1318" t="str">
            <v>dragon</v>
          </cell>
          <cell r="F1318" t="str">
            <v>dark</v>
          </cell>
          <cell r="G1318">
            <v>105</v>
          </cell>
          <cell r="H1318">
            <v>139</v>
          </cell>
          <cell r="I1318">
            <v>71</v>
          </cell>
          <cell r="J1318">
            <v>55</v>
          </cell>
          <cell r="K1318">
            <v>101</v>
          </cell>
          <cell r="L1318">
            <v>119</v>
          </cell>
          <cell r="M1318">
            <v>590</v>
          </cell>
          <cell r="N1318" t="str">
            <v>protosynthesis</v>
          </cell>
          <cell r="Q1318">
            <v>2</v>
          </cell>
          <cell r="R1318">
            <v>380</v>
          </cell>
          <cell r="S1318" t="str">
            <v>It is possible that this is the creature listed as Roaring Moon in an expedition journal that still holds many mysteries.</v>
          </cell>
          <cell r="T1318" t="str">
            <v>https://raw.githubusercontent.com/PokeAPI/sprites/master/sprites/pokemon/other/official-artwork/1005.png</v>
          </cell>
          <cell r="U1318" t="str">
            <v>https://raw.githubusercontent.com/PokeAPI/sprites/master/sprites/pokemon/other/official-artwork/shiny/1005.png</v>
          </cell>
        </row>
        <row r="1319">
          <cell r="A1319">
            <v>1006</v>
          </cell>
          <cell r="C1319" t="str">
            <v>Iron Valiant</v>
          </cell>
          <cell r="D1319" t="str">
            <v>Other</v>
          </cell>
          <cell r="E1319" t="str">
            <v>fairy</v>
          </cell>
          <cell r="F1319" t="str">
            <v>fighting</v>
          </cell>
          <cell r="G1319">
            <v>74</v>
          </cell>
          <cell r="H1319">
            <v>130</v>
          </cell>
          <cell r="I1319">
            <v>90</v>
          </cell>
          <cell r="J1319">
            <v>120</v>
          </cell>
          <cell r="K1319">
            <v>60</v>
          </cell>
          <cell r="L1319">
            <v>116</v>
          </cell>
          <cell r="M1319">
            <v>590</v>
          </cell>
          <cell r="N1319" t="str">
            <v>quark-drive</v>
          </cell>
          <cell r="Q1319">
            <v>1.4</v>
          </cell>
          <cell r="R1319">
            <v>35</v>
          </cell>
          <cell r="S1319" t="str">
            <v>It has some similarities to a mad scientist’s invention covered in a paranormal magazine.</v>
          </cell>
          <cell r="T1319" t="str">
            <v>https://raw.githubusercontent.com/PokeAPI/sprites/master/sprites/pokemon/other/official-artwork/1006.png</v>
          </cell>
          <cell r="U1319" t="str">
            <v>https://raw.githubusercontent.com/PokeAPI/sprites/master/sprites/pokemon/other/official-artwork/shiny/1006.png</v>
          </cell>
        </row>
        <row r="1320">
          <cell r="A1320">
            <v>1007</v>
          </cell>
          <cell r="C1320" t="str">
            <v>Koraidon</v>
          </cell>
          <cell r="D1320" t="str">
            <v>Standard</v>
          </cell>
          <cell r="E1320" t="str">
            <v>fighting</v>
          </cell>
          <cell r="F1320" t="str">
            <v>dragon</v>
          </cell>
          <cell r="G1320">
            <v>100</v>
          </cell>
          <cell r="H1320">
            <v>135</v>
          </cell>
          <cell r="I1320">
            <v>115</v>
          </cell>
          <cell r="J1320">
            <v>85</v>
          </cell>
          <cell r="K1320">
            <v>100</v>
          </cell>
          <cell r="L1320">
            <v>135</v>
          </cell>
          <cell r="M1320">
            <v>670</v>
          </cell>
          <cell r="N1320" t="str">
            <v>orichalcum-pulse</v>
          </cell>
          <cell r="Q1320">
            <v>2.5</v>
          </cell>
          <cell r="R1320">
            <v>303</v>
          </cell>
          <cell r="S1320" t="str">
            <v>This seems to be the Winged King mentioned in an old expedition journal. It was said to have split the land with its bare fists.</v>
          </cell>
          <cell r="T1320" t="str">
            <v>https://raw.githubusercontent.com/PokeAPI/sprites/master/sprites/pokemon/other/official-artwork/1007.png</v>
          </cell>
          <cell r="U1320" t="str">
            <v>https://raw.githubusercontent.com/PokeAPI/sprites/master/sprites/pokemon/other/official-artwork/shiny/1007.png</v>
          </cell>
        </row>
        <row r="1321">
          <cell r="A1321">
            <v>1007</v>
          </cell>
          <cell r="C1321" t="str">
            <v>Koraidon Gliding Build</v>
          </cell>
          <cell r="D1321" t="str">
            <v>Other</v>
          </cell>
          <cell r="E1321" t="str">
            <v>fighting</v>
          </cell>
          <cell r="F1321" t="str">
            <v>dragon</v>
          </cell>
          <cell r="G1321">
            <v>100</v>
          </cell>
          <cell r="H1321">
            <v>135</v>
          </cell>
          <cell r="I1321">
            <v>115</v>
          </cell>
          <cell r="J1321">
            <v>85</v>
          </cell>
          <cell r="K1321">
            <v>100</v>
          </cell>
          <cell r="L1321">
            <v>135</v>
          </cell>
          <cell r="M1321">
            <v>670</v>
          </cell>
          <cell r="N1321" t="str">
            <v>orichalcum-pulse</v>
          </cell>
          <cell r="P1321" t="str">
            <v>orichalcum-pulse</v>
          </cell>
          <cell r="Q1321">
            <v>3.5</v>
          </cell>
          <cell r="R1321">
            <v>303</v>
          </cell>
          <cell r="S1321" t="str">
            <v>This seems to be the Winged King mentioned in an old expedition journal. It was said to have split the land with its bare fists.</v>
          </cell>
        </row>
        <row r="1322">
          <cell r="A1322">
            <v>1007</v>
          </cell>
          <cell r="C1322" t="str">
            <v>Koraidon Limited Build</v>
          </cell>
          <cell r="D1322" t="str">
            <v>Other</v>
          </cell>
          <cell r="E1322" t="str">
            <v>fighting</v>
          </cell>
          <cell r="F1322" t="str">
            <v>dragon</v>
          </cell>
          <cell r="G1322">
            <v>100</v>
          </cell>
          <cell r="H1322">
            <v>135</v>
          </cell>
          <cell r="I1322">
            <v>115</v>
          </cell>
          <cell r="J1322">
            <v>85</v>
          </cell>
          <cell r="K1322">
            <v>100</v>
          </cell>
          <cell r="L1322">
            <v>135</v>
          </cell>
          <cell r="M1322">
            <v>670</v>
          </cell>
          <cell r="N1322" t="str">
            <v>orichalcum-pulse</v>
          </cell>
          <cell r="P1322" t="str">
            <v>orichalcum-pulse</v>
          </cell>
          <cell r="Q1322">
            <v>3.5</v>
          </cell>
          <cell r="R1322">
            <v>303</v>
          </cell>
          <cell r="S1322" t="str">
            <v>This seems to be the Winged King mentioned in an old expedition journal. It was said to have split the land with its bare fists.</v>
          </cell>
          <cell r="T1322" t="str">
            <v>https://raw.githubusercontent.com/PokeAPI/sprites/master/sprites/pokemon/versions/generation-ix/scarlet-violet/1007-limited-build.png</v>
          </cell>
        </row>
        <row r="1323">
          <cell r="A1323">
            <v>1007</v>
          </cell>
          <cell r="C1323" t="str">
            <v>Koraidon Sprinting Build</v>
          </cell>
          <cell r="D1323" t="str">
            <v>Other</v>
          </cell>
          <cell r="E1323" t="str">
            <v>fighting</v>
          </cell>
          <cell r="F1323" t="str">
            <v>dragon</v>
          </cell>
          <cell r="G1323">
            <v>100</v>
          </cell>
          <cell r="H1323">
            <v>135</v>
          </cell>
          <cell r="I1323">
            <v>115</v>
          </cell>
          <cell r="J1323">
            <v>85</v>
          </cell>
          <cell r="K1323">
            <v>100</v>
          </cell>
          <cell r="L1323">
            <v>135</v>
          </cell>
          <cell r="M1323">
            <v>670</v>
          </cell>
          <cell r="N1323" t="str">
            <v>orichalcum-pulse</v>
          </cell>
          <cell r="P1323" t="str">
            <v>orichalcum-pulse</v>
          </cell>
          <cell r="Q1323">
            <v>3.5</v>
          </cell>
          <cell r="R1323">
            <v>303</v>
          </cell>
          <cell r="S1323" t="str">
            <v>This seems to be the Winged King mentioned in an old expedition journal. It was said to have split the land with its bare fists.</v>
          </cell>
        </row>
        <row r="1324">
          <cell r="A1324">
            <v>1007</v>
          </cell>
          <cell r="C1324" t="str">
            <v>Koraidon Swimming Build</v>
          </cell>
          <cell r="D1324" t="str">
            <v>Other</v>
          </cell>
          <cell r="E1324" t="str">
            <v>fighting</v>
          </cell>
          <cell r="F1324" t="str">
            <v>dragon</v>
          </cell>
          <cell r="G1324">
            <v>100</v>
          </cell>
          <cell r="H1324">
            <v>135</v>
          </cell>
          <cell r="I1324">
            <v>115</v>
          </cell>
          <cell r="J1324">
            <v>85</v>
          </cell>
          <cell r="K1324">
            <v>100</v>
          </cell>
          <cell r="L1324">
            <v>135</v>
          </cell>
          <cell r="M1324">
            <v>670</v>
          </cell>
          <cell r="N1324" t="str">
            <v>orichalcum-pulse</v>
          </cell>
          <cell r="P1324" t="str">
            <v>orichalcum-pulse</v>
          </cell>
          <cell r="Q1324">
            <v>3.5</v>
          </cell>
          <cell r="R1324">
            <v>303</v>
          </cell>
          <cell r="S1324" t="str">
            <v>This seems to be the Winged King mentioned in an old expedition journal. It was said to have split the land with its bare fists.</v>
          </cell>
        </row>
        <row r="1325">
          <cell r="A1325">
            <v>1008</v>
          </cell>
          <cell r="C1325" t="str">
            <v>Miraidon</v>
          </cell>
          <cell r="D1325" t="str">
            <v>Standard</v>
          </cell>
          <cell r="E1325" t="str">
            <v>electric</v>
          </cell>
          <cell r="F1325" t="str">
            <v>dragon</v>
          </cell>
          <cell r="G1325">
            <v>100</v>
          </cell>
          <cell r="H1325">
            <v>85</v>
          </cell>
          <cell r="I1325">
            <v>100</v>
          </cell>
          <cell r="J1325">
            <v>135</v>
          </cell>
          <cell r="K1325">
            <v>115</v>
          </cell>
          <cell r="L1325">
            <v>135</v>
          </cell>
          <cell r="M1325">
            <v>670</v>
          </cell>
          <cell r="N1325" t="str">
            <v>hadron-engine</v>
          </cell>
          <cell r="Q1325">
            <v>3.5</v>
          </cell>
          <cell r="R1325">
            <v>240</v>
          </cell>
          <cell r="S1325" t="str">
            <v>Much remains unknown about this creature. It resembles Cyclizar, but it is far more ruthless and powerful.</v>
          </cell>
          <cell r="T1325" t="str">
            <v>https://raw.githubusercontent.com/PokeAPI/sprites/master/sprites/pokemon/other/official-artwork/1008.png</v>
          </cell>
          <cell r="U1325" t="str">
            <v>https://raw.githubusercontent.com/PokeAPI/sprites/master/sprites/pokemon/other/official-artwork/shiny/1008.png</v>
          </cell>
        </row>
        <row r="1326">
          <cell r="A1326">
            <v>1008</v>
          </cell>
          <cell r="C1326" t="str">
            <v>Miraidon Aquatic Mode</v>
          </cell>
          <cell r="D1326" t="str">
            <v>Other</v>
          </cell>
          <cell r="E1326" t="str">
            <v>electric</v>
          </cell>
          <cell r="F1326" t="str">
            <v>dragon</v>
          </cell>
          <cell r="G1326">
            <v>100</v>
          </cell>
          <cell r="H1326">
            <v>85</v>
          </cell>
          <cell r="I1326">
            <v>100</v>
          </cell>
          <cell r="J1326">
            <v>135</v>
          </cell>
          <cell r="K1326">
            <v>115</v>
          </cell>
          <cell r="L1326">
            <v>135</v>
          </cell>
          <cell r="M1326">
            <v>670</v>
          </cell>
          <cell r="N1326" t="str">
            <v>hadron-engine</v>
          </cell>
          <cell r="P1326" t="str">
            <v>hadron-engine</v>
          </cell>
          <cell r="Q1326">
            <v>2.8</v>
          </cell>
          <cell r="R1326">
            <v>240</v>
          </cell>
          <cell r="S1326" t="str">
            <v>Much remains unknown about this creature. It resembles Cyclizar, but it is far more ruthless and powerful.</v>
          </cell>
        </row>
        <row r="1327">
          <cell r="A1327">
            <v>1008</v>
          </cell>
          <cell r="C1327" t="str">
            <v>Miraidon Drive Mode</v>
          </cell>
          <cell r="D1327" t="str">
            <v>Other</v>
          </cell>
          <cell r="E1327" t="str">
            <v>electric</v>
          </cell>
          <cell r="F1327" t="str">
            <v>dragon</v>
          </cell>
          <cell r="G1327">
            <v>100</v>
          </cell>
          <cell r="H1327">
            <v>85</v>
          </cell>
          <cell r="I1327">
            <v>100</v>
          </cell>
          <cell r="J1327">
            <v>135</v>
          </cell>
          <cell r="K1327">
            <v>115</v>
          </cell>
          <cell r="L1327">
            <v>135</v>
          </cell>
          <cell r="M1327">
            <v>670</v>
          </cell>
          <cell r="N1327" t="str">
            <v>hadron-engine</v>
          </cell>
          <cell r="P1327" t="str">
            <v>hadron-engine</v>
          </cell>
          <cell r="Q1327">
            <v>2.8</v>
          </cell>
          <cell r="R1327">
            <v>240</v>
          </cell>
          <cell r="S1327" t="str">
            <v>Much remains unknown about this creature. It resembles Cyclizar, but it is far more ruthless and powerful.</v>
          </cell>
        </row>
        <row r="1328">
          <cell r="A1328">
            <v>1008</v>
          </cell>
          <cell r="C1328" t="str">
            <v>Miraidon Glide Mode</v>
          </cell>
          <cell r="D1328" t="str">
            <v>Other</v>
          </cell>
          <cell r="E1328" t="str">
            <v>electric</v>
          </cell>
          <cell r="F1328" t="str">
            <v>dragon</v>
          </cell>
          <cell r="G1328">
            <v>100</v>
          </cell>
          <cell r="H1328">
            <v>85</v>
          </cell>
          <cell r="I1328">
            <v>100</v>
          </cell>
          <cell r="J1328">
            <v>135</v>
          </cell>
          <cell r="K1328">
            <v>115</v>
          </cell>
          <cell r="L1328">
            <v>135</v>
          </cell>
          <cell r="M1328">
            <v>670</v>
          </cell>
          <cell r="N1328" t="str">
            <v>hadron-engine</v>
          </cell>
          <cell r="P1328" t="str">
            <v>hadron-engine</v>
          </cell>
          <cell r="Q1328">
            <v>2.8</v>
          </cell>
          <cell r="R1328">
            <v>240</v>
          </cell>
          <cell r="S1328" t="str">
            <v>Much remains unknown about this creature. It resembles Cyclizar, but it is far more ruthless and powerful.</v>
          </cell>
        </row>
        <row r="1329">
          <cell r="A1329">
            <v>1008</v>
          </cell>
          <cell r="C1329" t="str">
            <v>Miraidon Low Power Mode</v>
          </cell>
          <cell r="D1329" t="str">
            <v>Other</v>
          </cell>
          <cell r="E1329" t="str">
            <v>electric</v>
          </cell>
          <cell r="F1329" t="str">
            <v>dragon</v>
          </cell>
          <cell r="G1329">
            <v>100</v>
          </cell>
          <cell r="H1329">
            <v>85</v>
          </cell>
          <cell r="I1329">
            <v>100</v>
          </cell>
          <cell r="J1329">
            <v>135</v>
          </cell>
          <cell r="K1329">
            <v>115</v>
          </cell>
          <cell r="L1329">
            <v>135</v>
          </cell>
          <cell r="M1329">
            <v>670</v>
          </cell>
          <cell r="N1329" t="str">
            <v>hadron-engine</v>
          </cell>
          <cell r="P1329" t="str">
            <v>hadron-engine</v>
          </cell>
          <cell r="Q1329">
            <v>2.8</v>
          </cell>
          <cell r="R1329">
            <v>240</v>
          </cell>
          <cell r="S1329" t="str">
            <v>Much remains unknown about this creature. It resembles Cyclizar, but it is far more ruthless and powerful.</v>
          </cell>
          <cell r="T1329" t="str">
            <v>https://raw.githubusercontent.com/PokeAPI/sprites/master/sprites/pokemon/versions/generation-ix/scarlet-violet/1008-low-power-mode.png</v>
          </cell>
        </row>
        <row r="1330">
          <cell r="A1330">
            <v>1009</v>
          </cell>
          <cell r="C1330" t="str">
            <v>Walking Wake</v>
          </cell>
          <cell r="D1330" t="str">
            <v>Other</v>
          </cell>
          <cell r="E1330" t="str">
            <v>water</v>
          </cell>
          <cell r="F1330" t="str">
            <v>dragon</v>
          </cell>
          <cell r="G1330">
            <v>99</v>
          </cell>
          <cell r="H1330">
            <v>83</v>
          </cell>
          <cell r="I1330">
            <v>91</v>
          </cell>
          <cell r="J1330">
            <v>125</v>
          </cell>
          <cell r="K1330">
            <v>83</v>
          </cell>
          <cell r="L1330">
            <v>109</v>
          </cell>
          <cell r="M1330">
            <v>590</v>
          </cell>
          <cell r="N1330" t="str">
            <v>protosynthesis</v>
          </cell>
          <cell r="Q1330">
            <v>3.5</v>
          </cell>
          <cell r="R1330">
            <v>280</v>
          </cell>
          <cell r="S1330" t="str">
            <v>This ferocious creature is shrouded in mystery. It's named after an aquatic monster mentioned in an old expedition journal.</v>
          </cell>
          <cell r="T1330" t="str">
            <v>https://raw.githubusercontent.com/PokeAPI/sprites/master/sprites/pokemon/other/official-artwork/1009.png</v>
          </cell>
          <cell r="U1330" t="str">
            <v>https://raw.githubusercontent.com/PokeAPI/sprites/master/sprites/pokemon/other/official-artwork/shiny/1009.png</v>
          </cell>
        </row>
        <row r="1331">
          <cell r="A1331">
            <v>1010</v>
          </cell>
          <cell r="C1331" t="str">
            <v>Iron Leaves</v>
          </cell>
          <cell r="D1331" t="str">
            <v>Other</v>
          </cell>
          <cell r="E1331" t="str">
            <v>grass</v>
          </cell>
          <cell r="F1331" t="str">
            <v>psychic</v>
          </cell>
          <cell r="G1331">
            <v>90</v>
          </cell>
          <cell r="H1331">
            <v>130</v>
          </cell>
          <cell r="I1331">
            <v>88</v>
          </cell>
          <cell r="J1331">
            <v>70</v>
          </cell>
          <cell r="K1331">
            <v>108</v>
          </cell>
          <cell r="L1331">
            <v>104</v>
          </cell>
          <cell r="M1331">
            <v>590</v>
          </cell>
          <cell r="N1331" t="str">
            <v>quark-drive</v>
          </cell>
          <cell r="Q1331">
            <v>1.5</v>
          </cell>
          <cell r="R1331">
            <v>125</v>
          </cell>
          <cell r="S1331" t="str">
            <v>Many of its physical characteristics match those of a Virizion from the future that was covered in a paranormal magazine.</v>
          </cell>
          <cell r="T1331" t="str">
            <v>https://raw.githubusercontent.com/PokeAPI/sprites/master/sprites/pokemon/other/official-artwork/1010.png</v>
          </cell>
          <cell r="U1331" t="str">
            <v>https://raw.githubusercontent.com/PokeAPI/sprites/master/sprites/pokemon/other/official-artwork/shiny/1010.png</v>
          </cell>
        </row>
        <row r="1332">
          <cell r="A1332">
            <v>1011</v>
          </cell>
          <cell r="C1332" t="str">
            <v>Dipplin</v>
          </cell>
          <cell r="D1332" t="str">
            <v>Standard</v>
          </cell>
          <cell r="E1332" t="str">
            <v>grass</v>
          </cell>
          <cell r="F1332" t="str">
            <v>dragon</v>
          </cell>
          <cell r="G1332">
            <v>80</v>
          </cell>
          <cell r="H1332">
            <v>80</v>
          </cell>
          <cell r="I1332">
            <v>110</v>
          </cell>
          <cell r="J1332">
            <v>95</v>
          </cell>
          <cell r="K1332">
            <v>80</v>
          </cell>
          <cell r="L1332">
            <v>40</v>
          </cell>
          <cell r="M1332">
            <v>485</v>
          </cell>
          <cell r="N1332" t="str">
            <v>supersweet-syrup</v>
          </cell>
          <cell r="O1332" t="str">
            <v>gluttony</v>
          </cell>
          <cell r="P1332" t="str">
            <v>sticky-hold</v>
          </cell>
          <cell r="Q1332">
            <v>0.4</v>
          </cell>
          <cell r="R1332">
            <v>9.6999999999999993</v>
          </cell>
          <cell r="S1332" t="str">
            <v>Dipplin is two creatures in one Pokémon. Its evolution was triggered by a special apple grown only in one place.</v>
          </cell>
          <cell r="T1332" t="str">
            <v>https://raw.githubusercontent.com/PokeAPI/sprites/master/sprites/pokemon/other/official-artwork/1011.png</v>
          </cell>
          <cell r="U1332" t="str">
            <v>https://raw.githubusercontent.com/PokeAPI/sprites/master/sprites/pokemon/other/official-artwork/shiny/1011.png</v>
          </cell>
        </row>
        <row r="1333">
          <cell r="A1333">
            <v>1012</v>
          </cell>
          <cell r="C1333" t="str">
            <v>Poltchageist</v>
          </cell>
          <cell r="D1333" t="str">
            <v>Standard</v>
          </cell>
          <cell r="E1333" t="str">
            <v>grass</v>
          </cell>
          <cell r="F1333" t="str">
            <v>ghost</v>
          </cell>
          <cell r="G1333">
            <v>40</v>
          </cell>
          <cell r="H1333">
            <v>45</v>
          </cell>
          <cell r="I1333">
            <v>45</v>
          </cell>
          <cell r="J1333">
            <v>74</v>
          </cell>
          <cell r="K1333">
            <v>54</v>
          </cell>
          <cell r="L1333">
            <v>50</v>
          </cell>
          <cell r="M1333">
            <v>308</v>
          </cell>
          <cell r="N1333" t="str">
            <v>hospitality</v>
          </cell>
          <cell r="P1333" t="str">
            <v>heatproof</v>
          </cell>
          <cell r="Q1333">
            <v>0.1</v>
          </cell>
          <cell r="R1333">
            <v>1.1000000000000001</v>
          </cell>
          <cell r="S1333" t="str">
            <v>Supposedly, the regrets of a tea ceremony master who died before perfecting his craft lingered in some matcha and became a Pokémon.</v>
          </cell>
          <cell r="T1333" t="str">
            <v>https://raw.githubusercontent.com/PokeAPI/sprites/master/sprites/pokemon/other/official-artwork/1012.png</v>
          </cell>
          <cell r="U1333" t="str">
            <v>https://raw.githubusercontent.com/PokeAPI/sprites/master/sprites/pokemon/other/official-artwork/shiny/1012.png</v>
          </cell>
        </row>
        <row r="1334">
          <cell r="A1334">
            <v>1013</v>
          </cell>
          <cell r="C1334" t="str">
            <v>Sinistcha</v>
          </cell>
          <cell r="D1334" t="str">
            <v>Standard</v>
          </cell>
          <cell r="E1334" t="str">
            <v>grass</v>
          </cell>
          <cell r="F1334" t="str">
            <v>ghost</v>
          </cell>
          <cell r="G1334">
            <v>71</v>
          </cell>
          <cell r="H1334">
            <v>60</v>
          </cell>
          <cell r="I1334">
            <v>106</v>
          </cell>
          <cell r="J1334">
            <v>121</v>
          </cell>
          <cell r="K1334">
            <v>80</v>
          </cell>
          <cell r="L1334">
            <v>70</v>
          </cell>
          <cell r="M1334">
            <v>508</v>
          </cell>
          <cell r="N1334" t="str">
            <v>hospitality</v>
          </cell>
          <cell r="P1334" t="str">
            <v>heatproof</v>
          </cell>
          <cell r="Q1334">
            <v>0.2</v>
          </cell>
          <cell r="R1334">
            <v>2.2000000000000002</v>
          </cell>
          <cell r="S1334" t="str">
            <v>It pretends to be tea, trying to fool people into drinking it so it can drain their life-force. Its ruse is generally unsuccessful.</v>
          </cell>
          <cell r="T1334" t="str">
            <v>https://raw.githubusercontent.com/PokeAPI/sprites/master/sprites/pokemon/other/official-artwork/1013.png</v>
          </cell>
          <cell r="U1334" t="str">
            <v>https://raw.githubusercontent.com/PokeAPI/sprites/master/sprites/pokemon/other/official-artwork/shiny/1013.png</v>
          </cell>
        </row>
        <row r="1335">
          <cell r="A1335">
            <v>1014</v>
          </cell>
          <cell r="C1335" t="str">
            <v>Okidogi</v>
          </cell>
          <cell r="D1335" t="str">
            <v>Standard</v>
          </cell>
          <cell r="E1335" t="str">
            <v>poison</v>
          </cell>
          <cell r="F1335" t="str">
            <v>fighting</v>
          </cell>
          <cell r="G1335">
            <v>88</v>
          </cell>
          <cell r="H1335">
            <v>128</v>
          </cell>
          <cell r="I1335">
            <v>115</v>
          </cell>
          <cell r="J1335">
            <v>58</v>
          </cell>
          <cell r="K1335">
            <v>86</v>
          </cell>
          <cell r="L1335">
            <v>80</v>
          </cell>
          <cell r="M1335">
            <v>555</v>
          </cell>
          <cell r="N1335" t="str">
            <v>toxic-chain</v>
          </cell>
          <cell r="P1335" t="str">
            <v>guard-dog</v>
          </cell>
          <cell r="Q1335">
            <v>1.8</v>
          </cell>
          <cell r="R1335">
            <v>92.2</v>
          </cell>
          <cell r="S1335" t="str">
            <v>After all its muscles were stimulated by the toxic chain around its neck, Okidogi transformed and gained a powerful physique.</v>
          </cell>
          <cell r="T1335" t="str">
            <v>https://raw.githubusercontent.com/PokeAPI/sprites/master/sprites/pokemon/other/official-artwork/1014.png</v>
          </cell>
          <cell r="U1335" t="str">
            <v>https://raw.githubusercontent.com/PokeAPI/sprites/master/sprites/pokemon/other/official-artwork/shiny/1014.png</v>
          </cell>
        </row>
        <row r="1336">
          <cell r="A1336">
            <v>1015</v>
          </cell>
          <cell r="C1336" t="str">
            <v>Munkidori</v>
          </cell>
          <cell r="D1336" t="str">
            <v>Standard</v>
          </cell>
          <cell r="E1336" t="str">
            <v>poison</v>
          </cell>
          <cell r="F1336" t="str">
            <v>psychic</v>
          </cell>
          <cell r="G1336">
            <v>88</v>
          </cell>
          <cell r="H1336">
            <v>75</v>
          </cell>
          <cell r="I1336">
            <v>66</v>
          </cell>
          <cell r="J1336">
            <v>130</v>
          </cell>
          <cell r="K1336">
            <v>90</v>
          </cell>
          <cell r="L1336">
            <v>106</v>
          </cell>
          <cell r="M1336">
            <v>555</v>
          </cell>
          <cell r="N1336" t="str">
            <v>toxic-chain</v>
          </cell>
          <cell r="P1336" t="str">
            <v>frisk</v>
          </cell>
          <cell r="Q1336">
            <v>1</v>
          </cell>
          <cell r="R1336">
            <v>12.2</v>
          </cell>
          <cell r="S1336" t="str">
            <v>The chain is made from toxins that enhance capabilities. It stimulated Munkidori's brain and caused the Pokémon's psychic powers to bloom.</v>
          </cell>
          <cell r="T1336" t="str">
            <v>https://raw.githubusercontent.com/PokeAPI/sprites/master/sprites/pokemon/other/official-artwork/1015.png</v>
          </cell>
          <cell r="U1336" t="str">
            <v>https://raw.githubusercontent.com/PokeAPI/sprites/master/sprites/pokemon/other/official-artwork/shiny/1015.png</v>
          </cell>
        </row>
        <row r="1337">
          <cell r="A1337">
            <v>1016</v>
          </cell>
          <cell r="C1337" t="str">
            <v>Fezandipiti</v>
          </cell>
          <cell r="D1337" t="str">
            <v>Standard</v>
          </cell>
          <cell r="E1337" t="str">
            <v>poison</v>
          </cell>
          <cell r="F1337" t="str">
            <v>fairy</v>
          </cell>
          <cell r="G1337">
            <v>88</v>
          </cell>
          <cell r="H1337">
            <v>91</v>
          </cell>
          <cell r="I1337">
            <v>82</v>
          </cell>
          <cell r="J1337">
            <v>70</v>
          </cell>
          <cell r="K1337">
            <v>125</v>
          </cell>
          <cell r="L1337">
            <v>99</v>
          </cell>
          <cell r="M1337">
            <v>555</v>
          </cell>
          <cell r="N1337" t="str">
            <v>toxic-chain</v>
          </cell>
          <cell r="P1337" t="str">
            <v>technician</v>
          </cell>
          <cell r="Q1337">
            <v>1.4</v>
          </cell>
          <cell r="R1337">
            <v>30.1</v>
          </cell>
          <cell r="S1337" t="str">
            <v>Fezandipiti owes its beautiful looks and lovely voice to the toxic stimulants emanating from the chain wrapped around its body.</v>
          </cell>
          <cell r="T1337" t="str">
            <v>https://raw.githubusercontent.com/PokeAPI/sprites/master/sprites/pokemon/other/official-artwork/1016.png</v>
          </cell>
          <cell r="U1337" t="str">
            <v>https://raw.githubusercontent.com/PokeAPI/sprites/master/sprites/pokemon/other/official-artwork/shiny/1016.png</v>
          </cell>
        </row>
        <row r="1338">
          <cell r="A1338">
            <v>1017</v>
          </cell>
          <cell r="C1338" t="str">
            <v>Ogerpon</v>
          </cell>
          <cell r="D1338" t="str">
            <v>Standard</v>
          </cell>
          <cell r="E1338" t="str">
            <v>grass</v>
          </cell>
          <cell r="G1338">
            <v>80</v>
          </cell>
          <cell r="H1338">
            <v>120</v>
          </cell>
          <cell r="I1338">
            <v>84</v>
          </cell>
          <cell r="J1338">
            <v>60</v>
          </cell>
          <cell r="K1338">
            <v>96</v>
          </cell>
          <cell r="L1338">
            <v>110</v>
          </cell>
          <cell r="M1338">
            <v>550</v>
          </cell>
          <cell r="N1338" t="str">
            <v>defiant</v>
          </cell>
          <cell r="Q1338">
            <v>1.2</v>
          </cell>
          <cell r="R1338">
            <v>39.799999999999997</v>
          </cell>
          <cell r="S1338" t="str">
            <v>This Pokémon's type changes based on which mask it's wearing. It confounds its enemies with nimble movements and kicks.</v>
          </cell>
          <cell r="T1338" t="str">
            <v>https://raw.githubusercontent.com/PokeAPI/sprites/master/sprites/pokemon/other/official-artwork/1017.png</v>
          </cell>
          <cell r="U1338" t="str">
            <v>https://raw.githubusercontent.com/PokeAPI/sprites/master/sprites/pokemon/other/official-artwork/shiny/1017.png</v>
          </cell>
        </row>
        <row r="1339">
          <cell r="A1339">
            <v>1017</v>
          </cell>
          <cell r="C1339" t="str">
            <v>Ogerpon Cornerstone Mask</v>
          </cell>
          <cell r="D1339" t="str">
            <v>Other</v>
          </cell>
          <cell r="E1339" t="str">
            <v>grass</v>
          </cell>
          <cell r="F1339" t="str">
            <v>rock</v>
          </cell>
          <cell r="G1339">
            <v>80</v>
          </cell>
          <cell r="H1339">
            <v>120</v>
          </cell>
          <cell r="I1339">
            <v>84</v>
          </cell>
          <cell r="J1339">
            <v>60</v>
          </cell>
          <cell r="K1339">
            <v>96</v>
          </cell>
          <cell r="L1339">
            <v>110</v>
          </cell>
          <cell r="M1339">
            <v>550</v>
          </cell>
          <cell r="N1339" t="str">
            <v>sturdy</v>
          </cell>
          <cell r="Q1339">
            <v>1.2</v>
          </cell>
          <cell r="R1339">
            <v>39.799999999999997</v>
          </cell>
          <cell r="S1339" t="str">
            <v>This Pokémon's type changes based on which mask it's wearing. It confounds its enemies with nimble movements and kicks.</v>
          </cell>
          <cell r="T1339" t="str">
            <v>https://raw.githubusercontent.com/PokeAPI/sprites/master/sprites/pokemon/other/official-artwork/10275.png</v>
          </cell>
          <cell r="U1339" t="str">
            <v>https://raw.githubusercontent.com/PokeAPI/sprites/master/sprites/pokemon/other/official-artwork/shiny/10275.png</v>
          </cell>
        </row>
        <row r="1340">
          <cell r="A1340">
            <v>1017</v>
          </cell>
          <cell r="C1340" t="str">
            <v>Ogerpon Hearthflame Mask</v>
          </cell>
          <cell r="D1340" t="str">
            <v>Other</v>
          </cell>
          <cell r="E1340" t="str">
            <v>grass</v>
          </cell>
          <cell r="F1340" t="str">
            <v>fire</v>
          </cell>
          <cell r="G1340">
            <v>80</v>
          </cell>
          <cell r="H1340">
            <v>120</v>
          </cell>
          <cell r="I1340">
            <v>84</v>
          </cell>
          <cell r="J1340">
            <v>60</v>
          </cell>
          <cell r="K1340">
            <v>96</v>
          </cell>
          <cell r="L1340">
            <v>110</v>
          </cell>
          <cell r="M1340">
            <v>550</v>
          </cell>
          <cell r="N1340" t="str">
            <v>mold-breaker</v>
          </cell>
          <cell r="Q1340">
            <v>1.2</v>
          </cell>
          <cell r="R1340">
            <v>39.799999999999997</v>
          </cell>
          <cell r="S1340" t="str">
            <v>This Pokémon's type changes based on which mask it's wearing. It confounds its enemies with nimble movements and kicks.</v>
          </cell>
          <cell r="T1340" t="str">
            <v>https://raw.githubusercontent.com/PokeAPI/sprites/master/sprites/pokemon/other/official-artwork/10274.png</v>
          </cell>
          <cell r="U1340" t="str">
            <v>https://raw.githubusercontent.com/PokeAPI/sprites/master/sprites/pokemon/other/official-artwork/shiny/10274.png</v>
          </cell>
        </row>
        <row r="1341">
          <cell r="A1341">
            <v>1017</v>
          </cell>
          <cell r="C1341" t="str">
            <v>Ogerpon Wellspring Mask</v>
          </cell>
          <cell r="D1341" t="str">
            <v>Other</v>
          </cell>
          <cell r="E1341" t="str">
            <v>grass</v>
          </cell>
          <cell r="F1341" t="str">
            <v>water</v>
          </cell>
          <cell r="G1341">
            <v>80</v>
          </cell>
          <cell r="H1341">
            <v>120</v>
          </cell>
          <cell r="I1341">
            <v>84</v>
          </cell>
          <cell r="J1341">
            <v>60</v>
          </cell>
          <cell r="K1341">
            <v>96</v>
          </cell>
          <cell r="L1341">
            <v>110</v>
          </cell>
          <cell r="M1341">
            <v>550</v>
          </cell>
          <cell r="N1341" t="str">
            <v>water-absorb</v>
          </cell>
          <cell r="Q1341">
            <v>1.2</v>
          </cell>
          <cell r="R1341">
            <v>39.799999999999997</v>
          </cell>
          <cell r="S1341" t="str">
            <v>This Pokémon's type changes based on which mask it's wearing. It confounds its enemies with nimble movements and kicks.</v>
          </cell>
          <cell r="T1341" t="str">
            <v>https://raw.githubusercontent.com/PokeAPI/sprites/master/sprites/pokemon/other/official-artwork/10273.png</v>
          </cell>
          <cell r="U1341" t="str">
            <v>https://raw.githubusercontent.com/PokeAPI/sprites/master/sprites/pokemon/other/official-artwork/shiny/10273.png</v>
          </cell>
        </row>
        <row r="1342">
          <cell r="A1342">
            <v>1018</v>
          </cell>
          <cell r="C1342" t="str">
            <v>Archaludon</v>
          </cell>
          <cell r="D1342" t="str">
            <v>Standard</v>
          </cell>
          <cell r="E1342" t="str">
            <v>steel</v>
          </cell>
          <cell r="F1342" t="str">
            <v>dragon</v>
          </cell>
          <cell r="G1342">
            <v>90</v>
          </cell>
          <cell r="H1342">
            <v>105</v>
          </cell>
          <cell r="I1342">
            <v>130</v>
          </cell>
          <cell r="J1342">
            <v>125</v>
          </cell>
          <cell r="K1342">
            <v>65</v>
          </cell>
          <cell r="L1342">
            <v>85</v>
          </cell>
          <cell r="M1342">
            <v>600</v>
          </cell>
          <cell r="N1342" t="str">
            <v>stamina</v>
          </cell>
          <cell r="O1342" t="str">
            <v>sturdy</v>
          </cell>
          <cell r="P1342" t="str">
            <v>stalwart</v>
          </cell>
          <cell r="Q1342">
            <v>2</v>
          </cell>
          <cell r="R1342">
            <v>60</v>
          </cell>
          <cell r="S1342" t="str">
            <v>It gathers static electricity from its surroundings. The beams it launches when down on all fours are tremendously powerful.</v>
          </cell>
          <cell r="T1342" t="str">
            <v>https://raw.githubusercontent.com/PokeAPI/sprites/master/sprites/pokemon/other/official-artwork/1018.png</v>
          </cell>
          <cell r="U1342" t="str">
            <v>https://raw.githubusercontent.com/PokeAPI/sprites/master/sprites/pokemon/other/official-artwork/shiny/1018.png</v>
          </cell>
        </row>
        <row r="1343">
          <cell r="A1343">
            <v>1019</v>
          </cell>
          <cell r="C1343" t="str">
            <v>Hydrapple</v>
          </cell>
          <cell r="D1343" t="str">
            <v>Standard</v>
          </cell>
          <cell r="E1343" t="str">
            <v>grass</v>
          </cell>
          <cell r="F1343" t="str">
            <v>dragon</v>
          </cell>
          <cell r="G1343">
            <v>106</v>
          </cell>
          <cell r="H1343">
            <v>80</v>
          </cell>
          <cell r="I1343">
            <v>110</v>
          </cell>
          <cell r="J1343">
            <v>120</v>
          </cell>
          <cell r="K1343">
            <v>80</v>
          </cell>
          <cell r="L1343">
            <v>44</v>
          </cell>
          <cell r="M1343">
            <v>540</v>
          </cell>
          <cell r="N1343" t="str">
            <v>supersweet-syrup</v>
          </cell>
          <cell r="O1343" t="str">
            <v>regenerator</v>
          </cell>
          <cell r="P1343" t="str">
            <v>sticky-hold</v>
          </cell>
          <cell r="Q1343">
            <v>1.8</v>
          </cell>
          <cell r="R1343">
            <v>93</v>
          </cell>
          <cell r="S1343" t="str">
            <v>Seven syrpents live inside an apple made of syrup. The syrpent in the center is the commander.</v>
          </cell>
          <cell r="T1343" t="str">
            <v>https://raw.githubusercontent.com/PokeAPI/sprites/master/sprites/pokemon/other/official-artwork/1019.png</v>
          </cell>
          <cell r="U1343" t="str">
            <v>https://raw.githubusercontent.com/PokeAPI/sprites/master/sprites/pokemon/other/official-artwork/shiny/1019.png</v>
          </cell>
        </row>
        <row r="1344">
          <cell r="A1344">
            <v>1020</v>
          </cell>
          <cell r="C1344" t="str">
            <v>Gouging Fire</v>
          </cell>
          <cell r="D1344" t="str">
            <v>Other</v>
          </cell>
          <cell r="E1344" t="str">
            <v>fire</v>
          </cell>
          <cell r="F1344" t="str">
            <v>dragon</v>
          </cell>
          <cell r="G1344">
            <v>105</v>
          </cell>
          <cell r="H1344">
            <v>115</v>
          </cell>
          <cell r="I1344">
            <v>121</v>
          </cell>
          <cell r="J1344">
            <v>65</v>
          </cell>
          <cell r="K1344">
            <v>93</v>
          </cell>
          <cell r="L1344">
            <v>91</v>
          </cell>
          <cell r="M1344">
            <v>590</v>
          </cell>
          <cell r="N1344" t="str">
            <v>protosynthesis</v>
          </cell>
          <cell r="Q1344">
            <v>3.5</v>
          </cell>
          <cell r="R1344">
            <v>590</v>
          </cell>
          <cell r="S1344" t="str">
            <v>There are scant few reports of this creature being sighted. One short video shows it rampaging and spouting pillars of flame.</v>
          </cell>
          <cell r="T1344" t="str">
            <v>https://raw.githubusercontent.com/PokeAPI/sprites/master/sprites/pokemon/other/official-artwork/1020.png</v>
          </cell>
          <cell r="U1344" t="str">
            <v>https://raw.githubusercontent.com/PokeAPI/sprites/master/sprites/pokemon/other/official-artwork/shiny/1020.png</v>
          </cell>
        </row>
        <row r="1345">
          <cell r="A1345">
            <v>1021</v>
          </cell>
          <cell r="C1345" t="str">
            <v>Raging Bolt</v>
          </cell>
          <cell r="D1345" t="str">
            <v>Other</v>
          </cell>
          <cell r="E1345" t="str">
            <v>electric</v>
          </cell>
          <cell r="F1345" t="str">
            <v>dragon</v>
          </cell>
          <cell r="G1345">
            <v>125</v>
          </cell>
          <cell r="H1345">
            <v>73</v>
          </cell>
          <cell r="I1345">
            <v>91</v>
          </cell>
          <cell r="J1345">
            <v>137</v>
          </cell>
          <cell r="K1345">
            <v>89</v>
          </cell>
          <cell r="L1345">
            <v>75</v>
          </cell>
          <cell r="M1345">
            <v>590</v>
          </cell>
          <cell r="N1345" t="str">
            <v>protosynthesis</v>
          </cell>
          <cell r="Q1345">
            <v>5.2</v>
          </cell>
          <cell r="R1345">
            <v>480</v>
          </cell>
          <cell r="S1345" t="str">
            <v>It's said to incinerate everything around it with lightning launched from its fur. Very little is known about this creature.</v>
          </cell>
          <cell r="T1345" t="str">
            <v>https://raw.githubusercontent.com/PokeAPI/sprites/master/sprites/pokemon/other/official-artwork/1021.png</v>
          </cell>
          <cell r="U1345" t="str">
            <v>https://raw.githubusercontent.com/PokeAPI/sprites/master/sprites/pokemon/other/official-artwork/shiny/1021.png</v>
          </cell>
        </row>
        <row r="1346">
          <cell r="A1346">
            <v>1022</v>
          </cell>
          <cell r="C1346" t="str">
            <v>Iron Boulder</v>
          </cell>
          <cell r="D1346" t="str">
            <v>Other</v>
          </cell>
          <cell r="E1346" t="str">
            <v>rock</v>
          </cell>
          <cell r="F1346" t="str">
            <v>psychic</v>
          </cell>
          <cell r="G1346">
            <v>90</v>
          </cell>
          <cell r="H1346">
            <v>120</v>
          </cell>
          <cell r="I1346">
            <v>80</v>
          </cell>
          <cell r="J1346">
            <v>68</v>
          </cell>
          <cell r="K1346">
            <v>108</v>
          </cell>
          <cell r="L1346">
            <v>124</v>
          </cell>
          <cell r="M1346">
            <v>590</v>
          </cell>
          <cell r="N1346" t="str">
            <v>quark-drive</v>
          </cell>
          <cell r="Q1346">
            <v>1.5</v>
          </cell>
          <cell r="R1346">
            <v>162.5</v>
          </cell>
          <cell r="S1346" t="str">
            <v>It resembles a Pokémon described in a dubious magazine as a Terrakion that had been modified by an evil organization.</v>
          </cell>
          <cell r="T1346" t="str">
            <v>https://raw.githubusercontent.com/PokeAPI/sprites/master/sprites/pokemon/other/official-artwork/1022.png</v>
          </cell>
          <cell r="U1346" t="str">
            <v>https://raw.githubusercontent.com/PokeAPI/sprites/master/sprites/pokemon/other/official-artwork/shiny/1022.png</v>
          </cell>
        </row>
        <row r="1347">
          <cell r="A1347">
            <v>1023</v>
          </cell>
          <cell r="C1347" t="str">
            <v>Iron Crown</v>
          </cell>
          <cell r="D1347" t="str">
            <v>Other</v>
          </cell>
          <cell r="E1347" t="str">
            <v>steel</v>
          </cell>
          <cell r="F1347" t="str">
            <v>psychic</v>
          </cell>
          <cell r="G1347">
            <v>90</v>
          </cell>
          <cell r="H1347">
            <v>72</v>
          </cell>
          <cell r="I1347">
            <v>100</v>
          </cell>
          <cell r="J1347">
            <v>122</v>
          </cell>
          <cell r="K1347">
            <v>108</v>
          </cell>
          <cell r="L1347">
            <v>98</v>
          </cell>
          <cell r="M1347">
            <v>590</v>
          </cell>
          <cell r="N1347" t="str">
            <v>quark-drive</v>
          </cell>
          <cell r="Q1347">
            <v>1.6</v>
          </cell>
          <cell r="R1347">
            <v>156</v>
          </cell>
          <cell r="S1347" t="str">
            <v>It resembles a mysterious object introduced in a paranormal magazine as a cutting-edge weapon shaped like a Cobalion.</v>
          </cell>
          <cell r="T1347" t="str">
            <v>https://raw.githubusercontent.com/PokeAPI/sprites/master/sprites/pokemon/other/official-artwork/1023.png</v>
          </cell>
          <cell r="U1347" t="str">
            <v>https://raw.githubusercontent.com/PokeAPI/sprites/master/sprites/pokemon/other/official-artwork/shiny/1023.png</v>
          </cell>
        </row>
        <row r="1348">
          <cell r="A1348">
            <v>1024</v>
          </cell>
          <cell r="C1348" t="str">
            <v>Terapagos</v>
          </cell>
          <cell r="D1348" t="str">
            <v>Standard</v>
          </cell>
          <cell r="E1348" t="str">
            <v>normal</v>
          </cell>
          <cell r="G1348">
            <v>90</v>
          </cell>
          <cell r="H1348">
            <v>65</v>
          </cell>
          <cell r="I1348">
            <v>85</v>
          </cell>
          <cell r="J1348">
            <v>65</v>
          </cell>
          <cell r="K1348">
            <v>85</v>
          </cell>
          <cell r="L1348">
            <v>60</v>
          </cell>
          <cell r="M1348">
            <v>450</v>
          </cell>
          <cell r="N1348" t="str">
            <v>tera-shift</v>
          </cell>
          <cell r="Q1348">
            <v>0.2</v>
          </cell>
          <cell r="R1348">
            <v>6.5</v>
          </cell>
          <cell r="S1348" t="str">
            <v>Terapagos protects itself using its power to transform energy into hard crystals. This Pokémon is the source of the Terastal phenomenon.</v>
          </cell>
          <cell r="T1348" t="str">
            <v>https://raw.githubusercontent.com/PokeAPI/sprites/master/sprites/pokemon/other/official-artwork/1024.png</v>
          </cell>
          <cell r="U1348" t="str">
            <v>https://raw.githubusercontent.com/PokeAPI/sprites/master/sprites/pokemon/other/official-artwork/shiny/1024.png</v>
          </cell>
        </row>
        <row r="1349">
          <cell r="A1349">
            <v>1024</v>
          </cell>
          <cell r="C1349" t="str">
            <v>Terapagos Stellar</v>
          </cell>
          <cell r="D1349" t="str">
            <v>Other</v>
          </cell>
          <cell r="E1349" t="str">
            <v>normal</v>
          </cell>
          <cell r="G1349">
            <v>160</v>
          </cell>
          <cell r="H1349">
            <v>105</v>
          </cell>
          <cell r="I1349">
            <v>110</v>
          </cell>
          <cell r="J1349">
            <v>130</v>
          </cell>
          <cell r="K1349">
            <v>110</v>
          </cell>
          <cell r="L1349">
            <v>85</v>
          </cell>
          <cell r="M1349">
            <v>700</v>
          </cell>
          <cell r="N1349" t="str">
            <v>teraform-zero</v>
          </cell>
          <cell r="Q1349">
            <v>1.7</v>
          </cell>
          <cell r="R1349">
            <v>77</v>
          </cell>
          <cell r="S1349" t="str">
            <v>Terapagos protects itself using its power to transform energy into hard crystals. This Pokémon is the source of the Terastal phenomenon.</v>
          </cell>
          <cell r="T1349" t="str">
            <v>https://raw.githubusercontent.com/PokeAPI/sprites/master/sprites/pokemon/other/official-artwork/10277.png</v>
          </cell>
          <cell r="U1349" t="str">
            <v>https://raw.githubusercontent.com/PokeAPI/sprites/master/sprites/pokemon/shiny/10277.png</v>
          </cell>
        </row>
        <row r="1350">
          <cell r="A1350">
            <v>1024</v>
          </cell>
          <cell r="C1350" t="str">
            <v>Terapagos Terastal</v>
          </cell>
          <cell r="D1350" t="str">
            <v>Other</v>
          </cell>
          <cell r="E1350" t="str">
            <v>normal</v>
          </cell>
          <cell r="G1350">
            <v>95</v>
          </cell>
          <cell r="H1350">
            <v>95</v>
          </cell>
          <cell r="I1350">
            <v>110</v>
          </cell>
          <cell r="J1350">
            <v>105</v>
          </cell>
          <cell r="K1350">
            <v>110</v>
          </cell>
          <cell r="L1350">
            <v>85</v>
          </cell>
          <cell r="M1350">
            <v>600</v>
          </cell>
          <cell r="N1350" t="str">
            <v>tera-shell</v>
          </cell>
          <cell r="Q1350">
            <v>0.3</v>
          </cell>
          <cell r="R1350">
            <v>16</v>
          </cell>
          <cell r="S1350" t="str">
            <v>Terapagos protects itself using its power to transform energy into hard crystals. This Pokémon is the source of the Terastal phenomenon.</v>
          </cell>
          <cell r="T1350" t="str">
            <v>https://raw.githubusercontent.com/PokeAPI/sprites/master/sprites/pokemon/other/official-artwork/10276.png</v>
          </cell>
          <cell r="U1350" t="str">
            <v>https://raw.githubusercontent.com/PokeAPI/sprites/master/sprites/pokemon/other/official-artwork/shiny/10276.png</v>
          </cell>
        </row>
        <row r="1351">
          <cell r="A1351">
            <v>1025</v>
          </cell>
          <cell r="C1351" t="str">
            <v>Pecharunt</v>
          </cell>
          <cell r="D1351" t="str">
            <v>Standard</v>
          </cell>
          <cell r="E1351" t="str">
            <v>poison</v>
          </cell>
          <cell r="F1351" t="str">
            <v>ghost</v>
          </cell>
          <cell r="G1351">
            <v>88</v>
          </cell>
          <cell r="H1351">
            <v>88</v>
          </cell>
          <cell r="I1351">
            <v>160</v>
          </cell>
          <cell r="J1351">
            <v>88</v>
          </cell>
          <cell r="K1351">
            <v>88</v>
          </cell>
          <cell r="L1351">
            <v>88</v>
          </cell>
          <cell r="M1351">
            <v>600</v>
          </cell>
          <cell r="N1351" t="str">
            <v>poison-puppeteer</v>
          </cell>
          <cell r="Q1351">
            <v>0.3</v>
          </cell>
          <cell r="R1351">
            <v>0.3</v>
          </cell>
          <cell r="S1351" t="str">
            <v>It feeds others toxic mochi that draw out desires and capabilities. Those who eat the mochi fall under Pecharunt’s control, chained to its will.</v>
          </cell>
          <cell r="T1351" t="str">
            <v>https://raw.githubusercontent.com/PokeAPI/sprites/master/sprites/pokemon/other/official-artwork/1025.png</v>
          </cell>
          <cell r="U1351" t="str">
            <v>https://raw.githubusercontent.com/PokeAPI/sprites/master/sprites/pokemon/other/official-artwork/shiny/1025.png</v>
          </cell>
        </row>
      </sheetData>
      <sheetData sheetId="1" refreshError="1"/>
      <sheetData sheetId="2">
        <row r="2">
          <cell r="B2" t="str">
            <v>10 000 000 Volt Thunderbolt</v>
          </cell>
        </row>
        <row r="3">
          <cell r="B3" t="str">
            <v>Absorb</v>
          </cell>
        </row>
        <row r="4">
          <cell r="B4" t="str">
            <v>Accelerock</v>
          </cell>
        </row>
        <row r="5">
          <cell r="B5" t="str">
            <v>Acid</v>
          </cell>
        </row>
        <row r="6">
          <cell r="B6" t="str">
            <v>Acid Armor</v>
          </cell>
        </row>
        <row r="7">
          <cell r="B7" t="str">
            <v>Acid Downpour Physical</v>
          </cell>
        </row>
        <row r="8">
          <cell r="B8" t="str">
            <v>Acid Downpour Special</v>
          </cell>
        </row>
        <row r="9">
          <cell r="B9" t="str">
            <v>Acid Spray</v>
          </cell>
        </row>
        <row r="10">
          <cell r="B10" t="str">
            <v>Acrobatics</v>
          </cell>
        </row>
        <row r="11">
          <cell r="B11" t="str">
            <v>Acupressure</v>
          </cell>
        </row>
        <row r="12">
          <cell r="B12" t="str">
            <v>Aerial Ace</v>
          </cell>
        </row>
        <row r="13">
          <cell r="B13" t="str">
            <v>Aeroblast</v>
          </cell>
        </row>
        <row r="14">
          <cell r="B14" t="str">
            <v>After You</v>
          </cell>
        </row>
        <row r="15">
          <cell r="B15" t="str">
            <v>Agility</v>
          </cell>
        </row>
        <row r="16">
          <cell r="B16" t="str">
            <v>Air Cutter</v>
          </cell>
        </row>
        <row r="17">
          <cell r="B17" t="str">
            <v>Air Slash</v>
          </cell>
        </row>
        <row r="18">
          <cell r="B18" t="str">
            <v>All Out Pummeling Physical</v>
          </cell>
        </row>
        <row r="19">
          <cell r="B19" t="str">
            <v>All Out Pummeling Special</v>
          </cell>
        </row>
        <row r="20">
          <cell r="B20" t="str">
            <v>Alluring Voice</v>
          </cell>
        </row>
        <row r="21">
          <cell r="B21" t="str">
            <v>Ally Switch</v>
          </cell>
        </row>
        <row r="22">
          <cell r="B22" t="str">
            <v>Amnesia</v>
          </cell>
        </row>
        <row r="23">
          <cell r="B23" t="str">
            <v>Anchor Shot</v>
          </cell>
        </row>
        <row r="24">
          <cell r="B24" t="str">
            <v>Ancient Power</v>
          </cell>
        </row>
        <row r="25">
          <cell r="B25" t="str">
            <v>Apple Acid</v>
          </cell>
        </row>
        <row r="26">
          <cell r="B26" t="str">
            <v>Aqua Cutter</v>
          </cell>
        </row>
        <row r="27">
          <cell r="B27" t="str">
            <v>Aqua Jet</v>
          </cell>
        </row>
        <row r="28">
          <cell r="B28" t="str">
            <v>Aqua Ring</v>
          </cell>
        </row>
        <row r="29">
          <cell r="B29" t="str">
            <v>Aqua Step</v>
          </cell>
        </row>
        <row r="30">
          <cell r="B30" t="str">
            <v>Aqua Tail</v>
          </cell>
        </row>
        <row r="31">
          <cell r="B31" t="str">
            <v>Arm Thrust</v>
          </cell>
        </row>
        <row r="32">
          <cell r="B32" t="str">
            <v>Armor Cannon</v>
          </cell>
        </row>
        <row r="33">
          <cell r="B33" t="str">
            <v>Aromatherapy</v>
          </cell>
        </row>
        <row r="34">
          <cell r="B34" t="str">
            <v>Aromatic Mist</v>
          </cell>
        </row>
        <row r="35">
          <cell r="B35" t="str">
            <v>Assist</v>
          </cell>
        </row>
        <row r="36">
          <cell r="B36" t="str">
            <v>Assurance</v>
          </cell>
        </row>
        <row r="37">
          <cell r="B37" t="str">
            <v>Astonish</v>
          </cell>
        </row>
        <row r="38">
          <cell r="B38" t="str">
            <v>Astral Barrage</v>
          </cell>
        </row>
        <row r="39">
          <cell r="B39" t="str">
            <v>Attack Order</v>
          </cell>
        </row>
        <row r="40">
          <cell r="B40" t="str">
            <v>Attract</v>
          </cell>
        </row>
        <row r="41">
          <cell r="B41" t="str">
            <v>Aura Sphere</v>
          </cell>
        </row>
        <row r="42">
          <cell r="B42" t="str">
            <v>Aura Wheel</v>
          </cell>
        </row>
        <row r="43">
          <cell r="B43" t="str">
            <v>Aurora Beam</v>
          </cell>
        </row>
        <row r="44">
          <cell r="B44" t="str">
            <v>Aurora Veil</v>
          </cell>
        </row>
        <row r="45">
          <cell r="B45" t="str">
            <v>Autotomize</v>
          </cell>
        </row>
        <row r="46">
          <cell r="B46" t="str">
            <v>Avalanche</v>
          </cell>
        </row>
        <row r="47">
          <cell r="B47" t="str">
            <v>Axe Kick</v>
          </cell>
        </row>
        <row r="48">
          <cell r="B48" t="str">
            <v>Baby Doll Eyes</v>
          </cell>
        </row>
        <row r="49">
          <cell r="B49" t="str">
            <v>Baddy Bad</v>
          </cell>
        </row>
        <row r="50">
          <cell r="B50" t="str">
            <v>Baneful Bunker</v>
          </cell>
        </row>
        <row r="51">
          <cell r="B51" t="str">
            <v>Barb Barrage</v>
          </cell>
        </row>
        <row r="52">
          <cell r="B52" t="str">
            <v>Barrage</v>
          </cell>
        </row>
        <row r="53">
          <cell r="B53" t="str">
            <v>Barrier</v>
          </cell>
        </row>
        <row r="54">
          <cell r="B54" t="str">
            <v>Baton Pass</v>
          </cell>
        </row>
        <row r="55">
          <cell r="B55" t="str">
            <v>Beak Blast</v>
          </cell>
        </row>
        <row r="56">
          <cell r="B56" t="str">
            <v>Beat Up</v>
          </cell>
        </row>
        <row r="57">
          <cell r="B57" t="str">
            <v>Behemoth Bash</v>
          </cell>
        </row>
        <row r="58">
          <cell r="B58" t="str">
            <v>Behemoth Blade</v>
          </cell>
        </row>
        <row r="59">
          <cell r="B59" t="str">
            <v>Belch</v>
          </cell>
        </row>
        <row r="60">
          <cell r="B60" t="str">
            <v>Belly Drum</v>
          </cell>
        </row>
        <row r="61">
          <cell r="B61" t="str">
            <v>Bestow</v>
          </cell>
        </row>
        <row r="62">
          <cell r="B62" t="str">
            <v>Bide</v>
          </cell>
        </row>
        <row r="63">
          <cell r="B63" t="str">
            <v>Bind</v>
          </cell>
        </row>
        <row r="64">
          <cell r="B64" t="str">
            <v>Bite</v>
          </cell>
        </row>
        <row r="65">
          <cell r="B65" t="str">
            <v>Bitter Blade</v>
          </cell>
        </row>
        <row r="66">
          <cell r="B66" t="str">
            <v>Bitter Malice</v>
          </cell>
        </row>
        <row r="67">
          <cell r="B67" t="str">
            <v>Black Hole Eclipse Physical</v>
          </cell>
        </row>
        <row r="68">
          <cell r="B68" t="str">
            <v>Black Hole Eclipse Special</v>
          </cell>
        </row>
        <row r="69">
          <cell r="B69" t="str">
            <v>Blast Burn</v>
          </cell>
        </row>
        <row r="70">
          <cell r="B70" t="str">
            <v>Blaze Kick</v>
          </cell>
        </row>
        <row r="71">
          <cell r="B71" t="str">
            <v>Blazing Torque</v>
          </cell>
        </row>
        <row r="72">
          <cell r="B72" t="str">
            <v>Bleakwind Storm</v>
          </cell>
        </row>
        <row r="73">
          <cell r="B73" t="str">
            <v>Blizzard</v>
          </cell>
        </row>
        <row r="74">
          <cell r="B74" t="str">
            <v>Block</v>
          </cell>
        </row>
        <row r="75">
          <cell r="B75" t="str">
            <v>Blood Moon</v>
          </cell>
        </row>
        <row r="76">
          <cell r="B76" t="str">
            <v>Bloom Doom Physical</v>
          </cell>
        </row>
        <row r="77">
          <cell r="B77" t="str">
            <v>Bloom Doom Special</v>
          </cell>
        </row>
        <row r="78">
          <cell r="B78" t="str">
            <v>Blue Flare</v>
          </cell>
        </row>
        <row r="79">
          <cell r="B79" t="str">
            <v>Body Press</v>
          </cell>
        </row>
        <row r="80">
          <cell r="B80" t="str">
            <v>Body Slam</v>
          </cell>
        </row>
        <row r="81">
          <cell r="B81" t="str">
            <v>Bolt Beak</v>
          </cell>
        </row>
        <row r="82">
          <cell r="B82" t="str">
            <v>Bolt Strike</v>
          </cell>
        </row>
        <row r="83">
          <cell r="B83" t="str">
            <v>Bone Club</v>
          </cell>
        </row>
        <row r="84">
          <cell r="B84" t="str">
            <v>Bone Rush</v>
          </cell>
        </row>
        <row r="85">
          <cell r="B85" t="str">
            <v>Bonemerang</v>
          </cell>
        </row>
        <row r="86">
          <cell r="B86" t="str">
            <v>Boomburst</v>
          </cell>
        </row>
        <row r="87">
          <cell r="B87" t="str">
            <v>Bounce</v>
          </cell>
        </row>
        <row r="88">
          <cell r="B88" t="str">
            <v>Bouncy Bubble</v>
          </cell>
        </row>
        <row r="89">
          <cell r="B89" t="str">
            <v>Branch Poke</v>
          </cell>
        </row>
        <row r="90">
          <cell r="B90" t="str">
            <v>Brave Bird</v>
          </cell>
        </row>
        <row r="91">
          <cell r="B91" t="str">
            <v>Breaking Swipe</v>
          </cell>
        </row>
        <row r="92">
          <cell r="B92" t="str">
            <v>Breakneck Blitz Physical</v>
          </cell>
        </row>
        <row r="93">
          <cell r="B93" t="str">
            <v>Breakneck Blitz Special</v>
          </cell>
        </row>
        <row r="94">
          <cell r="B94" t="str">
            <v>Brick Break</v>
          </cell>
        </row>
        <row r="95">
          <cell r="B95" t="str">
            <v>Brine</v>
          </cell>
        </row>
        <row r="96">
          <cell r="B96" t="str">
            <v>Brutal Swing</v>
          </cell>
        </row>
        <row r="97">
          <cell r="B97" t="str">
            <v>Bubble</v>
          </cell>
        </row>
        <row r="98">
          <cell r="B98" t="str">
            <v>Bubble Beam</v>
          </cell>
        </row>
        <row r="99">
          <cell r="B99" t="str">
            <v>Bug Bite</v>
          </cell>
        </row>
        <row r="100">
          <cell r="B100" t="str">
            <v>Bug Buzz</v>
          </cell>
        </row>
        <row r="101">
          <cell r="B101" t="str">
            <v>Bulk Up</v>
          </cell>
        </row>
        <row r="102">
          <cell r="B102" t="str">
            <v>Bulldoze</v>
          </cell>
        </row>
        <row r="103">
          <cell r="B103" t="str">
            <v>Bullet Punch</v>
          </cell>
        </row>
        <row r="104">
          <cell r="B104" t="str">
            <v>Bullet Seed</v>
          </cell>
        </row>
        <row r="105">
          <cell r="B105" t="str">
            <v>Burn Up</v>
          </cell>
        </row>
        <row r="106">
          <cell r="B106" t="str">
            <v>Burning Bulwark</v>
          </cell>
        </row>
        <row r="107">
          <cell r="B107" t="str">
            <v>Burning Jealousy</v>
          </cell>
        </row>
        <row r="108">
          <cell r="B108" t="str">
            <v>Buzzy Buzz</v>
          </cell>
        </row>
        <row r="109">
          <cell r="B109" t="str">
            <v>Calm Mind</v>
          </cell>
        </row>
        <row r="110">
          <cell r="B110" t="str">
            <v>Camouflage</v>
          </cell>
        </row>
        <row r="111">
          <cell r="B111" t="str">
            <v>Captivate</v>
          </cell>
        </row>
        <row r="112">
          <cell r="B112" t="str">
            <v>Catastropika</v>
          </cell>
        </row>
        <row r="113">
          <cell r="B113" t="str">
            <v>Ceaseless Edge</v>
          </cell>
        </row>
        <row r="114">
          <cell r="B114" t="str">
            <v>Celebrate</v>
          </cell>
        </row>
        <row r="115">
          <cell r="B115" t="str">
            <v>Charge</v>
          </cell>
        </row>
        <row r="116">
          <cell r="B116" t="str">
            <v>Charge Beam</v>
          </cell>
        </row>
        <row r="117">
          <cell r="B117" t="str">
            <v>Charm</v>
          </cell>
        </row>
        <row r="118">
          <cell r="B118" t="str">
            <v>Chatter</v>
          </cell>
        </row>
        <row r="119">
          <cell r="B119" t="str">
            <v>Chilling Water</v>
          </cell>
        </row>
        <row r="120">
          <cell r="B120" t="str">
            <v>Chilly Reception</v>
          </cell>
        </row>
        <row r="121">
          <cell r="B121" t="str">
            <v>Chip Away</v>
          </cell>
        </row>
        <row r="122">
          <cell r="B122" t="str">
            <v>Chloroblast</v>
          </cell>
        </row>
        <row r="123">
          <cell r="B123" t="str">
            <v>Circle Throw</v>
          </cell>
        </row>
        <row r="124">
          <cell r="B124" t="str">
            <v>Clamp</v>
          </cell>
        </row>
        <row r="125">
          <cell r="B125" t="str">
            <v>Clanging Scales</v>
          </cell>
        </row>
        <row r="126">
          <cell r="B126" t="str">
            <v>Clangorous Soul</v>
          </cell>
        </row>
        <row r="127">
          <cell r="B127" t="str">
            <v>Clangorous Soulblaze</v>
          </cell>
        </row>
        <row r="128">
          <cell r="B128" t="str">
            <v>Clear Smog</v>
          </cell>
        </row>
        <row r="129">
          <cell r="B129" t="str">
            <v>Close Combat</v>
          </cell>
        </row>
        <row r="130">
          <cell r="B130" t="str">
            <v>Coaching</v>
          </cell>
        </row>
        <row r="131">
          <cell r="B131" t="str">
            <v>Coil</v>
          </cell>
        </row>
        <row r="132">
          <cell r="B132" t="str">
            <v>Collision Course</v>
          </cell>
        </row>
        <row r="133">
          <cell r="B133" t="str">
            <v>Combat Torque</v>
          </cell>
        </row>
        <row r="134">
          <cell r="B134" t="str">
            <v>Comet Punch</v>
          </cell>
        </row>
        <row r="135">
          <cell r="B135" t="str">
            <v>Comeuppance</v>
          </cell>
        </row>
        <row r="136">
          <cell r="B136" t="str">
            <v>Confide</v>
          </cell>
        </row>
        <row r="137">
          <cell r="B137" t="str">
            <v>Confuse Ray</v>
          </cell>
        </row>
        <row r="138">
          <cell r="B138" t="str">
            <v>Confusion</v>
          </cell>
        </row>
        <row r="139">
          <cell r="B139" t="str">
            <v>Constrict</v>
          </cell>
        </row>
        <row r="140">
          <cell r="B140" t="str">
            <v>Continental Crush Physical</v>
          </cell>
        </row>
        <row r="141">
          <cell r="B141" t="str">
            <v>Continental Crush Special</v>
          </cell>
        </row>
        <row r="142">
          <cell r="B142" t="str">
            <v>Conversion</v>
          </cell>
        </row>
        <row r="143">
          <cell r="B143" t="str">
            <v>Conversion 2</v>
          </cell>
        </row>
        <row r="144">
          <cell r="B144" t="str">
            <v>Copycat</v>
          </cell>
        </row>
        <row r="145">
          <cell r="B145" t="str">
            <v>Core Enforcer</v>
          </cell>
        </row>
        <row r="146">
          <cell r="B146" t="str">
            <v>Corkscrew Crash Physical</v>
          </cell>
        </row>
        <row r="147">
          <cell r="B147" t="str">
            <v>Corkscrew Crash Special</v>
          </cell>
        </row>
        <row r="148">
          <cell r="B148" t="str">
            <v>Corrosive Gas</v>
          </cell>
        </row>
        <row r="149">
          <cell r="B149" t="str">
            <v>Cosmic Power</v>
          </cell>
        </row>
        <row r="150">
          <cell r="B150" t="str">
            <v>Cotton Guard</v>
          </cell>
        </row>
        <row r="151">
          <cell r="B151" t="str">
            <v>Cotton Spore</v>
          </cell>
        </row>
        <row r="152">
          <cell r="B152" t="str">
            <v>Counter</v>
          </cell>
        </row>
        <row r="153">
          <cell r="B153" t="str">
            <v>Court Change</v>
          </cell>
        </row>
        <row r="154">
          <cell r="B154" t="str">
            <v>Covet</v>
          </cell>
        </row>
        <row r="155">
          <cell r="B155" t="str">
            <v>Crabhammer</v>
          </cell>
        </row>
        <row r="156">
          <cell r="B156" t="str">
            <v>Crafty Shield</v>
          </cell>
        </row>
        <row r="157">
          <cell r="B157" t="str">
            <v>Cross Chop</v>
          </cell>
        </row>
        <row r="158">
          <cell r="B158" t="str">
            <v>Cross Poison</v>
          </cell>
        </row>
        <row r="159">
          <cell r="B159" t="str">
            <v>Crunch</v>
          </cell>
        </row>
        <row r="160">
          <cell r="B160" t="str">
            <v>Crush Claw</v>
          </cell>
        </row>
        <row r="161">
          <cell r="B161" t="str">
            <v>Crush Grip</v>
          </cell>
        </row>
        <row r="162">
          <cell r="B162" t="str">
            <v>Curse</v>
          </cell>
        </row>
        <row r="163">
          <cell r="B163" t="str">
            <v>Cut</v>
          </cell>
        </row>
        <row r="164">
          <cell r="B164" t="str">
            <v>Dark Pulse</v>
          </cell>
        </row>
        <row r="165">
          <cell r="B165" t="str">
            <v>Dark Void</v>
          </cell>
        </row>
        <row r="166">
          <cell r="B166" t="str">
            <v>Darkest Lariat</v>
          </cell>
        </row>
        <row r="167">
          <cell r="B167" t="str">
            <v>Dazzling Gleam</v>
          </cell>
        </row>
        <row r="168">
          <cell r="B168" t="str">
            <v>Decorate</v>
          </cell>
        </row>
        <row r="169">
          <cell r="B169" t="str">
            <v>Defend Order</v>
          </cell>
        </row>
        <row r="170">
          <cell r="B170" t="str">
            <v>Defense Curl</v>
          </cell>
        </row>
        <row r="171">
          <cell r="B171" t="str">
            <v>Defog</v>
          </cell>
        </row>
        <row r="172">
          <cell r="B172" t="str">
            <v>Destiny Bond</v>
          </cell>
        </row>
        <row r="173">
          <cell r="B173" t="str">
            <v>Detect</v>
          </cell>
        </row>
        <row r="174">
          <cell r="B174" t="str">
            <v>Devastating Drake Physical</v>
          </cell>
        </row>
        <row r="175">
          <cell r="B175" t="str">
            <v>Devastating Drake Special</v>
          </cell>
        </row>
        <row r="176">
          <cell r="B176" t="str">
            <v>Diamond Storm</v>
          </cell>
        </row>
        <row r="177">
          <cell r="B177" t="str">
            <v>Dig</v>
          </cell>
        </row>
        <row r="178">
          <cell r="B178" t="str">
            <v>Dire Claw</v>
          </cell>
        </row>
        <row r="179">
          <cell r="B179" t="str">
            <v>Disable</v>
          </cell>
        </row>
        <row r="180">
          <cell r="B180" t="str">
            <v>Disarming Voice</v>
          </cell>
        </row>
        <row r="181">
          <cell r="B181" t="str">
            <v>Discharge</v>
          </cell>
        </row>
        <row r="182">
          <cell r="B182" t="str">
            <v>Dive</v>
          </cell>
        </row>
        <row r="183">
          <cell r="B183" t="str">
            <v>Dizzy Punch</v>
          </cell>
        </row>
        <row r="184">
          <cell r="B184" t="str">
            <v>Doodle</v>
          </cell>
        </row>
        <row r="185">
          <cell r="B185" t="str">
            <v>Doom Desire</v>
          </cell>
        </row>
        <row r="186">
          <cell r="B186" t="str">
            <v>Double Edge</v>
          </cell>
        </row>
        <row r="187">
          <cell r="B187" t="str">
            <v>Double Hit</v>
          </cell>
        </row>
        <row r="188">
          <cell r="B188" t="str">
            <v>Double Iron Bash</v>
          </cell>
        </row>
        <row r="189">
          <cell r="B189" t="str">
            <v>Double Kick</v>
          </cell>
        </row>
        <row r="190">
          <cell r="B190" t="str">
            <v>Double Shock</v>
          </cell>
        </row>
        <row r="191">
          <cell r="B191" t="str">
            <v>Double Slap</v>
          </cell>
        </row>
        <row r="192">
          <cell r="B192" t="str">
            <v>Double Team</v>
          </cell>
        </row>
        <row r="193">
          <cell r="B193" t="str">
            <v>Draco Meteor</v>
          </cell>
        </row>
        <row r="194">
          <cell r="B194" t="str">
            <v>Dragon Ascent</v>
          </cell>
        </row>
        <row r="195">
          <cell r="B195" t="str">
            <v>Dragon Breath</v>
          </cell>
        </row>
        <row r="196">
          <cell r="B196" t="str">
            <v>Dragon Cheer</v>
          </cell>
        </row>
        <row r="197">
          <cell r="B197" t="str">
            <v>Dragon Claw</v>
          </cell>
        </row>
        <row r="198">
          <cell r="B198" t="str">
            <v>Dragon Dance</v>
          </cell>
        </row>
        <row r="199">
          <cell r="B199" t="str">
            <v>Dragon Darts</v>
          </cell>
        </row>
        <row r="200">
          <cell r="B200" t="str">
            <v>Dragon Energy</v>
          </cell>
        </row>
        <row r="201">
          <cell r="B201" t="str">
            <v>Dragon Hammer</v>
          </cell>
        </row>
        <row r="202">
          <cell r="B202" t="str">
            <v>Dragon Pulse</v>
          </cell>
        </row>
        <row r="203">
          <cell r="B203" t="str">
            <v>Dragon Rage</v>
          </cell>
        </row>
        <row r="204">
          <cell r="B204" t="str">
            <v>Dragon Rush</v>
          </cell>
        </row>
        <row r="205">
          <cell r="B205" t="str">
            <v>Dragon Tail</v>
          </cell>
        </row>
        <row r="206">
          <cell r="B206" t="str">
            <v>Drain Punch</v>
          </cell>
        </row>
        <row r="207">
          <cell r="B207" t="str">
            <v>Draining Kiss</v>
          </cell>
        </row>
        <row r="208">
          <cell r="B208" t="str">
            <v>Dream Eater</v>
          </cell>
        </row>
        <row r="209">
          <cell r="B209" t="str">
            <v>Drill Peck</v>
          </cell>
        </row>
        <row r="210">
          <cell r="B210" t="str">
            <v>Drill Run</v>
          </cell>
        </row>
        <row r="211">
          <cell r="B211" t="str">
            <v>Drum Beating</v>
          </cell>
        </row>
        <row r="212">
          <cell r="B212" t="str">
            <v>Dual Chop</v>
          </cell>
        </row>
        <row r="213">
          <cell r="B213" t="str">
            <v>Dual Wingbeat</v>
          </cell>
        </row>
        <row r="214">
          <cell r="B214" t="str">
            <v>Dynamax Cannon</v>
          </cell>
        </row>
        <row r="215">
          <cell r="B215" t="str">
            <v>Dynamic Punch</v>
          </cell>
        </row>
        <row r="216">
          <cell r="B216" t="str">
            <v>Earth Power</v>
          </cell>
        </row>
        <row r="217">
          <cell r="B217" t="str">
            <v>Earthquake</v>
          </cell>
        </row>
        <row r="218">
          <cell r="B218" t="str">
            <v>Echoed Voice</v>
          </cell>
        </row>
        <row r="219">
          <cell r="B219" t="str">
            <v>Eerie Impulse</v>
          </cell>
        </row>
        <row r="220">
          <cell r="B220" t="str">
            <v>Eerie Spell</v>
          </cell>
        </row>
        <row r="221">
          <cell r="B221" t="str">
            <v>Egg Bomb</v>
          </cell>
        </row>
        <row r="222">
          <cell r="B222" t="str">
            <v>Electric Terrain</v>
          </cell>
        </row>
        <row r="223">
          <cell r="B223" t="str">
            <v>Electrify</v>
          </cell>
        </row>
        <row r="224">
          <cell r="B224" t="str">
            <v>Electro Ball</v>
          </cell>
        </row>
        <row r="225">
          <cell r="B225" t="str">
            <v>Electro Drift</v>
          </cell>
        </row>
        <row r="226">
          <cell r="B226" t="str">
            <v>Electro Shot</v>
          </cell>
        </row>
        <row r="227">
          <cell r="B227" t="str">
            <v>Electroweb</v>
          </cell>
        </row>
        <row r="228">
          <cell r="B228" t="str">
            <v>Embargo</v>
          </cell>
        </row>
        <row r="229">
          <cell r="B229" t="str">
            <v>Ember</v>
          </cell>
        </row>
        <row r="230">
          <cell r="B230" t="str">
            <v>Encore</v>
          </cell>
        </row>
        <row r="231">
          <cell r="B231" t="str">
            <v>Endeavor</v>
          </cell>
        </row>
        <row r="232">
          <cell r="B232" t="str">
            <v>Endure</v>
          </cell>
        </row>
        <row r="233">
          <cell r="B233" t="str">
            <v>Energy Ball</v>
          </cell>
        </row>
        <row r="234">
          <cell r="B234" t="str">
            <v>Entrainment</v>
          </cell>
        </row>
        <row r="235">
          <cell r="B235" t="str">
            <v>Eruption</v>
          </cell>
        </row>
        <row r="236">
          <cell r="B236" t="str">
            <v>Esper Wing</v>
          </cell>
        </row>
        <row r="237">
          <cell r="B237" t="str">
            <v>Eternabeam</v>
          </cell>
        </row>
        <row r="238">
          <cell r="B238" t="str">
            <v>Expanding Force</v>
          </cell>
        </row>
        <row r="239">
          <cell r="B239" t="str">
            <v>Explosion</v>
          </cell>
        </row>
        <row r="240">
          <cell r="B240" t="str">
            <v>Extrasensory</v>
          </cell>
        </row>
        <row r="241">
          <cell r="B241" t="str">
            <v>Extreme Evoboost</v>
          </cell>
        </row>
        <row r="242">
          <cell r="B242" t="str">
            <v>Extreme Speed</v>
          </cell>
        </row>
        <row r="243">
          <cell r="B243" t="str">
            <v>Facade</v>
          </cell>
        </row>
        <row r="244">
          <cell r="B244" t="str">
            <v>Fairy Lock</v>
          </cell>
        </row>
        <row r="245">
          <cell r="B245" t="str">
            <v>Fairy Wind</v>
          </cell>
        </row>
        <row r="246">
          <cell r="B246" t="str">
            <v>Fake Out</v>
          </cell>
        </row>
        <row r="247">
          <cell r="B247" t="str">
            <v>Fake Tears</v>
          </cell>
        </row>
        <row r="248">
          <cell r="B248" t="str">
            <v>False Surrender</v>
          </cell>
        </row>
        <row r="249">
          <cell r="B249" t="str">
            <v>False Swipe</v>
          </cell>
        </row>
        <row r="250">
          <cell r="B250" t="str">
            <v>Feather Dance</v>
          </cell>
        </row>
        <row r="251">
          <cell r="B251" t="str">
            <v>Feint</v>
          </cell>
        </row>
        <row r="252">
          <cell r="B252" t="str">
            <v>Feint Attack</v>
          </cell>
        </row>
        <row r="253">
          <cell r="B253" t="str">
            <v>Fell Stinger</v>
          </cell>
        </row>
        <row r="254">
          <cell r="B254" t="str">
            <v>Fickle Beam</v>
          </cell>
        </row>
        <row r="255">
          <cell r="B255" t="str">
            <v>Fiery Dance</v>
          </cell>
        </row>
        <row r="256">
          <cell r="B256" t="str">
            <v>Fiery Wrath</v>
          </cell>
        </row>
        <row r="257">
          <cell r="B257" t="str">
            <v>Fillet Away</v>
          </cell>
        </row>
        <row r="258">
          <cell r="B258" t="str">
            <v>Final Gambit</v>
          </cell>
        </row>
        <row r="259">
          <cell r="B259" t="str">
            <v>Fire Blast</v>
          </cell>
        </row>
        <row r="260">
          <cell r="B260" t="str">
            <v>Fire Fang</v>
          </cell>
        </row>
        <row r="261">
          <cell r="B261" t="str">
            <v>Fire Lash</v>
          </cell>
        </row>
        <row r="262">
          <cell r="B262" t="str">
            <v>Fire Pledge</v>
          </cell>
        </row>
        <row r="263">
          <cell r="B263" t="str">
            <v>Fire Punch</v>
          </cell>
        </row>
        <row r="264">
          <cell r="B264" t="str">
            <v>Fire Spin</v>
          </cell>
        </row>
        <row r="265">
          <cell r="B265" t="str">
            <v>First Impression</v>
          </cell>
        </row>
        <row r="266">
          <cell r="B266" t="str">
            <v>Fishious Rend</v>
          </cell>
        </row>
        <row r="267">
          <cell r="B267" t="str">
            <v>Fissure</v>
          </cell>
        </row>
        <row r="268">
          <cell r="B268" t="str">
            <v>Flail</v>
          </cell>
        </row>
        <row r="269">
          <cell r="B269" t="str">
            <v>Flame Burst</v>
          </cell>
        </row>
        <row r="270">
          <cell r="B270" t="str">
            <v>Flame Charge</v>
          </cell>
        </row>
        <row r="271">
          <cell r="B271" t="str">
            <v>Flame Wheel</v>
          </cell>
        </row>
        <row r="272">
          <cell r="B272" t="str">
            <v>Flamethrower</v>
          </cell>
        </row>
        <row r="273">
          <cell r="B273" t="str">
            <v>Flare Blitz</v>
          </cell>
        </row>
        <row r="274">
          <cell r="B274" t="str">
            <v>Flash</v>
          </cell>
        </row>
        <row r="275">
          <cell r="B275" t="str">
            <v>Flash Cannon</v>
          </cell>
        </row>
        <row r="276">
          <cell r="B276" t="str">
            <v>Flatter</v>
          </cell>
        </row>
        <row r="277">
          <cell r="B277" t="str">
            <v>Fleur Cannon</v>
          </cell>
        </row>
        <row r="278">
          <cell r="B278" t="str">
            <v>Fling</v>
          </cell>
        </row>
        <row r="279">
          <cell r="B279" t="str">
            <v>Flip Turn</v>
          </cell>
        </row>
        <row r="280">
          <cell r="B280" t="str">
            <v>Floaty Fall</v>
          </cell>
        </row>
        <row r="281">
          <cell r="B281" t="str">
            <v>Floral Healing</v>
          </cell>
        </row>
        <row r="282">
          <cell r="B282" t="str">
            <v>Flower Shield</v>
          </cell>
        </row>
        <row r="283">
          <cell r="B283" t="str">
            <v>Flower Trick</v>
          </cell>
        </row>
        <row r="284">
          <cell r="B284" t="str">
            <v>Fly</v>
          </cell>
        </row>
        <row r="285">
          <cell r="B285" t="str">
            <v>Flying Press</v>
          </cell>
        </row>
        <row r="286">
          <cell r="B286" t="str">
            <v>Focus Blast</v>
          </cell>
        </row>
        <row r="287">
          <cell r="B287" t="str">
            <v>Focus Energy</v>
          </cell>
        </row>
        <row r="288">
          <cell r="B288" t="str">
            <v>Focus Punch</v>
          </cell>
        </row>
        <row r="289">
          <cell r="B289" t="str">
            <v>Follow Me</v>
          </cell>
        </row>
        <row r="290">
          <cell r="B290" t="str">
            <v>Force Palm</v>
          </cell>
        </row>
        <row r="291">
          <cell r="B291" t="str">
            <v>Foresight</v>
          </cell>
        </row>
        <row r="292">
          <cell r="B292" t="str">
            <v>Forests Curse</v>
          </cell>
        </row>
        <row r="293">
          <cell r="B293" t="str">
            <v>Foul Play</v>
          </cell>
        </row>
        <row r="294">
          <cell r="B294" t="str">
            <v>Freeze Dry</v>
          </cell>
        </row>
        <row r="295">
          <cell r="B295" t="str">
            <v>Freeze Shock</v>
          </cell>
        </row>
        <row r="296">
          <cell r="B296" t="str">
            <v>Freezing Glare</v>
          </cell>
        </row>
        <row r="297">
          <cell r="B297" t="str">
            <v>Freezy Frost</v>
          </cell>
        </row>
        <row r="298">
          <cell r="B298" t="str">
            <v>Frenzy Plant</v>
          </cell>
        </row>
        <row r="299">
          <cell r="B299" t="str">
            <v>Frost Breath</v>
          </cell>
        </row>
        <row r="300">
          <cell r="B300" t="str">
            <v>Frustration</v>
          </cell>
        </row>
        <row r="301">
          <cell r="B301" t="str">
            <v>Fury Attack</v>
          </cell>
        </row>
        <row r="302">
          <cell r="B302" t="str">
            <v>Fury Cutter</v>
          </cell>
        </row>
        <row r="303">
          <cell r="B303" t="str">
            <v>Fury Swipes</v>
          </cell>
        </row>
        <row r="304">
          <cell r="B304" t="str">
            <v>Fusion Bolt</v>
          </cell>
        </row>
        <row r="305">
          <cell r="B305" t="str">
            <v>Fusion Flare</v>
          </cell>
        </row>
        <row r="306">
          <cell r="B306" t="str">
            <v>Future Sight</v>
          </cell>
        </row>
        <row r="307">
          <cell r="B307" t="str">
            <v>Gastro Acid</v>
          </cell>
        </row>
        <row r="308">
          <cell r="B308" t="str">
            <v>Gear Grind</v>
          </cell>
        </row>
        <row r="309">
          <cell r="B309" t="str">
            <v>Gear Up</v>
          </cell>
        </row>
        <row r="310">
          <cell r="B310" t="str">
            <v>Genesis Supernova</v>
          </cell>
        </row>
        <row r="311">
          <cell r="B311" t="str">
            <v>Geomancy</v>
          </cell>
        </row>
        <row r="312">
          <cell r="B312" t="str">
            <v>Giga Drain</v>
          </cell>
        </row>
        <row r="313">
          <cell r="B313" t="str">
            <v>Giga Impact</v>
          </cell>
        </row>
        <row r="314">
          <cell r="B314" t="str">
            <v>Gigaton Hammer</v>
          </cell>
        </row>
        <row r="315">
          <cell r="B315" t="str">
            <v>Gigavolt Havoc Physical</v>
          </cell>
        </row>
        <row r="316">
          <cell r="B316" t="str">
            <v>Gigavolt Havoc Special</v>
          </cell>
        </row>
        <row r="317">
          <cell r="B317" t="str">
            <v>Glacial Lance</v>
          </cell>
        </row>
        <row r="318">
          <cell r="B318" t="str">
            <v>Glaciate</v>
          </cell>
        </row>
        <row r="319">
          <cell r="B319" t="str">
            <v>Glaive Rush</v>
          </cell>
        </row>
        <row r="320">
          <cell r="B320" t="str">
            <v>Glare</v>
          </cell>
        </row>
        <row r="321">
          <cell r="B321" t="str">
            <v>Glitzy Glow</v>
          </cell>
        </row>
        <row r="322">
          <cell r="B322" t="str">
            <v>Grass Knot</v>
          </cell>
        </row>
        <row r="323">
          <cell r="B323" t="str">
            <v>Grass Pledge</v>
          </cell>
        </row>
        <row r="324">
          <cell r="B324" t="str">
            <v>Grass Whistle</v>
          </cell>
        </row>
        <row r="325">
          <cell r="B325" t="str">
            <v>Grassy Glide</v>
          </cell>
        </row>
        <row r="326">
          <cell r="B326" t="str">
            <v>Grassy Terrain</v>
          </cell>
        </row>
        <row r="327">
          <cell r="B327" t="str">
            <v>Grav Apple</v>
          </cell>
        </row>
        <row r="328">
          <cell r="B328" t="str">
            <v>Gravity</v>
          </cell>
        </row>
        <row r="329">
          <cell r="B329" t="str">
            <v>Growl</v>
          </cell>
        </row>
        <row r="330">
          <cell r="B330" t="str">
            <v>Growth</v>
          </cell>
        </row>
        <row r="331">
          <cell r="B331" t="str">
            <v>Grudge</v>
          </cell>
        </row>
        <row r="332">
          <cell r="B332" t="str">
            <v>Guard Split</v>
          </cell>
        </row>
        <row r="333">
          <cell r="B333" t="str">
            <v>Guard Swap</v>
          </cell>
        </row>
        <row r="334">
          <cell r="B334" t="str">
            <v>Guardian Of Alola</v>
          </cell>
        </row>
        <row r="335">
          <cell r="B335" t="str">
            <v>Guillotine</v>
          </cell>
        </row>
        <row r="336">
          <cell r="B336" t="str">
            <v>Gunk Shot</v>
          </cell>
        </row>
        <row r="337">
          <cell r="B337" t="str">
            <v>Gust</v>
          </cell>
        </row>
        <row r="338">
          <cell r="B338" t="str">
            <v>Gyro Ball</v>
          </cell>
        </row>
        <row r="339">
          <cell r="B339" t="str">
            <v>Hail</v>
          </cell>
        </row>
        <row r="340">
          <cell r="B340" t="str">
            <v>Hammer Arm</v>
          </cell>
        </row>
        <row r="341">
          <cell r="B341" t="str">
            <v>Happy Hour</v>
          </cell>
        </row>
        <row r="342">
          <cell r="B342" t="str">
            <v>Hard Press</v>
          </cell>
        </row>
        <row r="343">
          <cell r="B343" t="str">
            <v>Harden</v>
          </cell>
        </row>
        <row r="344">
          <cell r="B344" t="str">
            <v>Haze</v>
          </cell>
        </row>
        <row r="345">
          <cell r="B345" t="str">
            <v>Head Charge</v>
          </cell>
        </row>
        <row r="346">
          <cell r="B346" t="str">
            <v>Head Smash</v>
          </cell>
        </row>
        <row r="347">
          <cell r="B347" t="str">
            <v>Headbutt</v>
          </cell>
        </row>
        <row r="348">
          <cell r="B348" t="str">
            <v>Headlong Rush</v>
          </cell>
        </row>
        <row r="349">
          <cell r="B349" t="str">
            <v>Heal Bell</v>
          </cell>
        </row>
        <row r="350">
          <cell r="B350" t="str">
            <v>Heal Block</v>
          </cell>
        </row>
        <row r="351">
          <cell r="B351" t="str">
            <v>Heal Order</v>
          </cell>
        </row>
        <row r="352">
          <cell r="B352" t="str">
            <v>Heal Pulse</v>
          </cell>
        </row>
        <row r="353">
          <cell r="B353" t="str">
            <v>Healing Wish</v>
          </cell>
        </row>
        <row r="354">
          <cell r="B354" t="str">
            <v>Heart Stamp</v>
          </cell>
        </row>
        <row r="355">
          <cell r="B355" t="str">
            <v>Heart Swap</v>
          </cell>
        </row>
        <row r="356">
          <cell r="B356" t="str">
            <v>Heat Crash</v>
          </cell>
        </row>
        <row r="357">
          <cell r="B357" t="str">
            <v>Heat Wave</v>
          </cell>
        </row>
        <row r="358">
          <cell r="B358" t="str">
            <v>Heavy Slam</v>
          </cell>
        </row>
        <row r="359">
          <cell r="B359" t="str">
            <v>Helping Hand</v>
          </cell>
        </row>
        <row r="360">
          <cell r="B360" t="str">
            <v>Hex</v>
          </cell>
        </row>
        <row r="361">
          <cell r="B361" t="str">
            <v>Hidden Power</v>
          </cell>
        </row>
        <row r="362">
          <cell r="B362" t="str">
            <v>High Horsepower</v>
          </cell>
        </row>
        <row r="363">
          <cell r="B363" t="str">
            <v>High Jump Kick</v>
          </cell>
        </row>
        <row r="364">
          <cell r="B364" t="str">
            <v>Hold Back</v>
          </cell>
        </row>
        <row r="365">
          <cell r="B365" t="str">
            <v>Hold Hands</v>
          </cell>
        </row>
        <row r="366">
          <cell r="B366" t="str">
            <v>Hone Claws</v>
          </cell>
        </row>
        <row r="367">
          <cell r="B367" t="str">
            <v>Horn Attack</v>
          </cell>
        </row>
        <row r="368">
          <cell r="B368" t="str">
            <v>Horn Drill</v>
          </cell>
        </row>
        <row r="369">
          <cell r="B369" t="str">
            <v>Horn Leech</v>
          </cell>
        </row>
        <row r="370">
          <cell r="B370" t="str">
            <v>Howl</v>
          </cell>
        </row>
        <row r="371">
          <cell r="B371" t="str">
            <v>Hurricane</v>
          </cell>
        </row>
        <row r="372">
          <cell r="B372" t="str">
            <v>Hydro Cannon</v>
          </cell>
        </row>
        <row r="373">
          <cell r="B373" t="str">
            <v>Hydro Pump</v>
          </cell>
        </row>
        <row r="374">
          <cell r="B374" t="str">
            <v>Hydro Steam</v>
          </cell>
        </row>
        <row r="375">
          <cell r="B375" t="str">
            <v>Hydro Vortex Physical</v>
          </cell>
        </row>
        <row r="376">
          <cell r="B376" t="str">
            <v>Hydro Vortex Special</v>
          </cell>
        </row>
        <row r="377">
          <cell r="B377" t="str">
            <v>Hyper Beam</v>
          </cell>
        </row>
        <row r="378">
          <cell r="B378" t="str">
            <v>Hyper Drill</v>
          </cell>
        </row>
        <row r="379">
          <cell r="B379" t="str">
            <v>Hyper Fang</v>
          </cell>
        </row>
        <row r="380">
          <cell r="B380" t="str">
            <v>Hyper Voice</v>
          </cell>
        </row>
        <row r="381">
          <cell r="B381" t="str">
            <v>Hyperspace Fury</v>
          </cell>
        </row>
        <row r="382">
          <cell r="B382" t="str">
            <v>Hyperspace Hole</v>
          </cell>
        </row>
        <row r="383">
          <cell r="B383" t="str">
            <v>Hypnosis</v>
          </cell>
        </row>
        <row r="384">
          <cell r="B384" t="str">
            <v>Ice Ball</v>
          </cell>
        </row>
        <row r="385">
          <cell r="B385" t="str">
            <v>Ice Beam</v>
          </cell>
        </row>
        <row r="386">
          <cell r="B386" t="str">
            <v>Ice Burn</v>
          </cell>
        </row>
        <row r="387">
          <cell r="B387" t="str">
            <v>Ice Fang</v>
          </cell>
        </row>
        <row r="388">
          <cell r="B388" t="str">
            <v>Ice Hammer</v>
          </cell>
        </row>
        <row r="389">
          <cell r="B389" t="str">
            <v>Ice Punch</v>
          </cell>
        </row>
        <row r="390">
          <cell r="B390" t="str">
            <v>Ice Shard</v>
          </cell>
        </row>
        <row r="391">
          <cell r="B391" t="str">
            <v>Ice Spinner</v>
          </cell>
        </row>
        <row r="392">
          <cell r="B392" t="str">
            <v>Icicle Crash</v>
          </cell>
        </row>
        <row r="393">
          <cell r="B393" t="str">
            <v>Icicle Spear</v>
          </cell>
        </row>
        <row r="394">
          <cell r="B394" t="str">
            <v>Icy Wind</v>
          </cell>
        </row>
        <row r="395">
          <cell r="B395" t="str">
            <v>Imprison</v>
          </cell>
        </row>
        <row r="396">
          <cell r="B396" t="str">
            <v>Incinerate</v>
          </cell>
        </row>
        <row r="397">
          <cell r="B397" t="str">
            <v>Infernal Parade</v>
          </cell>
        </row>
        <row r="398">
          <cell r="B398" t="str">
            <v>Inferno</v>
          </cell>
        </row>
        <row r="399">
          <cell r="B399" t="str">
            <v>Inferno Overdrive Physical</v>
          </cell>
        </row>
        <row r="400">
          <cell r="B400" t="str">
            <v>Inferno Overdrive Special</v>
          </cell>
        </row>
        <row r="401">
          <cell r="B401" t="str">
            <v>Infestation</v>
          </cell>
        </row>
        <row r="402">
          <cell r="B402" t="str">
            <v>Ingrain</v>
          </cell>
        </row>
        <row r="403">
          <cell r="B403" t="str">
            <v>Instruct</v>
          </cell>
        </row>
        <row r="404">
          <cell r="B404" t="str">
            <v>Ion Deluge</v>
          </cell>
        </row>
        <row r="405">
          <cell r="B405" t="str">
            <v>Iron Defense</v>
          </cell>
        </row>
        <row r="406">
          <cell r="B406" t="str">
            <v>Iron Head</v>
          </cell>
        </row>
        <row r="407">
          <cell r="B407" t="str">
            <v>Iron Tail</v>
          </cell>
        </row>
        <row r="408">
          <cell r="B408" t="str">
            <v>Ivy Cudgel</v>
          </cell>
        </row>
        <row r="409">
          <cell r="B409" t="str">
            <v>Jaw Lock</v>
          </cell>
        </row>
        <row r="410">
          <cell r="B410" t="str">
            <v>Jet Punch</v>
          </cell>
        </row>
        <row r="411">
          <cell r="B411" t="str">
            <v>Judgment</v>
          </cell>
        </row>
        <row r="412">
          <cell r="B412" t="str">
            <v>Jump Kick</v>
          </cell>
        </row>
        <row r="413">
          <cell r="B413" t="str">
            <v>Jungle Healing</v>
          </cell>
        </row>
        <row r="414">
          <cell r="B414" t="str">
            <v>Karate Chop</v>
          </cell>
        </row>
        <row r="415">
          <cell r="B415" t="str">
            <v>Kinesis</v>
          </cell>
        </row>
        <row r="416">
          <cell r="B416" t="str">
            <v>Kings Shield</v>
          </cell>
        </row>
        <row r="417">
          <cell r="B417" t="str">
            <v>Knock Off</v>
          </cell>
        </row>
        <row r="418">
          <cell r="B418" t="str">
            <v>Kowtow Cleave</v>
          </cell>
        </row>
        <row r="419">
          <cell r="B419" t="str">
            <v>Lands Wrath</v>
          </cell>
        </row>
        <row r="420">
          <cell r="B420" t="str">
            <v>Laser Focus</v>
          </cell>
        </row>
        <row r="421">
          <cell r="B421" t="str">
            <v>Lash Out</v>
          </cell>
        </row>
        <row r="422">
          <cell r="B422" t="str">
            <v>Last Resort</v>
          </cell>
        </row>
        <row r="423">
          <cell r="B423" t="str">
            <v>Last Respects</v>
          </cell>
        </row>
        <row r="424">
          <cell r="B424" t="str">
            <v>Lava Plume</v>
          </cell>
        </row>
        <row r="425">
          <cell r="B425" t="str">
            <v>Leaf Blade</v>
          </cell>
        </row>
        <row r="426">
          <cell r="B426" t="str">
            <v>Leaf Storm</v>
          </cell>
        </row>
        <row r="427">
          <cell r="B427" t="str">
            <v>Leaf Tornado</v>
          </cell>
        </row>
        <row r="428">
          <cell r="B428" t="str">
            <v>Leafage</v>
          </cell>
        </row>
        <row r="429">
          <cell r="B429" t="str">
            <v>Leech Life</v>
          </cell>
        </row>
        <row r="430">
          <cell r="B430" t="str">
            <v>Leech Seed</v>
          </cell>
        </row>
        <row r="431">
          <cell r="B431" t="str">
            <v>Leer</v>
          </cell>
        </row>
        <row r="432">
          <cell r="B432" t="str">
            <v>Lets Snuggle Forever</v>
          </cell>
        </row>
        <row r="433">
          <cell r="B433" t="str">
            <v>Lick</v>
          </cell>
        </row>
        <row r="434">
          <cell r="B434" t="str">
            <v>Life Dew</v>
          </cell>
        </row>
        <row r="435">
          <cell r="B435" t="str">
            <v>Light Of Ruin</v>
          </cell>
        </row>
        <row r="436">
          <cell r="B436" t="str">
            <v>Light Screen</v>
          </cell>
        </row>
        <row r="437">
          <cell r="B437" t="str">
            <v>Light That Burns The Sky</v>
          </cell>
        </row>
        <row r="438">
          <cell r="B438" t="str">
            <v>Liquidation</v>
          </cell>
        </row>
        <row r="439">
          <cell r="B439" t="str">
            <v>Lock On</v>
          </cell>
        </row>
        <row r="440">
          <cell r="B440" t="str">
            <v>Lovely Kiss</v>
          </cell>
        </row>
        <row r="441">
          <cell r="B441" t="str">
            <v>Low Kick</v>
          </cell>
        </row>
        <row r="442">
          <cell r="B442" t="str">
            <v>Low Sweep</v>
          </cell>
        </row>
        <row r="443">
          <cell r="B443" t="str">
            <v>Lucky Chant</v>
          </cell>
        </row>
        <row r="444">
          <cell r="B444" t="str">
            <v>Lumina Crash</v>
          </cell>
        </row>
        <row r="445">
          <cell r="B445" t="str">
            <v>Lunar Blessing</v>
          </cell>
        </row>
        <row r="446">
          <cell r="B446" t="str">
            <v>Lunar Dance</v>
          </cell>
        </row>
        <row r="447">
          <cell r="B447" t="str">
            <v>Lunge</v>
          </cell>
        </row>
        <row r="448">
          <cell r="B448" t="str">
            <v>Luster Purge</v>
          </cell>
        </row>
        <row r="449">
          <cell r="B449" t="str">
            <v>Mach Punch</v>
          </cell>
        </row>
        <row r="450">
          <cell r="B450" t="str">
            <v>Magic Coat</v>
          </cell>
        </row>
        <row r="451">
          <cell r="B451" t="str">
            <v>Magic Powder</v>
          </cell>
        </row>
        <row r="452">
          <cell r="B452" t="str">
            <v>Magic Room</v>
          </cell>
        </row>
        <row r="453">
          <cell r="B453" t="str">
            <v>Magical Leaf</v>
          </cell>
        </row>
        <row r="454">
          <cell r="B454" t="str">
            <v>Magical Torque</v>
          </cell>
        </row>
        <row r="455">
          <cell r="B455" t="str">
            <v>Magma Storm</v>
          </cell>
        </row>
        <row r="456">
          <cell r="B456" t="str">
            <v>Magnet Bomb</v>
          </cell>
        </row>
        <row r="457">
          <cell r="B457" t="str">
            <v>Magnet Rise</v>
          </cell>
        </row>
        <row r="458">
          <cell r="B458" t="str">
            <v>Magnetic Flux</v>
          </cell>
        </row>
        <row r="459">
          <cell r="B459" t="str">
            <v>Magnitude</v>
          </cell>
        </row>
        <row r="460">
          <cell r="B460" t="str">
            <v>Make It Rain</v>
          </cell>
        </row>
        <row r="461">
          <cell r="B461" t="str">
            <v>Malicious Moonsault</v>
          </cell>
        </row>
        <row r="462">
          <cell r="B462" t="str">
            <v>Malignant Chain</v>
          </cell>
        </row>
        <row r="463">
          <cell r="B463" t="str">
            <v>Mat Block</v>
          </cell>
        </row>
        <row r="464">
          <cell r="B464" t="str">
            <v>Matcha Gotcha</v>
          </cell>
        </row>
        <row r="465">
          <cell r="B465" t="str">
            <v>Max Airstream</v>
          </cell>
        </row>
        <row r="466">
          <cell r="B466" t="str">
            <v>Max Darkness</v>
          </cell>
        </row>
        <row r="467">
          <cell r="B467" t="str">
            <v>Max Flare</v>
          </cell>
        </row>
        <row r="468">
          <cell r="B468" t="str">
            <v>Max Flutterby</v>
          </cell>
        </row>
        <row r="469">
          <cell r="B469" t="str">
            <v>Max Geyser</v>
          </cell>
        </row>
        <row r="470">
          <cell r="B470" t="str">
            <v>Max Guard</v>
          </cell>
        </row>
        <row r="471">
          <cell r="B471" t="str">
            <v>Max Hailstorm</v>
          </cell>
        </row>
        <row r="472">
          <cell r="B472" t="str">
            <v>Max Knuckle</v>
          </cell>
        </row>
        <row r="473">
          <cell r="B473" t="str">
            <v>Max Lightning</v>
          </cell>
        </row>
        <row r="474">
          <cell r="B474" t="str">
            <v>Max Mindstorm</v>
          </cell>
        </row>
        <row r="475">
          <cell r="B475" t="str">
            <v>Max Ooze</v>
          </cell>
        </row>
        <row r="476">
          <cell r="B476" t="str">
            <v>Max Overgrowth</v>
          </cell>
        </row>
        <row r="477">
          <cell r="B477" t="str">
            <v>Max Phantasm</v>
          </cell>
        </row>
        <row r="478">
          <cell r="B478" t="str">
            <v>Max Quake</v>
          </cell>
        </row>
        <row r="479">
          <cell r="B479" t="str">
            <v>Max Rockfall</v>
          </cell>
        </row>
        <row r="480">
          <cell r="B480" t="str">
            <v>Max Starfall</v>
          </cell>
        </row>
        <row r="481">
          <cell r="B481" t="str">
            <v>Max Steelspike</v>
          </cell>
        </row>
        <row r="482">
          <cell r="B482" t="str">
            <v>Max Strike</v>
          </cell>
        </row>
        <row r="483">
          <cell r="B483" t="str">
            <v>Max Wyrmwind</v>
          </cell>
        </row>
        <row r="484">
          <cell r="B484" t="str">
            <v>Me First</v>
          </cell>
        </row>
        <row r="485">
          <cell r="B485" t="str">
            <v>Mean Look</v>
          </cell>
        </row>
        <row r="486">
          <cell r="B486" t="str">
            <v>Meditate</v>
          </cell>
        </row>
        <row r="487">
          <cell r="B487" t="str">
            <v>Mega Drain</v>
          </cell>
        </row>
        <row r="488">
          <cell r="B488" t="str">
            <v>Mega Kick</v>
          </cell>
        </row>
        <row r="489">
          <cell r="B489" t="str">
            <v>Mega Punch</v>
          </cell>
        </row>
        <row r="490">
          <cell r="B490" t="str">
            <v>Megahorn</v>
          </cell>
        </row>
        <row r="491">
          <cell r="B491" t="str">
            <v>Memento</v>
          </cell>
        </row>
        <row r="492">
          <cell r="B492" t="str">
            <v>Menacing Moonraze Maelstrom</v>
          </cell>
        </row>
        <row r="493">
          <cell r="B493" t="str">
            <v>Metal Burst</v>
          </cell>
        </row>
        <row r="494">
          <cell r="B494" t="str">
            <v>Metal Claw</v>
          </cell>
        </row>
        <row r="495">
          <cell r="B495" t="str">
            <v>Metal Sound</v>
          </cell>
        </row>
        <row r="496">
          <cell r="B496" t="str">
            <v>Meteor Assault</v>
          </cell>
        </row>
        <row r="497">
          <cell r="B497" t="str">
            <v>Meteor Beam</v>
          </cell>
        </row>
        <row r="498">
          <cell r="B498" t="str">
            <v>Meteor Mash</v>
          </cell>
        </row>
        <row r="499">
          <cell r="B499" t="str">
            <v>Metronome</v>
          </cell>
        </row>
        <row r="500">
          <cell r="B500" t="str">
            <v>Mighty Cleave</v>
          </cell>
        </row>
        <row r="501">
          <cell r="B501" t="str">
            <v>Milk Drink</v>
          </cell>
        </row>
        <row r="502">
          <cell r="B502" t="str">
            <v>Mimic</v>
          </cell>
        </row>
        <row r="503">
          <cell r="B503" t="str">
            <v>Mind Blown</v>
          </cell>
        </row>
        <row r="504">
          <cell r="B504" t="str">
            <v>Mind Reader</v>
          </cell>
        </row>
        <row r="505">
          <cell r="B505" t="str">
            <v>Minimize</v>
          </cell>
        </row>
        <row r="506">
          <cell r="B506" t="str">
            <v>Miracle Eye</v>
          </cell>
        </row>
        <row r="507">
          <cell r="B507" t="str">
            <v>Mirror Coat</v>
          </cell>
        </row>
        <row r="508">
          <cell r="B508" t="str">
            <v>Mirror Move</v>
          </cell>
        </row>
        <row r="509">
          <cell r="B509" t="str">
            <v>Mirror Shot</v>
          </cell>
        </row>
        <row r="510">
          <cell r="B510" t="str">
            <v>Mist</v>
          </cell>
        </row>
        <row r="511">
          <cell r="B511" t="str">
            <v>Mist Ball</v>
          </cell>
        </row>
        <row r="512">
          <cell r="B512" t="str">
            <v>Misty Explosion</v>
          </cell>
        </row>
        <row r="513">
          <cell r="B513" t="str">
            <v>Misty Terrain</v>
          </cell>
        </row>
        <row r="514">
          <cell r="B514" t="str">
            <v>Moonblast</v>
          </cell>
        </row>
        <row r="515">
          <cell r="B515" t="str">
            <v>Moongeist Beam</v>
          </cell>
        </row>
        <row r="516">
          <cell r="B516" t="str">
            <v>Moonlight</v>
          </cell>
        </row>
        <row r="517">
          <cell r="B517" t="str">
            <v>Morning Sun</v>
          </cell>
        </row>
        <row r="518">
          <cell r="B518" t="str">
            <v>Mortal Spin</v>
          </cell>
        </row>
        <row r="519">
          <cell r="B519" t="str">
            <v>Mountain Gale</v>
          </cell>
        </row>
        <row r="520">
          <cell r="B520" t="str">
            <v>Mud Bomb</v>
          </cell>
        </row>
        <row r="521">
          <cell r="B521" t="str">
            <v>Mud Shot</v>
          </cell>
        </row>
        <row r="522">
          <cell r="B522" t="str">
            <v>Mud Slap</v>
          </cell>
        </row>
        <row r="523">
          <cell r="B523" t="str">
            <v>Mud Sport</v>
          </cell>
        </row>
        <row r="524">
          <cell r="B524" t="str">
            <v>Muddy Water</v>
          </cell>
        </row>
        <row r="525">
          <cell r="B525" t="str">
            <v>Multi Attack</v>
          </cell>
        </row>
        <row r="526">
          <cell r="B526" t="str">
            <v>Mystical Fire</v>
          </cell>
        </row>
        <row r="527">
          <cell r="B527" t="str">
            <v>Mystical Power</v>
          </cell>
        </row>
        <row r="528">
          <cell r="B528" t="str">
            <v>Nasty Plot</v>
          </cell>
        </row>
        <row r="529">
          <cell r="B529" t="str">
            <v>Natural Gift</v>
          </cell>
        </row>
        <row r="530">
          <cell r="B530" t="str">
            <v>Nature Power</v>
          </cell>
        </row>
        <row r="531">
          <cell r="B531" t="str">
            <v>Natures Madness</v>
          </cell>
        </row>
        <row r="532">
          <cell r="B532" t="str">
            <v>Needle Arm</v>
          </cell>
        </row>
        <row r="533">
          <cell r="B533" t="str">
            <v>Never Ending Nightmare Physical</v>
          </cell>
        </row>
        <row r="534">
          <cell r="B534" t="str">
            <v>Never Ending Nightmare Special</v>
          </cell>
        </row>
        <row r="535">
          <cell r="B535" t="str">
            <v>Night Daze</v>
          </cell>
        </row>
        <row r="536">
          <cell r="B536" t="str">
            <v>Night Shade</v>
          </cell>
        </row>
        <row r="537">
          <cell r="B537" t="str">
            <v>Night Slash</v>
          </cell>
        </row>
        <row r="538">
          <cell r="B538" t="str">
            <v>Nightmare</v>
          </cell>
        </row>
        <row r="539">
          <cell r="B539" t="str">
            <v>No Retreat</v>
          </cell>
        </row>
        <row r="540">
          <cell r="B540" t="str">
            <v>Noble Roar</v>
          </cell>
        </row>
        <row r="541">
          <cell r="B541" t="str">
            <v>Noxious Torque</v>
          </cell>
        </row>
        <row r="542">
          <cell r="B542" t="str">
            <v>Nuzzle</v>
          </cell>
        </row>
        <row r="543">
          <cell r="B543" t="str">
            <v>Oblivion Wing</v>
          </cell>
        </row>
        <row r="544">
          <cell r="B544" t="str">
            <v>Obstruct</v>
          </cell>
        </row>
        <row r="545">
          <cell r="B545" t="str">
            <v>Oceanic Operetta</v>
          </cell>
        </row>
        <row r="546">
          <cell r="B546" t="str">
            <v>Octazooka</v>
          </cell>
        </row>
        <row r="547">
          <cell r="B547" t="str">
            <v>Octolock</v>
          </cell>
        </row>
        <row r="548">
          <cell r="B548" t="str">
            <v>Odor Sleuth</v>
          </cell>
        </row>
        <row r="549">
          <cell r="B549" t="str">
            <v>Ominous Wind</v>
          </cell>
        </row>
        <row r="550">
          <cell r="B550" t="str">
            <v>Order Up</v>
          </cell>
        </row>
        <row r="551">
          <cell r="B551" t="str">
            <v>Origin Pulse</v>
          </cell>
        </row>
        <row r="552">
          <cell r="B552" t="str">
            <v>Outrage</v>
          </cell>
        </row>
        <row r="553">
          <cell r="B553" t="str">
            <v>Overdrive</v>
          </cell>
        </row>
        <row r="554">
          <cell r="B554" t="str">
            <v>Overheat</v>
          </cell>
        </row>
        <row r="555">
          <cell r="B555" t="str">
            <v>Pain Split</v>
          </cell>
        </row>
        <row r="556">
          <cell r="B556" t="str">
            <v>Parabolic Charge</v>
          </cell>
        </row>
        <row r="557">
          <cell r="B557" t="str">
            <v>Parting Shot</v>
          </cell>
        </row>
        <row r="558">
          <cell r="B558" t="str">
            <v>Pay Day</v>
          </cell>
        </row>
        <row r="559">
          <cell r="B559" t="str">
            <v>Payback</v>
          </cell>
        </row>
        <row r="560">
          <cell r="B560" t="str">
            <v>Peck</v>
          </cell>
        </row>
        <row r="561">
          <cell r="B561" t="str">
            <v>Perish Song</v>
          </cell>
        </row>
        <row r="562">
          <cell r="B562" t="str">
            <v>Petal Blizzard</v>
          </cell>
        </row>
        <row r="563">
          <cell r="B563" t="str">
            <v>Petal Dance</v>
          </cell>
        </row>
        <row r="564">
          <cell r="B564" t="str">
            <v>Phantom Force</v>
          </cell>
        </row>
        <row r="565">
          <cell r="B565" t="str">
            <v>Photon Geyser</v>
          </cell>
        </row>
        <row r="566">
          <cell r="B566" t="str">
            <v>Pika Papow</v>
          </cell>
        </row>
        <row r="567">
          <cell r="B567" t="str">
            <v>Pin Missile</v>
          </cell>
        </row>
        <row r="568">
          <cell r="B568" t="str">
            <v>Plasma Fists</v>
          </cell>
        </row>
        <row r="569">
          <cell r="B569" t="str">
            <v>Play Nice</v>
          </cell>
        </row>
        <row r="570">
          <cell r="B570" t="str">
            <v>Play Rough</v>
          </cell>
        </row>
        <row r="571">
          <cell r="B571" t="str">
            <v>Pluck</v>
          </cell>
        </row>
        <row r="572">
          <cell r="B572" t="str">
            <v>Poison Fang</v>
          </cell>
        </row>
        <row r="573">
          <cell r="B573" t="str">
            <v>Poison Gas</v>
          </cell>
        </row>
        <row r="574">
          <cell r="B574" t="str">
            <v>Poison Jab</v>
          </cell>
        </row>
        <row r="575">
          <cell r="B575" t="str">
            <v>Poison Powder</v>
          </cell>
        </row>
        <row r="576">
          <cell r="B576" t="str">
            <v>Poison Sting</v>
          </cell>
        </row>
        <row r="577">
          <cell r="B577" t="str">
            <v>Poison Tail</v>
          </cell>
        </row>
        <row r="578">
          <cell r="B578" t="str">
            <v>Pollen Puff</v>
          </cell>
        </row>
        <row r="579">
          <cell r="B579" t="str">
            <v>Poltergeist</v>
          </cell>
        </row>
        <row r="580">
          <cell r="B580" t="str">
            <v>Population Bomb</v>
          </cell>
        </row>
        <row r="581">
          <cell r="B581" t="str">
            <v>Pounce</v>
          </cell>
        </row>
        <row r="582">
          <cell r="B582" t="str">
            <v>Pound</v>
          </cell>
        </row>
        <row r="583">
          <cell r="B583" t="str">
            <v>Powder</v>
          </cell>
        </row>
        <row r="584">
          <cell r="B584" t="str">
            <v>Powder Snow</v>
          </cell>
        </row>
        <row r="585">
          <cell r="B585" t="str">
            <v>Power Gem</v>
          </cell>
        </row>
        <row r="586">
          <cell r="B586" t="str">
            <v>Power Shift</v>
          </cell>
        </row>
        <row r="587">
          <cell r="B587" t="str">
            <v>Power Split</v>
          </cell>
        </row>
        <row r="588">
          <cell r="B588" t="str">
            <v>Power Swap</v>
          </cell>
        </row>
        <row r="589">
          <cell r="B589" t="str">
            <v>Power Trick</v>
          </cell>
        </row>
        <row r="590">
          <cell r="B590" t="str">
            <v>Power Trip</v>
          </cell>
        </row>
        <row r="591">
          <cell r="B591" t="str">
            <v>Power Up Punch</v>
          </cell>
        </row>
        <row r="592">
          <cell r="B592" t="str">
            <v>Power Whip</v>
          </cell>
        </row>
        <row r="593">
          <cell r="B593" t="str">
            <v>Precipice Blades</v>
          </cell>
        </row>
        <row r="594">
          <cell r="B594" t="str">
            <v>Present</v>
          </cell>
        </row>
        <row r="595">
          <cell r="B595" t="str">
            <v>Prismatic Laser</v>
          </cell>
        </row>
        <row r="596">
          <cell r="B596" t="str">
            <v>Protect</v>
          </cell>
        </row>
        <row r="597">
          <cell r="B597" t="str">
            <v>Psybeam</v>
          </cell>
        </row>
        <row r="598">
          <cell r="B598" t="str">
            <v>Psyblade</v>
          </cell>
        </row>
        <row r="599">
          <cell r="B599" t="str">
            <v>Psych Up</v>
          </cell>
        </row>
        <row r="600">
          <cell r="B600" t="str">
            <v>Psychic</v>
          </cell>
        </row>
        <row r="601">
          <cell r="B601" t="str">
            <v>Psychic Fangs</v>
          </cell>
        </row>
        <row r="602">
          <cell r="B602" t="str">
            <v>Psychic Noise</v>
          </cell>
        </row>
        <row r="603">
          <cell r="B603" t="str">
            <v>Psychic Terrain</v>
          </cell>
        </row>
        <row r="604">
          <cell r="B604" t="str">
            <v>Psycho Boost</v>
          </cell>
        </row>
        <row r="605">
          <cell r="B605" t="str">
            <v>Psycho Cut</v>
          </cell>
        </row>
        <row r="606">
          <cell r="B606" t="str">
            <v>Psycho Shift</v>
          </cell>
        </row>
        <row r="607">
          <cell r="B607" t="str">
            <v>Psyshield Bash</v>
          </cell>
        </row>
        <row r="608">
          <cell r="B608" t="str">
            <v>Psyshock</v>
          </cell>
        </row>
        <row r="609">
          <cell r="B609" t="str">
            <v>Psystrike</v>
          </cell>
        </row>
        <row r="610">
          <cell r="B610" t="str">
            <v>Psywave</v>
          </cell>
        </row>
        <row r="611">
          <cell r="B611" t="str">
            <v>Pulverizing Pancake</v>
          </cell>
        </row>
        <row r="612">
          <cell r="B612" t="str">
            <v>Punishment</v>
          </cell>
        </row>
        <row r="613">
          <cell r="B613" t="str">
            <v>Purify</v>
          </cell>
        </row>
        <row r="614">
          <cell r="B614" t="str">
            <v>Pursuit</v>
          </cell>
        </row>
        <row r="615">
          <cell r="B615" t="str">
            <v>Pyro Ball</v>
          </cell>
        </row>
        <row r="616">
          <cell r="B616" t="str">
            <v>Quash</v>
          </cell>
        </row>
        <row r="617">
          <cell r="B617" t="str">
            <v>Quick Attack</v>
          </cell>
        </row>
        <row r="618">
          <cell r="B618" t="str">
            <v>Quick Guard</v>
          </cell>
        </row>
        <row r="619">
          <cell r="B619" t="str">
            <v>Quiver Dance</v>
          </cell>
        </row>
        <row r="620">
          <cell r="B620" t="str">
            <v>Rage</v>
          </cell>
        </row>
        <row r="621">
          <cell r="B621" t="str">
            <v>Rage Fist</v>
          </cell>
        </row>
        <row r="622">
          <cell r="B622" t="str">
            <v>Rage Powder</v>
          </cell>
        </row>
        <row r="623">
          <cell r="B623" t="str">
            <v>Raging Bull</v>
          </cell>
        </row>
        <row r="624">
          <cell r="B624" t="str">
            <v>Raging Fury</v>
          </cell>
        </row>
        <row r="625">
          <cell r="B625" t="str">
            <v>Rain Dance</v>
          </cell>
        </row>
        <row r="626">
          <cell r="B626" t="str">
            <v>Rapid Spin</v>
          </cell>
        </row>
        <row r="627">
          <cell r="B627" t="str">
            <v>Razor Leaf</v>
          </cell>
        </row>
        <row r="628">
          <cell r="B628" t="str">
            <v>Razor Shell</v>
          </cell>
        </row>
        <row r="629">
          <cell r="B629" t="str">
            <v>Razor Wind</v>
          </cell>
        </row>
        <row r="630">
          <cell r="B630" t="str">
            <v>Recover</v>
          </cell>
        </row>
        <row r="631">
          <cell r="B631" t="str">
            <v>Recycle</v>
          </cell>
        </row>
        <row r="632">
          <cell r="B632" t="str">
            <v>Reflect</v>
          </cell>
        </row>
        <row r="633">
          <cell r="B633" t="str">
            <v>Reflect Type</v>
          </cell>
        </row>
        <row r="634">
          <cell r="B634" t="str">
            <v>Refresh</v>
          </cell>
        </row>
        <row r="635">
          <cell r="B635" t="str">
            <v>Relic Song</v>
          </cell>
        </row>
        <row r="636">
          <cell r="B636" t="str">
            <v>Rest</v>
          </cell>
        </row>
        <row r="637">
          <cell r="B637" t="str">
            <v>Retaliate</v>
          </cell>
        </row>
        <row r="638">
          <cell r="B638" t="str">
            <v>Return</v>
          </cell>
        </row>
        <row r="639">
          <cell r="B639" t="str">
            <v>Revelation Dance</v>
          </cell>
        </row>
        <row r="640">
          <cell r="B640" t="str">
            <v>Revenge</v>
          </cell>
        </row>
        <row r="641">
          <cell r="B641" t="str">
            <v>Reversal</v>
          </cell>
        </row>
        <row r="642">
          <cell r="B642" t="str">
            <v>Revival Blessing</v>
          </cell>
        </row>
        <row r="643">
          <cell r="B643" t="str">
            <v>Rising Voltage</v>
          </cell>
        </row>
        <row r="644">
          <cell r="B644" t="str">
            <v>Roar</v>
          </cell>
        </row>
        <row r="645">
          <cell r="B645" t="str">
            <v>Roar Of Time</v>
          </cell>
        </row>
        <row r="646">
          <cell r="B646" t="str">
            <v>Rock Blast</v>
          </cell>
        </row>
        <row r="647">
          <cell r="B647" t="str">
            <v>Rock Climb</v>
          </cell>
        </row>
        <row r="648">
          <cell r="B648" t="str">
            <v>Rock Polish</v>
          </cell>
        </row>
        <row r="649">
          <cell r="B649" t="str">
            <v>Rock Slide</v>
          </cell>
        </row>
        <row r="650">
          <cell r="B650" t="str">
            <v>Rock Smash</v>
          </cell>
        </row>
        <row r="651">
          <cell r="B651" t="str">
            <v>Rock Throw</v>
          </cell>
        </row>
        <row r="652">
          <cell r="B652" t="str">
            <v>Rock Tomb</v>
          </cell>
        </row>
        <row r="653">
          <cell r="B653" t="str">
            <v>Rock Wrecker</v>
          </cell>
        </row>
        <row r="654">
          <cell r="B654" t="str">
            <v>Role Play</v>
          </cell>
        </row>
        <row r="655">
          <cell r="B655" t="str">
            <v>Rolling Kick</v>
          </cell>
        </row>
        <row r="656">
          <cell r="B656" t="str">
            <v>Rollout</v>
          </cell>
        </row>
        <row r="657">
          <cell r="B657" t="str">
            <v>Roost</v>
          </cell>
        </row>
        <row r="658">
          <cell r="B658" t="str">
            <v>Rototiller</v>
          </cell>
        </row>
        <row r="659">
          <cell r="B659" t="str">
            <v>Round</v>
          </cell>
        </row>
        <row r="660">
          <cell r="B660" t="str">
            <v>Ruination</v>
          </cell>
        </row>
        <row r="661">
          <cell r="B661" t="str">
            <v>Sacred Fire</v>
          </cell>
        </row>
        <row r="662">
          <cell r="B662" t="str">
            <v>Sacred Sword</v>
          </cell>
        </row>
        <row r="663">
          <cell r="B663" t="str">
            <v>Safeguard</v>
          </cell>
        </row>
        <row r="664">
          <cell r="B664" t="str">
            <v>Salt Cure</v>
          </cell>
        </row>
        <row r="665">
          <cell r="B665" t="str">
            <v>Sand Attack</v>
          </cell>
        </row>
        <row r="666">
          <cell r="B666" t="str">
            <v>Sand Tomb</v>
          </cell>
        </row>
        <row r="667">
          <cell r="B667" t="str">
            <v>Sandsear Storm</v>
          </cell>
        </row>
        <row r="668">
          <cell r="B668" t="str">
            <v>Sandstorm</v>
          </cell>
        </row>
        <row r="669">
          <cell r="B669" t="str">
            <v>Sappy Seed</v>
          </cell>
        </row>
        <row r="670">
          <cell r="B670" t="str">
            <v>Savage Spin Out Physical</v>
          </cell>
        </row>
        <row r="671">
          <cell r="B671" t="str">
            <v>Savage Spin Out Special</v>
          </cell>
        </row>
        <row r="672">
          <cell r="B672" t="str">
            <v>Scald</v>
          </cell>
        </row>
        <row r="673">
          <cell r="B673" t="str">
            <v>Scale Shot</v>
          </cell>
        </row>
        <row r="674">
          <cell r="B674" t="str">
            <v>Scary Face</v>
          </cell>
        </row>
        <row r="675">
          <cell r="B675" t="str">
            <v>Scorching Sands</v>
          </cell>
        </row>
        <row r="676">
          <cell r="B676" t="str">
            <v>Scratch</v>
          </cell>
        </row>
        <row r="677">
          <cell r="B677" t="str">
            <v>Screech</v>
          </cell>
        </row>
        <row r="678">
          <cell r="B678" t="str">
            <v>Searing Shot</v>
          </cell>
        </row>
        <row r="679">
          <cell r="B679" t="str">
            <v>Searing Sunraze Smash</v>
          </cell>
        </row>
        <row r="680">
          <cell r="B680" t="str">
            <v>Secret Power</v>
          </cell>
        </row>
        <row r="681">
          <cell r="B681" t="str">
            <v>Secret Sword</v>
          </cell>
        </row>
        <row r="682">
          <cell r="B682" t="str">
            <v>Seed Bomb</v>
          </cell>
        </row>
        <row r="683">
          <cell r="B683" t="str">
            <v>Seed Flare</v>
          </cell>
        </row>
        <row r="684">
          <cell r="B684" t="str">
            <v>Seismic Toss</v>
          </cell>
        </row>
        <row r="685">
          <cell r="B685" t="str">
            <v>Self Destruct</v>
          </cell>
        </row>
        <row r="686">
          <cell r="B686" t="str">
            <v>Shadow Ball</v>
          </cell>
        </row>
        <row r="687">
          <cell r="B687" t="str">
            <v>Shadow Blast</v>
          </cell>
        </row>
        <row r="688">
          <cell r="B688" t="str">
            <v>Shadow Blitz</v>
          </cell>
        </row>
        <row r="689">
          <cell r="B689" t="str">
            <v>Shadow Bolt</v>
          </cell>
        </row>
        <row r="690">
          <cell r="B690" t="str">
            <v>Shadow Bone</v>
          </cell>
        </row>
        <row r="691">
          <cell r="B691" t="str">
            <v>Shadow Break</v>
          </cell>
        </row>
        <row r="692">
          <cell r="B692" t="str">
            <v>Shadow Chill</v>
          </cell>
        </row>
        <row r="693">
          <cell r="B693" t="str">
            <v>Shadow Claw</v>
          </cell>
        </row>
        <row r="694">
          <cell r="B694" t="str">
            <v>Shadow Down</v>
          </cell>
        </row>
        <row r="695">
          <cell r="B695" t="str">
            <v>Shadow End</v>
          </cell>
        </row>
        <row r="696">
          <cell r="B696" t="str">
            <v>Shadow Fire</v>
          </cell>
        </row>
        <row r="697">
          <cell r="B697" t="str">
            <v>Shadow Force</v>
          </cell>
        </row>
        <row r="698">
          <cell r="B698" t="str">
            <v>Shadow Half</v>
          </cell>
        </row>
        <row r="699">
          <cell r="B699" t="str">
            <v>Shadow Hold</v>
          </cell>
        </row>
        <row r="700">
          <cell r="B700" t="str">
            <v>Shadow Mist</v>
          </cell>
        </row>
        <row r="701">
          <cell r="B701" t="str">
            <v>Shadow Panic</v>
          </cell>
        </row>
        <row r="702">
          <cell r="B702" t="str">
            <v>Shadow Punch</v>
          </cell>
        </row>
        <row r="703">
          <cell r="B703" t="str">
            <v>Shadow Rave</v>
          </cell>
        </row>
        <row r="704">
          <cell r="B704" t="str">
            <v>Shadow Rush</v>
          </cell>
        </row>
        <row r="705">
          <cell r="B705" t="str">
            <v>Shadow Shed</v>
          </cell>
        </row>
        <row r="706">
          <cell r="B706" t="str">
            <v>Shadow Sky</v>
          </cell>
        </row>
        <row r="707">
          <cell r="B707" t="str">
            <v>Shadow Sneak</v>
          </cell>
        </row>
        <row r="708">
          <cell r="B708" t="str">
            <v>Shadow Storm</v>
          </cell>
        </row>
        <row r="709">
          <cell r="B709" t="str">
            <v>Shadow Wave</v>
          </cell>
        </row>
        <row r="710">
          <cell r="B710" t="str">
            <v>Sharpen</v>
          </cell>
        </row>
        <row r="711">
          <cell r="B711" t="str">
            <v>Shattered Psyche Physical</v>
          </cell>
        </row>
        <row r="712">
          <cell r="B712" t="str">
            <v>Shattered Psyche Special</v>
          </cell>
        </row>
        <row r="713">
          <cell r="B713" t="str">
            <v>Shed Tail</v>
          </cell>
        </row>
        <row r="714">
          <cell r="B714" t="str">
            <v>Sheer Cold</v>
          </cell>
        </row>
        <row r="715">
          <cell r="B715" t="str">
            <v>Shell Side Arm</v>
          </cell>
        </row>
        <row r="716">
          <cell r="B716" t="str">
            <v>Shell Smash</v>
          </cell>
        </row>
        <row r="717">
          <cell r="B717" t="str">
            <v>Shell Trap</v>
          </cell>
        </row>
        <row r="718">
          <cell r="B718" t="str">
            <v>Shelter</v>
          </cell>
        </row>
        <row r="719">
          <cell r="B719" t="str">
            <v>Shift Gear</v>
          </cell>
        </row>
        <row r="720">
          <cell r="B720" t="str">
            <v>Shock Wave</v>
          </cell>
        </row>
        <row r="721">
          <cell r="B721" t="str">
            <v>Shore Up</v>
          </cell>
        </row>
        <row r="722">
          <cell r="B722" t="str">
            <v>Signal Beam</v>
          </cell>
        </row>
        <row r="723">
          <cell r="B723" t="str">
            <v>Silk Trap</v>
          </cell>
        </row>
        <row r="724">
          <cell r="B724" t="str">
            <v>Silver Wind</v>
          </cell>
        </row>
        <row r="725">
          <cell r="B725" t="str">
            <v>Simple Beam</v>
          </cell>
        </row>
        <row r="726">
          <cell r="B726" t="str">
            <v>Sing</v>
          </cell>
        </row>
        <row r="727">
          <cell r="B727" t="str">
            <v>Sinister Arrow Raid</v>
          </cell>
        </row>
        <row r="728">
          <cell r="B728" t="str">
            <v>Sizzly Slide</v>
          </cell>
        </row>
        <row r="729">
          <cell r="B729" t="str">
            <v>Sketch</v>
          </cell>
        </row>
        <row r="730">
          <cell r="B730" t="str">
            <v>Skill Swap</v>
          </cell>
        </row>
        <row r="731">
          <cell r="B731" t="str">
            <v>Skitter Smack</v>
          </cell>
        </row>
        <row r="732">
          <cell r="B732" t="str">
            <v>Skull Bash</v>
          </cell>
        </row>
        <row r="733">
          <cell r="B733" t="str">
            <v>Sky Attack</v>
          </cell>
        </row>
        <row r="734">
          <cell r="B734" t="str">
            <v>Sky Drop</v>
          </cell>
        </row>
        <row r="735">
          <cell r="B735" t="str">
            <v>Sky Uppercut</v>
          </cell>
        </row>
        <row r="736">
          <cell r="B736" t="str">
            <v>Slack Off</v>
          </cell>
        </row>
        <row r="737">
          <cell r="B737" t="str">
            <v>Slam</v>
          </cell>
        </row>
        <row r="738">
          <cell r="B738" t="str">
            <v>Slash</v>
          </cell>
        </row>
        <row r="739">
          <cell r="B739" t="str">
            <v>Sleep Powder</v>
          </cell>
        </row>
        <row r="740">
          <cell r="B740" t="str">
            <v>Sleep Talk</v>
          </cell>
        </row>
        <row r="741">
          <cell r="B741" t="str">
            <v>Sludge</v>
          </cell>
        </row>
        <row r="742">
          <cell r="B742" t="str">
            <v>Sludge Bomb</v>
          </cell>
        </row>
        <row r="743">
          <cell r="B743" t="str">
            <v>Sludge Wave</v>
          </cell>
        </row>
        <row r="744">
          <cell r="B744" t="str">
            <v>Smack Down</v>
          </cell>
        </row>
        <row r="745">
          <cell r="B745" t="str">
            <v>Smart Strike</v>
          </cell>
        </row>
        <row r="746">
          <cell r="B746" t="str">
            <v>Smelling Salts</v>
          </cell>
        </row>
        <row r="747">
          <cell r="B747" t="str">
            <v>Smog</v>
          </cell>
        </row>
        <row r="748">
          <cell r="B748" t="str">
            <v>Smokescreen</v>
          </cell>
        </row>
        <row r="749">
          <cell r="B749" t="str">
            <v>Snap Trap</v>
          </cell>
        </row>
        <row r="750">
          <cell r="B750" t="str">
            <v>Snarl</v>
          </cell>
        </row>
        <row r="751">
          <cell r="B751" t="str">
            <v>Snatch</v>
          </cell>
        </row>
        <row r="752">
          <cell r="B752" t="str">
            <v>Snipe Shot</v>
          </cell>
        </row>
        <row r="753">
          <cell r="B753" t="str">
            <v>Snore</v>
          </cell>
        </row>
        <row r="754">
          <cell r="B754" t="str">
            <v>Snowscape</v>
          </cell>
        </row>
        <row r="755">
          <cell r="B755" t="str">
            <v>Soak</v>
          </cell>
        </row>
        <row r="756">
          <cell r="B756" t="str">
            <v>Soft Boiled</v>
          </cell>
        </row>
        <row r="757">
          <cell r="B757" t="str">
            <v>Solar Beam</v>
          </cell>
        </row>
        <row r="758">
          <cell r="B758" t="str">
            <v>Solar Blade</v>
          </cell>
        </row>
        <row r="759">
          <cell r="B759" t="str">
            <v>Sonic Boom</v>
          </cell>
        </row>
        <row r="760">
          <cell r="B760" t="str">
            <v>Soul Stealing 7 Star Strike</v>
          </cell>
        </row>
        <row r="761">
          <cell r="B761" t="str">
            <v>Spacial Rend</v>
          </cell>
        </row>
        <row r="762">
          <cell r="B762" t="str">
            <v>Spark</v>
          </cell>
        </row>
        <row r="763">
          <cell r="B763" t="str">
            <v>Sparkling Aria</v>
          </cell>
        </row>
        <row r="764">
          <cell r="B764" t="str">
            <v>Sparkly Swirl</v>
          </cell>
        </row>
        <row r="765">
          <cell r="B765" t="str">
            <v>Spectral Thief</v>
          </cell>
        </row>
        <row r="766">
          <cell r="B766" t="str">
            <v>Speed Swap</v>
          </cell>
        </row>
        <row r="767">
          <cell r="B767" t="str">
            <v>Spicy Extract</v>
          </cell>
        </row>
        <row r="768">
          <cell r="B768" t="str">
            <v>Spider Web</v>
          </cell>
        </row>
        <row r="769">
          <cell r="B769" t="str">
            <v>Spike Cannon</v>
          </cell>
        </row>
        <row r="770">
          <cell r="B770" t="str">
            <v>Spikes</v>
          </cell>
        </row>
        <row r="771">
          <cell r="B771" t="str">
            <v>Spiky Shield</v>
          </cell>
        </row>
        <row r="772">
          <cell r="B772" t="str">
            <v>Spin Out</v>
          </cell>
        </row>
        <row r="773">
          <cell r="B773" t="str">
            <v>Spirit Break</v>
          </cell>
        </row>
        <row r="774">
          <cell r="B774" t="str">
            <v>Spirit Shackle</v>
          </cell>
        </row>
        <row r="775">
          <cell r="B775" t="str">
            <v>Spit Up</v>
          </cell>
        </row>
        <row r="776">
          <cell r="B776" t="str">
            <v>Spite</v>
          </cell>
        </row>
        <row r="777">
          <cell r="B777" t="str">
            <v>Splash</v>
          </cell>
        </row>
        <row r="778">
          <cell r="B778" t="str">
            <v>Splintered Stormshards</v>
          </cell>
        </row>
        <row r="779">
          <cell r="B779" t="str">
            <v>Splishy Splash</v>
          </cell>
        </row>
        <row r="780">
          <cell r="B780" t="str">
            <v>Spore</v>
          </cell>
        </row>
        <row r="781">
          <cell r="B781" t="str">
            <v>Spotlight</v>
          </cell>
        </row>
        <row r="782">
          <cell r="B782" t="str">
            <v>Springtide Storm</v>
          </cell>
        </row>
        <row r="783">
          <cell r="B783" t="str">
            <v>Stealth Rock</v>
          </cell>
        </row>
        <row r="784">
          <cell r="B784" t="str">
            <v>Steam Eruption</v>
          </cell>
        </row>
        <row r="785">
          <cell r="B785" t="str">
            <v>Steamroller</v>
          </cell>
        </row>
        <row r="786">
          <cell r="B786" t="str">
            <v>Steel Beam</v>
          </cell>
        </row>
        <row r="787">
          <cell r="B787" t="str">
            <v>Steel Roller</v>
          </cell>
        </row>
        <row r="788">
          <cell r="B788" t="str">
            <v>Steel Wing</v>
          </cell>
        </row>
        <row r="789">
          <cell r="B789" t="str">
            <v>Sticky Web</v>
          </cell>
        </row>
        <row r="790">
          <cell r="B790" t="str">
            <v>Stockpile</v>
          </cell>
        </row>
        <row r="791">
          <cell r="B791" t="str">
            <v>Stoked Sparksurfer</v>
          </cell>
        </row>
        <row r="792">
          <cell r="B792" t="str">
            <v>Stomp</v>
          </cell>
        </row>
        <row r="793">
          <cell r="B793" t="str">
            <v>Stomping Tantrum</v>
          </cell>
        </row>
        <row r="794">
          <cell r="B794" t="str">
            <v>Stone Axe</v>
          </cell>
        </row>
        <row r="795">
          <cell r="B795" t="str">
            <v>Stone Edge</v>
          </cell>
        </row>
        <row r="796">
          <cell r="B796" t="str">
            <v>Stored Power</v>
          </cell>
        </row>
        <row r="797">
          <cell r="B797" t="str">
            <v>Storm Throw</v>
          </cell>
        </row>
        <row r="798">
          <cell r="B798" t="str">
            <v>Strange Steam</v>
          </cell>
        </row>
        <row r="799">
          <cell r="B799" t="str">
            <v>Strength</v>
          </cell>
        </row>
        <row r="800">
          <cell r="B800" t="str">
            <v>Strength Sap</v>
          </cell>
        </row>
        <row r="801">
          <cell r="B801" t="str">
            <v>String Shot</v>
          </cell>
        </row>
        <row r="802">
          <cell r="B802" t="str">
            <v>Struggle</v>
          </cell>
        </row>
        <row r="803">
          <cell r="B803" t="str">
            <v>Struggle Bug</v>
          </cell>
        </row>
        <row r="804">
          <cell r="B804" t="str">
            <v>Stuff Cheeks</v>
          </cell>
        </row>
        <row r="805">
          <cell r="B805" t="str">
            <v>Stun Spore</v>
          </cell>
        </row>
        <row r="806">
          <cell r="B806" t="str">
            <v>Submission</v>
          </cell>
        </row>
        <row r="807">
          <cell r="B807" t="str">
            <v>Substitute</v>
          </cell>
        </row>
        <row r="808">
          <cell r="B808" t="str">
            <v>Subzero Slammer Physical</v>
          </cell>
        </row>
        <row r="809">
          <cell r="B809" t="str">
            <v>Subzero Slammer Special</v>
          </cell>
        </row>
        <row r="810">
          <cell r="B810" t="str">
            <v>Sucker Punch</v>
          </cell>
        </row>
        <row r="811">
          <cell r="B811" t="str">
            <v>Sunny Day</v>
          </cell>
        </row>
        <row r="812">
          <cell r="B812" t="str">
            <v>Sunsteel Strike</v>
          </cell>
        </row>
        <row r="813">
          <cell r="B813" t="str">
            <v>Super Fang</v>
          </cell>
        </row>
        <row r="814">
          <cell r="B814" t="str">
            <v>Supercell Slam</v>
          </cell>
        </row>
        <row r="815">
          <cell r="B815" t="str">
            <v>Superpower</v>
          </cell>
        </row>
        <row r="816">
          <cell r="B816" t="str">
            <v>Supersonic</v>
          </cell>
        </row>
        <row r="817">
          <cell r="B817" t="str">
            <v>Supersonic Skystrike Physical</v>
          </cell>
        </row>
        <row r="818">
          <cell r="B818" t="str">
            <v>Supersonic Skystrike Special</v>
          </cell>
        </row>
        <row r="819">
          <cell r="B819" t="str">
            <v>Surf</v>
          </cell>
        </row>
        <row r="820">
          <cell r="B820" t="str">
            <v>Surging Strikes</v>
          </cell>
        </row>
        <row r="821">
          <cell r="B821" t="str">
            <v>Swagger</v>
          </cell>
        </row>
        <row r="822">
          <cell r="B822" t="str">
            <v>Swallow</v>
          </cell>
        </row>
        <row r="823">
          <cell r="B823" t="str">
            <v>Sweet Kiss</v>
          </cell>
        </row>
        <row r="824">
          <cell r="B824" t="str">
            <v>Sweet Scent</v>
          </cell>
        </row>
        <row r="825">
          <cell r="B825" t="str">
            <v>Swift</v>
          </cell>
        </row>
        <row r="826">
          <cell r="B826" t="str">
            <v>Switcheroo</v>
          </cell>
        </row>
        <row r="827">
          <cell r="B827" t="str">
            <v>Swords Dance</v>
          </cell>
        </row>
        <row r="828">
          <cell r="B828" t="str">
            <v>Synchronoise</v>
          </cell>
        </row>
        <row r="829">
          <cell r="B829" t="str">
            <v>Synthesis</v>
          </cell>
        </row>
        <row r="830">
          <cell r="B830" t="str">
            <v>Syrup Bomb</v>
          </cell>
        </row>
        <row r="831">
          <cell r="B831" t="str">
            <v>Tachyon Cutter</v>
          </cell>
        </row>
        <row r="832">
          <cell r="B832" t="str">
            <v>Tackle</v>
          </cell>
        </row>
        <row r="833">
          <cell r="B833" t="str">
            <v>Tail Glow</v>
          </cell>
        </row>
        <row r="834">
          <cell r="B834" t="str">
            <v>Tail Slap</v>
          </cell>
        </row>
        <row r="835">
          <cell r="B835" t="str">
            <v>Tail Whip</v>
          </cell>
        </row>
        <row r="836">
          <cell r="B836" t="str">
            <v>Tailwind</v>
          </cell>
        </row>
        <row r="837">
          <cell r="B837" t="str">
            <v>Take Down</v>
          </cell>
        </row>
        <row r="838">
          <cell r="B838" t="str">
            <v>Take Heart</v>
          </cell>
        </row>
        <row r="839">
          <cell r="B839" t="str">
            <v>Tar Shot</v>
          </cell>
        </row>
        <row r="840">
          <cell r="B840" t="str">
            <v>Taunt</v>
          </cell>
        </row>
        <row r="841">
          <cell r="B841" t="str">
            <v>Tearful Look</v>
          </cell>
        </row>
        <row r="842">
          <cell r="B842" t="str">
            <v>Teatime</v>
          </cell>
        </row>
        <row r="843">
          <cell r="B843" t="str">
            <v>Techno Blast</v>
          </cell>
        </row>
        <row r="844">
          <cell r="B844" t="str">
            <v>Tectonic Rage Physical</v>
          </cell>
        </row>
        <row r="845">
          <cell r="B845" t="str">
            <v>Tectonic Rage Special</v>
          </cell>
        </row>
        <row r="846">
          <cell r="B846" t="str">
            <v>Teeter Dance</v>
          </cell>
        </row>
        <row r="847">
          <cell r="B847" t="str">
            <v>Telekinesis</v>
          </cell>
        </row>
        <row r="848">
          <cell r="B848" t="str">
            <v>Teleport</v>
          </cell>
        </row>
        <row r="849">
          <cell r="B849" t="str">
            <v>Temper Flare</v>
          </cell>
        </row>
        <row r="850">
          <cell r="B850" t="str">
            <v>Tera Blast</v>
          </cell>
        </row>
        <row r="851">
          <cell r="B851" t="str">
            <v>Tera Starstorm</v>
          </cell>
        </row>
        <row r="852">
          <cell r="B852" t="str">
            <v>Terrain Pulse</v>
          </cell>
        </row>
        <row r="853">
          <cell r="B853" t="str">
            <v>Thief</v>
          </cell>
        </row>
        <row r="854">
          <cell r="B854" t="str">
            <v>Thousand Arrows</v>
          </cell>
        </row>
        <row r="855">
          <cell r="B855" t="str">
            <v>Thousand Waves</v>
          </cell>
        </row>
        <row r="856">
          <cell r="B856" t="str">
            <v>Thrash</v>
          </cell>
        </row>
        <row r="857">
          <cell r="B857" t="str">
            <v>Throat Chop</v>
          </cell>
        </row>
        <row r="858">
          <cell r="B858" t="str">
            <v>Thunder</v>
          </cell>
        </row>
        <row r="859">
          <cell r="B859" t="str">
            <v>Thunder Cage</v>
          </cell>
        </row>
        <row r="860">
          <cell r="B860" t="str">
            <v>Thunder Fang</v>
          </cell>
        </row>
        <row r="861">
          <cell r="B861" t="str">
            <v>Thunder Punch</v>
          </cell>
        </row>
        <row r="862">
          <cell r="B862" t="str">
            <v>Thunder Shock</v>
          </cell>
        </row>
        <row r="863">
          <cell r="B863" t="str">
            <v>Thunder Wave</v>
          </cell>
        </row>
        <row r="864">
          <cell r="B864" t="str">
            <v>Thunderbolt</v>
          </cell>
        </row>
        <row r="865">
          <cell r="B865" t="str">
            <v>Thunderclap</v>
          </cell>
        </row>
        <row r="866">
          <cell r="B866" t="str">
            <v>Thunderous Kick</v>
          </cell>
        </row>
        <row r="867">
          <cell r="B867" t="str">
            <v>Tickle</v>
          </cell>
        </row>
        <row r="868">
          <cell r="B868" t="str">
            <v>Tidy Up</v>
          </cell>
        </row>
        <row r="869">
          <cell r="B869" t="str">
            <v>Topsy Turvy</v>
          </cell>
        </row>
        <row r="870">
          <cell r="B870" t="str">
            <v>Torch Song</v>
          </cell>
        </row>
        <row r="871">
          <cell r="B871" t="str">
            <v>Torment</v>
          </cell>
        </row>
        <row r="872">
          <cell r="B872" t="str">
            <v>Toxic</v>
          </cell>
        </row>
        <row r="873">
          <cell r="B873" t="str">
            <v>Toxic Spikes</v>
          </cell>
        </row>
        <row r="874">
          <cell r="B874" t="str">
            <v>Toxic Thread</v>
          </cell>
        </row>
        <row r="875">
          <cell r="B875" t="str">
            <v>Trailblaze</v>
          </cell>
        </row>
        <row r="876">
          <cell r="B876" t="str">
            <v>Transform</v>
          </cell>
        </row>
        <row r="877">
          <cell r="B877" t="str">
            <v>Tri Attack</v>
          </cell>
        </row>
        <row r="878">
          <cell r="B878" t="str">
            <v>Trick</v>
          </cell>
        </row>
        <row r="879">
          <cell r="B879" t="str">
            <v>Trick Or Treat</v>
          </cell>
        </row>
        <row r="880">
          <cell r="B880" t="str">
            <v>Trick Room</v>
          </cell>
        </row>
        <row r="881">
          <cell r="B881" t="str">
            <v>Triple Arrows</v>
          </cell>
        </row>
        <row r="882">
          <cell r="B882" t="str">
            <v>Triple Axel</v>
          </cell>
        </row>
        <row r="883">
          <cell r="B883" t="str">
            <v>Triple Dive</v>
          </cell>
        </row>
        <row r="884">
          <cell r="B884" t="str">
            <v>Triple Kick</v>
          </cell>
        </row>
        <row r="885">
          <cell r="B885" t="str">
            <v>Trop Kick</v>
          </cell>
        </row>
        <row r="886">
          <cell r="B886" t="str">
            <v>Trump Card</v>
          </cell>
        </row>
        <row r="887">
          <cell r="B887" t="str">
            <v>Twin Beam</v>
          </cell>
        </row>
        <row r="888">
          <cell r="B888" t="str">
            <v>Twineedle</v>
          </cell>
        </row>
        <row r="889">
          <cell r="B889" t="str">
            <v>Twinkle Tackle Physical</v>
          </cell>
        </row>
        <row r="890">
          <cell r="B890" t="str">
            <v>Twinkle Tackle Special</v>
          </cell>
        </row>
        <row r="891">
          <cell r="B891" t="str">
            <v>Twister</v>
          </cell>
        </row>
        <row r="892">
          <cell r="B892" t="str">
            <v>U Turn</v>
          </cell>
        </row>
        <row r="893">
          <cell r="B893" t="str">
            <v>Upper Hand</v>
          </cell>
        </row>
        <row r="894">
          <cell r="B894" t="str">
            <v>Uproar</v>
          </cell>
        </row>
        <row r="895">
          <cell r="B895" t="str">
            <v>V Create</v>
          </cell>
        </row>
        <row r="896">
          <cell r="B896" t="str">
            <v>Vacuum Wave</v>
          </cell>
        </row>
        <row r="897">
          <cell r="B897" t="str">
            <v>Veevee Volley</v>
          </cell>
        </row>
        <row r="898">
          <cell r="B898" t="str">
            <v>Venom Drench</v>
          </cell>
        </row>
        <row r="899">
          <cell r="B899" t="str">
            <v>Venoshock</v>
          </cell>
        </row>
        <row r="900">
          <cell r="B900" t="str">
            <v>Vice Grip</v>
          </cell>
        </row>
        <row r="901">
          <cell r="B901" t="str">
            <v>Victory Dance</v>
          </cell>
        </row>
        <row r="902">
          <cell r="B902" t="str">
            <v>Vine Whip</v>
          </cell>
        </row>
        <row r="903">
          <cell r="B903" t="str">
            <v>Vital Throw</v>
          </cell>
        </row>
        <row r="904">
          <cell r="B904" t="str">
            <v>Volt Switch</v>
          </cell>
        </row>
        <row r="905">
          <cell r="B905" t="str">
            <v>Volt Tackle</v>
          </cell>
        </row>
        <row r="906">
          <cell r="B906" t="str">
            <v>Wake Up Slap</v>
          </cell>
        </row>
        <row r="907">
          <cell r="B907" t="str">
            <v>Water Gun</v>
          </cell>
        </row>
        <row r="908">
          <cell r="B908" t="str">
            <v>Water Pledge</v>
          </cell>
        </row>
        <row r="909">
          <cell r="B909" t="str">
            <v>Water Pulse</v>
          </cell>
        </row>
        <row r="910">
          <cell r="B910" t="str">
            <v>Water Shuriken</v>
          </cell>
        </row>
        <row r="911">
          <cell r="B911" t="str">
            <v>Water Sport</v>
          </cell>
        </row>
        <row r="912">
          <cell r="B912" t="str">
            <v>Water Spout</v>
          </cell>
        </row>
        <row r="913">
          <cell r="B913" t="str">
            <v>Waterfall</v>
          </cell>
        </row>
        <row r="914">
          <cell r="B914" t="str">
            <v>Wave Crash</v>
          </cell>
        </row>
        <row r="915">
          <cell r="B915" t="str">
            <v>Weather Ball</v>
          </cell>
        </row>
        <row r="916">
          <cell r="B916" t="str">
            <v>Whirlpool</v>
          </cell>
        </row>
        <row r="917">
          <cell r="B917" t="str">
            <v>Whirlwind</v>
          </cell>
        </row>
        <row r="918">
          <cell r="B918" t="str">
            <v>Wicked Blow</v>
          </cell>
        </row>
        <row r="919">
          <cell r="B919" t="str">
            <v>Wicked Torque</v>
          </cell>
        </row>
        <row r="920">
          <cell r="B920" t="str">
            <v>Wide Guard</v>
          </cell>
        </row>
        <row r="921">
          <cell r="B921" t="str">
            <v>Wild Charge</v>
          </cell>
        </row>
        <row r="922">
          <cell r="B922" t="str">
            <v>Wildbolt Storm</v>
          </cell>
        </row>
        <row r="923">
          <cell r="B923" t="str">
            <v>Will O Wisp</v>
          </cell>
        </row>
        <row r="924">
          <cell r="B924" t="str">
            <v>Wing Attack</v>
          </cell>
        </row>
        <row r="925">
          <cell r="B925" t="str">
            <v>Wish</v>
          </cell>
        </row>
        <row r="926">
          <cell r="B926" t="str">
            <v>Withdraw</v>
          </cell>
        </row>
        <row r="927">
          <cell r="B927" t="str">
            <v>Wonder Room</v>
          </cell>
        </row>
        <row r="928">
          <cell r="B928" t="str">
            <v>Wood Hammer</v>
          </cell>
        </row>
        <row r="929">
          <cell r="B929" t="str">
            <v>Work Up</v>
          </cell>
        </row>
        <row r="930">
          <cell r="B930" t="str">
            <v>Worry Seed</v>
          </cell>
        </row>
        <row r="931">
          <cell r="B931" t="str">
            <v>Wrap</v>
          </cell>
        </row>
        <row r="932">
          <cell r="B932" t="str">
            <v>Wring Out</v>
          </cell>
        </row>
        <row r="933">
          <cell r="B933" t="str">
            <v>X Scissor</v>
          </cell>
        </row>
        <row r="934">
          <cell r="B934" t="str">
            <v>Yawn</v>
          </cell>
        </row>
        <row r="935">
          <cell r="B935" t="str">
            <v>Zap Cannon</v>
          </cell>
        </row>
        <row r="936">
          <cell r="B936" t="str">
            <v>Zen Headbutt</v>
          </cell>
        </row>
        <row r="937">
          <cell r="B937" t="str">
            <v>Zing Zap</v>
          </cell>
        </row>
        <row r="938">
          <cell r="B938" t="str">
            <v>Zippy Zap</v>
          </cell>
        </row>
      </sheetData>
      <sheetData sheetId="3" refreshError="1"/>
      <sheetData sheetId="4" refreshError="1"/>
      <sheetData sheetId="5" refreshError="1"/>
      <sheetData sheetId="6" refreshError="1"/>
      <sheetData sheetId="7">
        <row r="1">
          <cell r="A1" t="str">
            <v>ATTACKING_TYPE</v>
          </cell>
          <cell r="B1" t="str">
            <v>Normal</v>
          </cell>
          <cell r="C1" t="str">
            <v>Fire</v>
          </cell>
          <cell r="D1" t="str">
            <v>Water</v>
          </cell>
          <cell r="E1" t="str">
            <v>Grass</v>
          </cell>
          <cell r="F1" t="str">
            <v>Electric</v>
          </cell>
          <cell r="G1" t="str">
            <v>Ice</v>
          </cell>
          <cell r="H1" t="str">
            <v>Fighting</v>
          </cell>
          <cell r="I1" t="str">
            <v>Poison</v>
          </cell>
          <cell r="J1" t="str">
            <v>Ground</v>
          </cell>
          <cell r="K1" t="str">
            <v>Flying</v>
          </cell>
          <cell r="L1" t="str">
            <v>Psychic</v>
          </cell>
          <cell r="M1" t="str">
            <v>Bug</v>
          </cell>
          <cell r="N1" t="str">
            <v>Rock</v>
          </cell>
          <cell r="O1" t="str">
            <v>Ghost</v>
          </cell>
          <cell r="P1" t="str">
            <v>Dragon</v>
          </cell>
          <cell r="Q1" t="str">
            <v>Dark</v>
          </cell>
          <cell r="R1" t="str">
            <v>Steel</v>
          </cell>
          <cell r="S1" t="str">
            <v>Fairy</v>
          </cell>
          <cell r="T1" t="str">
            <v>Stellar</v>
          </cell>
        </row>
        <row r="2">
          <cell r="A2" t="str">
            <v>Normal</v>
          </cell>
          <cell r="B2">
            <v>1</v>
          </cell>
          <cell r="C2">
            <v>1</v>
          </cell>
          <cell r="D2">
            <v>1</v>
          </cell>
          <cell r="E2">
            <v>1</v>
          </cell>
          <cell r="F2">
            <v>1</v>
          </cell>
          <cell r="G2">
            <v>1</v>
          </cell>
          <cell r="H2">
            <v>1</v>
          </cell>
          <cell r="I2">
            <v>1</v>
          </cell>
          <cell r="J2">
            <v>1</v>
          </cell>
          <cell r="K2">
            <v>1</v>
          </cell>
          <cell r="L2">
            <v>1</v>
          </cell>
          <cell r="M2">
            <v>1</v>
          </cell>
          <cell r="N2">
            <v>0.5</v>
          </cell>
          <cell r="O2">
            <v>0</v>
          </cell>
          <cell r="P2">
            <v>1</v>
          </cell>
          <cell r="Q2">
            <v>1</v>
          </cell>
          <cell r="R2">
            <v>0.5</v>
          </cell>
          <cell r="S2">
            <v>1</v>
          </cell>
          <cell r="T2">
            <v>1</v>
          </cell>
        </row>
        <row r="3">
          <cell r="A3" t="str">
            <v>Fire</v>
          </cell>
          <cell r="B3">
            <v>1</v>
          </cell>
          <cell r="C3">
            <v>0.5</v>
          </cell>
          <cell r="D3">
            <v>0.5</v>
          </cell>
          <cell r="E3">
            <v>2</v>
          </cell>
          <cell r="F3">
            <v>1</v>
          </cell>
          <cell r="G3">
            <v>2</v>
          </cell>
          <cell r="H3">
            <v>1</v>
          </cell>
          <cell r="I3">
            <v>1</v>
          </cell>
          <cell r="J3">
            <v>1</v>
          </cell>
          <cell r="K3">
            <v>1</v>
          </cell>
          <cell r="L3">
            <v>1</v>
          </cell>
          <cell r="M3">
            <v>2</v>
          </cell>
          <cell r="N3">
            <v>0.5</v>
          </cell>
          <cell r="O3">
            <v>1</v>
          </cell>
          <cell r="P3">
            <v>0.5</v>
          </cell>
          <cell r="Q3">
            <v>1</v>
          </cell>
          <cell r="R3">
            <v>2</v>
          </cell>
          <cell r="S3">
            <v>1</v>
          </cell>
          <cell r="T3">
            <v>1</v>
          </cell>
        </row>
        <row r="4">
          <cell r="A4" t="str">
            <v>Water</v>
          </cell>
          <cell r="B4">
            <v>1</v>
          </cell>
          <cell r="C4">
            <v>2</v>
          </cell>
          <cell r="D4">
            <v>0.5</v>
          </cell>
          <cell r="E4">
            <v>0.5</v>
          </cell>
          <cell r="F4">
            <v>1</v>
          </cell>
          <cell r="G4">
            <v>1</v>
          </cell>
          <cell r="H4">
            <v>1</v>
          </cell>
          <cell r="I4">
            <v>1</v>
          </cell>
          <cell r="J4">
            <v>2</v>
          </cell>
          <cell r="K4">
            <v>1</v>
          </cell>
          <cell r="L4">
            <v>1</v>
          </cell>
          <cell r="M4">
            <v>1</v>
          </cell>
          <cell r="N4">
            <v>2</v>
          </cell>
          <cell r="O4">
            <v>1</v>
          </cell>
          <cell r="P4">
            <v>0.5</v>
          </cell>
          <cell r="Q4">
            <v>1</v>
          </cell>
          <cell r="R4">
            <v>1</v>
          </cell>
          <cell r="S4">
            <v>1</v>
          </cell>
          <cell r="T4">
            <v>1</v>
          </cell>
        </row>
        <row r="5">
          <cell r="A5" t="str">
            <v>Grass</v>
          </cell>
          <cell r="B5">
            <v>1</v>
          </cell>
          <cell r="C5">
            <v>0.5</v>
          </cell>
          <cell r="D5">
            <v>2</v>
          </cell>
          <cell r="E5">
            <v>0.5</v>
          </cell>
          <cell r="F5">
            <v>1</v>
          </cell>
          <cell r="G5">
            <v>1</v>
          </cell>
          <cell r="H5">
            <v>1</v>
          </cell>
          <cell r="I5">
            <v>0.5</v>
          </cell>
          <cell r="J5">
            <v>2</v>
          </cell>
          <cell r="K5">
            <v>0.5</v>
          </cell>
          <cell r="L5">
            <v>1</v>
          </cell>
          <cell r="M5">
            <v>0.5</v>
          </cell>
          <cell r="N5">
            <v>2</v>
          </cell>
          <cell r="O5">
            <v>1</v>
          </cell>
          <cell r="P5">
            <v>0.5</v>
          </cell>
          <cell r="Q5">
            <v>1</v>
          </cell>
          <cell r="R5">
            <v>0.5</v>
          </cell>
          <cell r="S5">
            <v>1</v>
          </cell>
          <cell r="T5">
            <v>1</v>
          </cell>
        </row>
        <row r="6">
          <cell r="A6" t="str">
            <v>Electric</v>
          </cell>
          <cell r="B6">
            <v>1</v>
          </cell>
          <cell r="C6">
            <v>1</v>
          </cell>
          <cell r="D6">
            <v>2</v>
          </cell>
          <cell r="E6">
            <v>0.5</v>
          </cell>
          <cell r="F6">
            <v>0.5</v>
          </cell>
          <cell r="G6">
            <v>1</v>
          </cell>
          <cell r="H6">
            <v>1</v>
          </cell>
          <cell r="I6">
            <v>1</v>
          </cell>
          <cell r="J6">
            <v>0</v>
          </cell>
          <cell r="K6">
            <v>2</v>
          </cell>
          <cell r="L6">
            <v>1</v>
          </cell>
          <cell r="M6">
            <v>1</v>
          </cell>
          <cell r="N6">
            <v>1</v>
          </cell>
          <cell r="O6">
            <v>1</v>
          </cell>
          <cell r="P6">
            <v>0.5</v>
          </cell>
          <cell r="Q6">
            <v>1</v>
          </cell>
          <cell r="R6">
            <v>1</v>
          </cell>
          <cell r="S6">
            <v>1</v>
          </cell>
          <cell r="T6">
            <v>1</v>
          </cell>
        </row>
        <row r="7">
          <cell r="A7" t="str">
            <v>Ice</v>
          </cell>
          <cell r="B7">
            <v>1</v>
          </cell>
          <cell r="C7">
            <v>0.5</v>
          </cell>
          <cell r="D7">
            <v>0.5</v>
          </cell>
          <cell r="E7">
            <v>2</v>
          </cell>
          <cell r="F7">
            <v>1</v>
          </cell>
          <cell r="G7">
            <v>0.5</v>
          </cell>
          <cell r="H7">
            <v>1</v>
          </cell>
          <cell r="I7">
            <v>1</v>
          </cell>
          <cell r="J7">
            <v>2</v>
          </cell>
          <cell r="K7">
            <v>2</v>
          </cell>
          <cell r="L7">
            <v>1</v>
          </cell>
          <cell r="M7">
            <v>1</v>
          </cell>
          <cell r="N7">
            <v>1</v>
          </cell>
          <cell r="O7">
            <v>1</v>
          </cell>
          <cell r="P7">
            <v>2</v>
          </cell>
          <cell r="Q7">
            <v>1</v>
          </cell>
          <cell r="R7">
            <v>0.5</v>
          </cell>
          <cell r="S7">
            <v>1</v>
          </cell>
          <cell r="T7">
            <v>1</v>
          </cell>
        </row>
        <row r="8">
          <cell r="A8" t="str">
            <v>Fighting</v>
          </cell>
          <cell r="B8">
            <v>2</v>
          </cell>
          <cell r="C8">
            <v>1</v>
          </cell>
          <cell r="D8">
            <v>1</v>
          </cell>
          <cell r="E8">
            <v>1</v>
          </cell>
          <cell r="F8">
            <v>1</v>
          </cell>
          <cell r="G8">
            <v>2</v>
          </cell>
          <cell r="H8">
            <v>1</v>
          </cell>
          <cell r="I8">
            <v>0.5</v>
          </cell>
          <cell r="J8">
            <v>1</v>
          </cell>
          <cell r="K8">
            <v>0.5</v>
          </cell>
          <cell r="L8">
            <v>0.5</v>
          </cell>
          <cell r="M8">
            <v>0.5</v>
          </cell>
          <cell r="N8">
            <v>2</v>
          </cell>
          <cell r="O8">
            <v>0</v>
          </cell>
          <cell r="P8">
            <v>1</v>
          </cell>
          <cell r="Q8">
            <v>2</v>
          </cell>
          <cell r="R8">
            <v>2</v>
          </cell>
          <cell r="S8">
            <v>0.5</v>
          </cell>
          <cell r="T8">
            <v>1</v>
          </cell>
        </row>
        <row r="9">
          <cell r="A9" t="str">
            <v>Poison</v>
          </cell>
          <cell r="B9">
            <v>1</v>
          </cell>
          <cell r="C9">
            <v>1</v>
          </cell>
          <cell r="D9">
            <v>1</v>
          </cell>
          <cell r="E9">
            <v>2</v>
          </cell>
          <cell r="F9">
            <v>1</v>
          </cell>
          <cell r="G9">
            <v>1</v>
          </cell>
          <cell r="H9">
            <v>1</v>
          </cell>
          <cell r="I9">
            <v>0.5</v>
          </cell>
          <cell r="J9">
            <v>0.5</v>
          </cell>
          <cell r="K9">
            <v>1</v>
          </cell>
          <cell r="L9">
            <v>1</v>
          </cell>
          <cell r="M9">
            <v>1</v>
          </cell>
          <cell r="N9">
            <v>0.5</v>
          </cell>
          <cell r="O9">
            <v>0.5</v>
          </cell>
          <cell r="P9">
            <v>1</v>
          </cell>
          <cell r="Q9">
            <v>1</v>
          </cell>
          <cell r="R9">
            <v>0</v>
          </cell>
          <cell r="S9">
            <v>2</v>
          </cell>
          <cell r="T9">
            <v>1</v>
          </cell>
        </row>
        <row r="10">
          <cell r="A10" t="str">
            <v>Ground</v>
          </cell>
          <cell r="B10">
            <v>1</v>
          </cell>
          <cell r="C10">
            <v>2</v>
          </cell>
          <cell r="D10">
            <v>1</v>
          </cell>
          <cell r="E10">
            <v>0.5</v>
          </cell>
          <cell r="F10">
            <v>2</v>
          </cell>
          <cell r="G10">
            <v>1</v>
          </cell>
          <cell r="H10">
            <v>1</v>
          </cell>
          <cell r="I10">
            <v>2</v>
          </cell>
          <cell r="J10">
            <v>1</v>
          </cell>
          <cell r="K10">
            <v>0</v>
          </cell>
          <cell r="L10">
            <v>1</v>
          </cell>
          <cell r="M10">
            <v>0.5</v>
          </cell>
          <cell r="N10">
            <v>2</v>
          </cell>
          <cell r="O10">
            <v>1</v>
          </cell>
          <cell r="P10">
            <v>1</v>
          </cell>
          <cell r="Q10">
            <v>1</v>
          </cell>
          <cell r="R10">
            <v>2</v>
          </cell>
          <cell r="S10">
            <v>1</v>
          </cell>
          <cell r="T10">
            <v>1</v>
          </cell>
        </row>
        <row r="11">
          <cell r="A11" t="str">
            <v>Flying</v>
          </cell>
          <cell r="B11">
            <v>1</v>
          </cell>
          <cell r="C11">
            <v>1</v>
          </cell>
          <cell r="D11">
            <v>1</v>
          </cell>
          <cell r="E11">
            <v>2</v>
          </cell>
          <cell r="F11">
            <v>0.5</v>
          </cell>
          <cell r="G11">
            <v>1</v>
          </cell>
          <cell r="H11">
            <v>2</v>
          </cell>
          <cell r="I11">
            <v>1</v>
          </cell>
          <cell r="J11">
            <v>1</v>
          </cell>
          <cell r="K11">
            <v>1</v>
          </cell>
          <cell r="L11">
            <v>1</v>
          </cell>
          <cell r="M11">
            <v>2</v>
          </cell>
          <cell r="N11">
            <v>0.5</v>
          </cell>
          <cell r="O11">
            <v>1</v>
          </cell>
          <cell r="P11">
            <v>1</v>
          </cell>
          <cell r="Q11">
            <v>1</v>
          </cell>
          <cell r="R11">
            <v>0.5</v>
          </cell>
          <cell r="S11">
            <v>1</v>
          </cell>
          <cell r="T11">
            <v>1</v>
          </cell>
        </row>
        <row r="12">
          <cell r="A12" t="str">
            <v>Psychic</v>
          </cell>
          <cell r="B12">
            <v>1</v>
          </cell>
          <cell r="C12">
            <v>1</v>
          </cell>
          <cell r="D12">
            <v>1</v>
          </cell>
          <cell r="E12">
            <v>1</v>
          </cell>
          <cell r="F12">
            <v>1</v>
          </cell>
          <cell r="G12">
            <v>1</v>
          </cell>
          <cell r="H12">
            <v>2</v>
          </cell>
          <cell r="I12">
            <v>2</v>
          </cell>
          <cell r="J12">
            <v>1</v>
          </cell>
          <cell r="K12">
            <v>1</v>
          </cell>
          <cell r="L12">
            <v>0.5</v>
          </cell>
          <cell r="M12">
            <v>1</v>
          </cell>
          <cell r="N12">
            <v>1</v>
          </cell>
          <cell r="O12">
            <v>1</v>
          </cell>
          <cell r="P12">
            <v>1</v>
          </cell>
          <cell r="Q12">
            <v>0</v>
          </cell>
          <cell r="R12">
            <v>0.5</v>
          </cell>
          <cell r="S12">
            <v>1</v>
          </cell>
          <cell r="T12">
            <v>1</v>
          </cell>
        </row>
        <row r="13">
          <cell r="A13" t="str">
            <v>Bug</v>
          </cell>
          <cell r="B13">
            <v>1</v>
          </cell>
          <cell r="C13">
            <v>0.5</v>
          </cell>
          <cell r="D13">
            <v>1</v>
          </cell>
          <cell r="E13">
            <v>2</v>
          </cell>
          <cell r="F13">
            <v>1</v>
          </cell>
          <cell r="G13">
            <v>1</v>
          </cell>
          <cell r="H13">
            <v>0.5</v>
          </cell>
          <cell r="I13">
            <v>0.5</v>
          </cell>
          <cell r="J13">
            <v>1</v>
          </cell>
          <cell r="K13">
            <v>0.5</v>
          </cell>
          <cell r="L13">
            <v>2</v>
          </cell>
          <cell r="M13">
            <v>1</v>
          </cell>
          <cell r="N13">
            <v>1</v>
          </cell>
          <cell r="O13">
            <v>0.5</v>
          </cell>
          <cell r="P13">
            <v>1</v>
          </cell>
          <cell r="Q13">
            <v>2</v>
          </cell>
          <cell r="R13">
            <v>0.5</v>
          </cell>
          <cell r="S13">
            <v>0.5</v>
          </cell>
          <cell r="T13">
            <v>1</v>
          </cell>
        </row>
        <row r="14">
          <cell r="A14" t="str">
            <v>Rock</v>
          </cell>
          <cell r="B14">
            <v>1</v>
          </cell>
          <cell r="C14">
            <v>2</v>
          </cell>
          <cell r="D14">
            <v>1</v>
          </cell>
          <cell r="E14">
            <v>1</v>
          </cell>
          <cell r="F14">
            <v>1</v>
          </cell>
          <cell r="G14">
            <v>2</v>
          </cell>
          <cell r="H14">
            <v>0.5</v>
          </cell>
          <cell r="I14">
            <v>1</v>
          </cell>
          <cell r="J14">
            <v>0.5</v>
          </cell>
          <cell r="K14">
            <v>2</v>
          </cell>
          <cell r="L14">
            <v>1</v>
          </cell>
          <cell r="M14">
            <v>2</v>
          </cell>
          <cell r="N14">
            <v>1</v>
          </cell>
          <cell r="O14">
            <v>1</v>
          </cell>
          <cell r="P14">
            <v>1</v>
          </cell>
          <cell r="Q14">
            <v>1</v>
          </cell>
          <cell r="R14">
            <v>0.5</v>
          </cell>
          <cell r="S14">
            <v>1</v>
          </cell>
          <cell r="T14">
            <v>1</v>
          </cell>
        </row>
        <row r="15">
          <cell r="A15" t="str">
            <v>Ghost</v>
          </cell>
          <cell r="B15">
            <v>0</v>
          </cell>
          <cell r="C15">
            <v>1</v>
          </cell>
          <cell r="D15">
            <v>1</v>
          </cell>
          <cell r="E15">
            <v>1</v>
          </cell>
          <cell r="F15">
            <v>1</v>
          </cell>
          <cell r="G15">
            <v>1</v>
          </cell>
          <cell r="H15">
            <v>1</v>
          </cell>
          <cell r="I15">
            <v>1</v>
          </cell>
          <cell r="J15">
            <v>1</v>
          </cell>
          <cell r="K15">
            <v>1</v>
          </cell>
          <cell r="L15">
            <v>2</v>
          </cell>
          <cell r="M15">
            <v>1</v>
          </cell>
          <cell r="N15">
            <v>1</v>
          </cell>
          <cell r="O15">
            <v>2</v>
          </cell>
          <cell r="P15">
            <v>1</v>
          </cell>
          <cell r="Q15">
            <v>0.5</v>
          </cell>
          <cell r="R15">
            <v>1</v>
          </cell>
          <cell r="S15">
            <v>1</v>
          </cell>
          <cell r="T15">
            <v>1</v>
          </cell>
        </row>
        <row r="16">
          <cell r="A16" t="str">
            <v>Dragon</v>
          </cell>
          <cell r="B16">
            <v>1</v>
          </cell>
          <cell r="C16">
            <v>1</v>
          </cell>
          <cell r="D16">
            <v>1</v>
          </cell>
          <cell r="E16">
            <v>1</v>
          </cell>
          <cell r="F16">
            <v>1</v>
          </cell>
          <cell r="G16">
            <v>1</v>
          </cell>
          <cell r="H16">
            <v>1</v>
          </cell>
          <cell r="I16">
            <v>1</v>
          </cell>
          <cell r="J16">
            <v>1</v>
          </cell>
          <cell r="K16">
            <v>1</v>
          </cell>
          <cell r="L16">
            <v>1</v>
          </cell>
          <cell r="M16">
            <v>1</v>
          </cell>
          <cell r="N16">
            <v>1</v>
          </cell>
          <cell r="O16">
            <v>1</v>
          </cell>
          <cell r="P16">
            <v>2</v>
          </cell>
          <cell r="Q16">
            <v>1</v>
          </cell>
          <cell r="R16">
            <v>0.5</v>
          </cell>
          <cell r="S16">
            <v>0</v>
          </cell>
          <cell r="T16">
            <v>1</v>
          </cell>
        </row>
        <row r="17">
          <cell r="A17" t="str">
            <v>Dark</v>
          </cell>
          <cell r="B17">
            <v>1</v>
          </cell>
          <cell r="C17">
            <v>1</v>
          </cell>
          <cell r="D17">
            <v>1</v>
          </cell>
          <cell r="E17">
            <v>1</v>
          </cell>
          <cell r="F17">
            <v>1</v>
          </cell>
          <cell r="G17">
            <v>1</v>
          </cell>
          <cell r="H17">
            <v>0.5</v>
          </cell>
          <cell r="I17">
            <v>1</v>
          </cell>
          <cell r="J17">
            <v>1</v>
          </cell>
          <cell r="K17">
            <v>1</v>
          </cell>
          <cell r="L17">
            <v>2</v>
          </cell>
          <cell r="M17">
            <v>1</v>
          </cell>
          <cell r="N17">
            <v>1</v>
          </cell>
          <cell r="O17">
            <v>2</v>
          </cell>
          <cell r="P17">
            <v>1</v>
          </cell>
          <cell r="Q17">
            <v>0.5</v>
          </cell>
          <cell r="R17">
            <v>1</v>
          </cell>
          <cell r="S17">
            <v>0.5</v>
          </cell>
          <cell r="T17">
            <v>1</v>
          </cell>
        </row>
        <row r="18">
          <cell r="A18" t="str">
            <v>Steel</v>
          </cell>
          <cell r="B18">
            <v>1</v>
          </cell>
          <cell r="C18">
            <v>0.5</v>
          </cell>
          <cell r="D18">
            <v>0.5</v>
          </cell>
          <cell r="E18">
            <v>1</v>
          </cell>
          <cell r="F18">
            <v>0.5</v>
          </cell>
          <cell r="G18">
            <v>2</v>
          </cell>
          <cell r="H18">
            <v>1</v>
          </cell>
          <cell r="I18">
            <v>1</v>
          </cell>
          <cell r="J18">
            <v>1</v>
          </cell>
          <cell r="K18">
            <v>1</v>
          </cell>
          <cell r="L18">
            <v>1</v>
          </cell>
          <cell r="M18">
            <v>1</v>
          </cell>
          <cell r="N18">
            <v>2</v>
          </cell>
          <cell r="O18">
            <v>1</v>
          </cell>
          <cell r="P18">
            <v>1</v>
          </cell>
          <cell r="Q18">
            <v>1</v>
          </cell>
          <cell r="R18">
            <v>0.5</v>
          </cell>
          <cell r="S18">
            <v>2</v>
          </cell>
          <cell r="T18">
            <v>1</v>
          </cell>
        </row>
        <row r="19">
          <cell r="A19" t="str">
            <v>Fairy</v>
          </cell>
          <cell r="B19">
            <v>1</v>
          </cell>
          <cell r="C19">
            <v>0.5</v>
          </cell>
          <cell r="D19">
            <v>1</v>
          </cell>
          <cell r="E19">
            <v>1</v>
          </cell>
          <cell r="F19">
            <v>1</v>
          </cell>
          <cell r="G19">
            <v>1</v>
          </cell>
          <cell r="H19">
            <v>2</v>
          </cell>
          <cell r="I19">
            <v>0.5</v>
          </cell>
          <cell r="J19">
            <v>1</v>
          </cell>
          <cell r="K19">
            <v>1</v>
          </cell>
          <cell r="L19">
            <v>1</v>
          </cell>
          <cell r="M19">
            <v>1</v>
          </cell>
          <cell r="N19">
            <v>1</v>
          </cell>
          <cell r="O19">
            <v>1</v>
          </cell>
          <cell r="P19">
            <v>2</v>
          </cell>
          <cell r="Q19">
            <v>2</v>
          </cell>
          <cell r="R19">
            <v>0.5</v>
          </cell>
          <cell r="S19">
            <v>1</v>
          </cell>
          <cell r="T19">
            <v>1</v>
          </cell>
        </row>
        <row r="20">
          <cell r="A20" t="str">
            <v>Stellar</v>
          </cell>
          <cell r="B20">
            <v>1</v>
          </cell>
          <cell r="C20">
            <v>1</v>
          </cell>
          <cell r="D20">
            <v>1</v>
          </cell>
          <cell r="E20">
            <v>1</v>
          </cell>
          <cell r="F20">
            <v>1</v>
          </cell>
          <cell r="G20">
            <v>1</v>
          </cell>
          <cell r="H20">
            <v>1</v>
          </cell>
          <cell r="I20">
            <v>1</v>
          </cell>
          <cell r="J20">
            <v>1</v>
          </cell>
          <cell r="K20">
            <v>1</v>
          </cell>
          <cell r="L20">
            <v>1</v>
          </cell>
          <cell r="M20">
            <v>1</v>
          </cell>
          <cell r="N20">
            <v>1</v>
          </cell>
          <cell r="O20">
            <v>1</v>
          </cell>
          <cell r="P20">
            <v>1</v>
          </cell>
          <cell r="Q20">
            <v>1</v>
          </cell>
          <cell r="R20">
            <v>1</v>
          </cell>
          <cell r="S20">
            <v>1</v>
          </cell>
          <cell r="T20">
            <v>2</v>
          </cell>
        </row>
      </sheetData>
      <sheetData sheetId="8">
        <row r="1">
          <cell r="A1" t="str">
            <v>DISPLAY_NAME</v>
          </cell>
          <cell r="B1" t="str">
            <v>TYPE_KEY</v>
          </cell>
          <cell r="C1" t="str">
            <v>ICON_URL</v>
          </cell>
        </row>
        <row r="2">
          <cell r="A2" t="str">
            <v>Bug</v>
          </cell>
          <cell r="B2" t="str">
            <v>bug</v>
          </cell>
          <cell r="C2" t="str">
            <v>https://raw.githubusercontent.com/PokeAPI/sprites/master/sprites/types/generation-viii/sword-shield/7.png</v>
          </cell>
        </row>
        <row r="3">
          <cell r="A3" t="str">
            <v>Dark</v>
          </cell>
          <cell r="B3" t="str">
            <v>dark</v>
          </cell>
          <cell r="C3" t="str">
            <v>https://raw.githubusercontent.com/PokeAPI/sprites/master/sprites/types/generation-viii/sword-shield/17.png</v>
          </cell>
        </row>
        <row r="4">
          <cell r="A4" t="str">
            <v>Dragon</v>
          </cell>
          <cell r="B4" t="str">
            <v>dragon</v>
          </cell>
          <cell r="C4" t="str">
            <v>https://raw.githubusercontent.com/PokeAPI/sprites/master/sprites/types/generation-viii/sword-shield/16.png</v>
          </cell>
        </row>
        <row r="5">
          <cell r="A5" t="str">
            <v>Electric</v>
          </cell>
          <cell r="B5" t="str">
            <v>electric</v>
          </cell>
          <cell r="C5" t="str">
            <v>https://raw.githubusercontent.com/PokeAPI/sprites/master/sprites/types/generation-viii/sword-shield/13.png</v>
          </cell>
        </row>
        <row r="6">
          <cell r="A6" t="str">
            <v>Fairy</v>
          </cell>
          <cell r="B6" t="str">
            <v>fairy</v>
          </cell>
          <cell r="C6" t="str">
            <v>https://raw.githubusercontent.com/PokeAPI/sprites/master/sprites/types/generation-viii/sword-shield/18.png</v>
          </cell>
        </row>
        <row r="7">
          <cell r="A7" t="str">
            <v>Fighting</v>
          </cell>
          <cell r="B7" t="str">
            <v>fighting</v>
          </cell>
          <cell r="C7" t="str">
            <v>https://raw.githubusercontent.com/PokeAPI/sprites/master/sprites/types/generation-viii/sword-shield/2.png</v>
          </cell>
        </row>
        <row r="8">
          <cell r="A8" t="str">
            <v>Fire</v>
          </cell>
          <cell r="B8" t="str">
            <v>fire</v>
          </cell>
          <cell r="C8" t="str">
            <v>https://raw.githubusercontent.com/PokeAPI/sprites/master/sprites/types/generation-viii/sword-shield/10.png</v>
          </cell>
        </row>
        <row r="9">
          <cell r="A9" t="str">
            <v>Flying</v>
          </cell>
          <cell r="B9" t="str">
            <v>flying</v>
          </cell>
          <cell r="C9" t="str">
            <v>https://raw.githubusercontent.com/PokeAPI/sprites/master/sprites/types/generation-viii/sword-shield/3.png</v>
          </cell>
        </row>
        <row r="10">
          <cell r="A10" t="str">
            <v>Ghost</v>
          </cell>
          <cell r="B10" t="str">
            <v>ghost</v>
          </cell>
          <cell r="C10" t="str">
            <v>https://raw.githubusercontent.com/PokeAPI/sprites/master/sprites/types/generation-viii/sword-shield/8.png</v>
          </cell>
        </row>
        <row r="11">
          <cell r="A11" t="str">
            <v>Grass</v>
          </cell>
          <cell r="B11" t="str">
            <v>grass</v>
          </cell>
          <cell r="C11" t="str">
            <v>https://raw.githubusercontent.com/PokeAPI/sprites/master/sprites/types/generation-viii/sword-shield/12.png</v>
          </cell>
        </row>
        <row r="12">
          <cell r="A12" t="str">
            <v>Ground</v>
          </cell>
          <cell r="B12" t="str">
            <v>ground</v>
          </cell>
          <cell r="C12" t="str">
            <v>https://raw.githubusercontent.com/PokeAPI/sprites/master/sprites/types/generation-viii/sword-shield/5.png</v>
          </cell>
        </row>
        <row r="13">
          <cell r="A13" t="str">
            <v>Ice</v>
          </cell>
          <cell r="B13" t="str">
            <v>ice</v>
          </cell>
          <cell r="C13" t="str">
            <v>https://raw.githubusercontent.com/PokeAPI/sprites/master/sprites/types/generation-viii/sword-shield/15.png</v>
          </cell>
        </row>
        <row r="14">
          <cell r="A14" t="str">
            <v>Normal</v>
          </cell>
          <cell r="B14" t="str">
            <v>normal</v>
          </cell>
          <cell r="C14" t="str">
            <v>https://raw.githubusercontent.com/PokeAPI/sprites/master/sprites/types/generation-viii/sword-shield/1.png</v>
          </cell>
        </row>
        <row r="15">
          <cell r="A15" t="str">
            <v>Poison</v>
          </cell>
          <cell r="B15" t="str">
            <v>poison</v>
          </cell>
          <cell r="C15" t="str">
            <v>https://raw.githubusercontent.com/PokeAPI/sprites/master/sprites/types/generation-viii/sword-shield/4.png</v>
          </cell>
        </row>
        <row r="16">
          <cell r="A16" t="str">
            <v>Psychic</v>
          </cell>
          <cell r="B16" t="str">
            <v>psychic</v>
          </cell>
          <cell r="C16" t="str">
            <v>https://raw.githubusercontent.com/PokeAPI/sprites/master/sprites/types/generation-viii/sword-shield/14.png</v>
          </cell>
        </row>
        <row r="17">
          <cell r="A17" t="str">
            <v>Rock</v>
          </cell>
          <cell r="B17" t="str">
            <v>rock</v>
          </cell>
          <cell r="C17" t="str">
            <v>https://raw.githubusercontent.com/PokeAPI/sprites/master/sprites/types/generation-viii/sword-shield/6.png</v>
          </cell>
        </row>
        <row r="18">
          <cell r="A18" t="str">
            <v>Shadow</v>
          </cell>
          <cell r="B18" t="str">
            <v>shadow</v>
          </cell>
        </row>
        <row r="19">
          <cell r="A19" t="str">
            <v>Steel</v>
          </cell>
          <cell r="B19" t="str">
            <v>steel</v>
          </cell>
          <cell r="C19" t="str">
            <v>https://raw.githubusercontent.com/PokeAPI/sprites/master/sprites/types/generation-viii/sword-shield/9.png</v>
          </cell>
        </row>
        <row r="20">
          <cell r="A20" t="str">
            <v>Stellar</v>
          </cell>
          <cell r="B20" t="str">
            <v>stellar</v>
          </cell>
          <cell r="C20" t="str">
            <v>https://raw.githubusercontent.com/PokeAPI/sprites/master/sprites/types/generation-ix/scarlet-violet/19.png</v>
          </cell>
        </row>
        <row r="21">
          <cell r="A21" t="str">
            <v>Unknown</v>
          </cell>
          <cell r="B21" t="str">
            <v>unknown</v>
          </cell>
          <cell r="C21" t="str">
            <v>https://raw.githubusercontent.com/PokeAPI/sprites/master/sprites/types/generation-iv/platinum/10001.png</v>
          </cell>
        </row>
        <row r="22">
          <cell r="A22" t="str">
            <v>Water</v>
          </cell>
          <cell r="B22" t="str">
            <v>water</v>
          </cell>
          <cell r="C22" t="str">
            <v>https://raw.githubusercontent.com/PokeAPI/sprites/master/sprites/types/generation-viii/sword-shield/11.png</v>
          </cell>
        </row>
      </sheetData>
      <sheetData sheetId="9" refreshError="1"/>
      <sheetData sheetId="10">
        <row r="1">
          <cell r="C1" t="str">
            <v>TYPE_IMAGES:</v>
          </cell>
        </row>
        <row r="2">
          <cell r="C2" t="str">
            <v>name</v>
          </cell>
          <cell r="D2" t="str">
            <v>address</v>
          </cell>
        </row>
        <row r="3">
          <cell r="B3" t="str">
            <v>https://tr.rbxcdn.com/180DAY-1dc919a83f5116c68ae20f4709eb8e45/420/420/Image/Webp/noFilter</v>
          </cell>
          <cell r="C3" t="str">
            <v>NORMAL</v>
          </cell>
          <cell r="D3" t="str">
            <v>https://archives.bulbagarden.net/media/upload/9/95/Normal_icon_SwSh.png</v>
          </cell>
        </row>
        <row r="4">
          <cell r="C4" t="str">
            <v>FIRE</v>
          </cell>
          <cell r="D4" t="str">
            <v>https://archives.bulbagarden.net/media/upload/a/ab/Fire_icon_SwSh.png</v>
          </cell>
        </row>
        <row r="5">
          <cell r="C5" t="str">
            <v>WATER</v>
          </cell>
          <cell r="D5" t="str">
            <v>https://archives.bulbagarden.net/media/upload/8/80/Water_icon_SwSh.png</v>
          </cell>
        </row>
        <row r="6">
          <cell r="C6" t="str">
            <v>ELECTRIC</v>
          </cell>
          <cell r="D6" t="str">
            <v>https://archives.bulbagarden.net/media/upload/7/7b/Electric_icon_SwSh.png</v>
          </cell>
        </row>
        <row r="7">
          <cell r="C7" t="str">
            <v>GRASS</v>
          </cell>
          <cell r="D7" t="str">
            <v>https://archives.bulbagarden.net/media/upload/a/a8/Grass_icon_SwSh.png</v>
          </cell>
        </row>
        <row r="8">
          <cell r="C8" t="str">
            <v>ICE</v>
          </cell>
          <cell r="D8" t="str">
            <v>https://archives.bulbagarden.net/media/upload/1/15/Ice_icon_SwSh.png</v>
          </cell>
        </row>
        <row r="9">
          <cell r="C9" t="str">
            <v>FIGHTING</v>
          </cell>
          <cell r="D9" t="str">
            <v>https://archives.bulbagarden.net/media/upload/3/3b/Fighting_icon_SwSh.png</v>
          </cell>
        </row>
        <row r="10">
          <cell r="C10" t="str">
            <v>POISON</v>
          </cell>
          <cell r="D10" t="str">
            <v>https://archives.bulbagarden.net/media/upload/8/8d/Poison_icon_SwSh.png</v>
          </cell>
        </row>
        <row r="11">
          <cell r="C11" t="str">
            <v>GROUND</v>
          </cell>
          <cell r="D11" t="str">
            <v>https://archives.bulbagarden.net/media/upload/2/27/Ground_icon_SwSh.png</v>
          </cell>
        </row>
        <row r="12">
          <cell r="C12" t="str">
            <v>FLYING</v>
          </cell>
          <cell r="D12" t="str">
            <v>https://archives.bulbagarden.net/media/upload/b/b5/Flying_icon_SwSh.png</v>
          </cell>
        </row>
        <row r="13">
          <cell r="C13" t="str">
            <v>PSYCHIC</v>
          </cell>
          <cell r="D13" t="str">
            <v>https://archives.bulbagarden.net/media/upload/7/73/Psychic_icon_SwSh.png</v>
          </cell>
        </row>
        <row r="14">
          <cell r="C14" t="str">
            <v>BUG</v>
          </cell>
          <cell r="D14" t="str">
            <v>https://archives.bulbagarden.net/media/upload/9/9c/Bug_icon_SwSh.png</v>
          </cell>
        </row>
        <row r="15">
          <cell r="C15" t="str">
            <v>ROCK</v>
          </cell>
          <cell r="D15" t="str">
            <v>https://archives.bulbagarden.net/media/upload/1/11/Rock_icon_SwSh.png</v>
          </cell>
        </row>
        <row r="16">
          <cell r="C16" t="str">
            <v>GHOST</v>
          </cell>
          <cell r="D16" t="str">
            <v>https://archives.bulbagarden.net/media/upload/0/01/Ghost_icon_SwSh.png</v>
          </cell>
        </row>
        <row r="17">
          <cell r="C17" t="str">
            <v>DRAGON</v>
          </cell>
          <cell r="D17" t="str">
            <v>https://archives.bulbagarden.net/media/upload/7/70/Dragon_icon_SwSh.png</v>
          </cell>
        </row>
        <row r="18">
          <cell r="C18" t="str">
            <v>DARK</v>
          </cell>
          <cell r="D18" t="str">
            <v>https://archives.bulbagarden.net/media/upload/d/d5/Dark_icon_SwSh.png</v>
          </cell>
        </row>
        <row r="19">
          <cell r="C19" t="str">
            <v>STEEL</v>
          </cell>
          <cell r="D19" t="str">
            <v>https://archives.bulbagarden.net/media/upload/0/09/Steel_icon_SwSh.png</v>
          </cell>
        </row>
        <row r="20">
          <cell r="C20" t="str">
            <v>FAIRY</v>
          </cell>
          <cell r="D20" t="str">
            <v>https://archives.bulbagarden.net/media/upload/c/c6/Fairy_icon_SwSh.png</v>
          </cell>
        </row>
        <row r="21">
          <cell r="C21" t="str">
            <v>STELLAR</v>
          </cell>
          <cell r="D21" t="str">
            <v>https://archives.bulbagarden.net/media/upload/b/b9/TeraGem_Stellar.png</v>
          </cell>
        </row>
      </sheetData>
    </sheetDataSet>
  </externalBook>
</externalLink>
</file>

<file path=xl/richData/_rels/rdRichValueWebImage.xml.rels><?xml version="1.0" encoding="UTF-8" standalone="yes"?>
<Relationships xmlns="http://schemas.openxmlformats.org/package/2006/relationships"><Relationship Id="rId13" Type="http://schemas.openxmlformats.org/officeDocument/2006/relationships/hyperlink" Target="https://raw.githubusercontent.com/PokeAPI/sprites/master/sprites/types/generation-viii/sword-shield/13.png" TargetMode="External"/><Relationship Id="rId18" Type="http://schemas.openxmlformats.org/officeDocument/2006/relationships/image" Target="../media/image9.png"/><Relationship Id="rId26" Type="http://schemas.openxmlformats.org/officeDocument/2006/relationships/image" Target="../media/image13.png"/><Relationship Id="rId39" Type="http://schemas.openxmlformats.org/officeDocument/2006/relationships/hyperlink" Target="https://raw.githubusercontent.com/PokeAPI/sprites/master/sprites/types/generation-viii/sword-shield/18.png" TargetMode="External"/><Relationship Id="rId21" Type="http://schemas.openxmlformats.org/officeDocument/2006/relationships/hyperlink" Target="https://raw.githubusercontent.com/PokeAPI/sprites/master/sprites/types/generation-viii/sword-shield/5.png" TargetMode="External"/><Relationship Id="rId34" Type="http://schemas.openxmlformats.org/officeDocument/2006/relationships/image" Target="../media/image17.png"/><Relationship Id="rId42" Type="http://schemas.openxmlformats.org/officeDocument/2006/relationships/image" Target="../media/image21.png"/><Relationship Id="rId47" Type="http://schemas.openxmlformats.org/officeDocument/2006/relationships/hyperlink" Target="https://archives.bulbagarden.net/media/upload/8/80/Water_icon_SwSh.png" TargetMode="External"/><Relationship Id="rId50" Type="http://schemas.openxmlformats.org/officeDocument/2006/relationships/image" Target="../media/image25.png"/><Relationship Id="rId55" Type="http://schemas.openxmlformats.org/officeDocument/2006/relationships/hyperlink" Target="https://archives.bulbagarden.net/media/upload/8/8d/Poison_icon_SwSh.png" TargetMode="External"/><Relationship Id="rId63" Type="http://schemas.openxmlformats.org/officeDocument/2006/relationships/hyperlink" Target="https://archives.bulbagarden.net/media/upload/9/9c/Bug_icon_SwSh.png" TargetMode="External"/><Relationship Id="rId68" Type="http://schemas.openxmlformats.org/officeDocument/2006/relationships/image" Target="../media/image34.png"/><Relationship Id="rId76" Type="http://schemas.openxmlformats.org/officeDocument/2006/relationships/image" Target="../media/image38.png"/><Relationship Id="rId7" Type="http://schemas.openxmlformats.org/officeDocument/2006/relationships/hyperlink" Target="https://raw.githubusercontent.com/PokeAPI/sprites/master/sprites/types/generation-viii/sword-shield/10.png" TargetMode="External"/><Relationship Id="rId71" Type="http://schemas.openxmlformats.org/officeDocument/2006/relationships/hyperlink" Target="https://archives.bulbagarden.net/media/upload/d/d5/Dark_icon_SwSh.png" TargetMode="External"/><Relationship Id="rId2" Type="http://schemas.openxmlformats.org/officeDocument/2006/relationships/image" Target="../media/image1.png"/><Relationship Id="rId16" Type="http://schemas.openxmlformats.org/officeDocument/2006/relationships/image" Target="../media/image8.png"/><Relationship Id="rId29" Type="http://schemas.openxmlformats.org/officeDocument/2006/relationships/hyperlink" Target="https://raw.githubusercontent.com/PokeAPI/sprites/master/sprites/types/generation-viii/sword-shield/6.png" TargetMode="External"/><Relationship Id="rId11" Type="http://schemas.openxmlformats.org/officeDocument/2006/relationships/hyperlink" Target="https://raw.githubusercontent.com/PokeAPI/sprites/master/sprites/types/generation-viii/sword-shield/12.png" TargetMode="External"/><Relationship Id="rId24" Type="http://schemas.openxmlformats.org/officeDocument/2006/relationships/image" Target="../media/image12.png"/><Relationship Id="rId32" Type="http://schemas.openxmlformats.org/officeDocument/2006/relationships/image" Target="../media/image16.png"/><Relationship Id="rId37" Type="http://schemas.openxmlformats.org/officeDocument/2006/relationships/hyperlink" Target="https://raw.githubusercontent.com/PokeAPI/sprites/master/sprites/types/generation-viii/sword-shield/9.png" TargetMode="External"/><Relationship Id="rId40" Type="http://schemas.openxmlformats.org/officeDocument/2006/relationships/image" Target="../media/image20.png"/><Relationship Id="rId45" Type="http://schemas.openxmlformats.org/officeDocument/2006/relationships/hyperlink" Target="https://archives.bulbagarden.net/media/upload/a/ab/Fire_icon_SwSh.png" TargetMode="External"/><Relationship Id="rId53" Type="http://schemas.openxmlformats.org/officeDocument/2006/relationships/hyperlink" Target="https://archives.bulbagarden.net/media/upload/3/3b/Fighting_icon_SwSh.png" TargetMode="External"/><Relationship Id="rId58" Type="http://schemas.openxmlformats.org/officeDocument/2006/relationships/image" Target="../media/image29.png"/><Relationship Id="rId66" Type="http://schemas.openxmlformats.org/officeDocument/2006/relationships/image" Target="../media/image33.png"/><Relationship Id="rId74" Type="http://schemas.openxmlformats.org/officeDocument/2006/relationships/image" Target="../media/image37.png"/><Relationship Id="rId5" Type="http://schemas.openxmlformats.org/officeDocument/2006/relationships/hyperlink" Target="https://raw.githubusercontent.com/PokeAPI/sprites/master/sprites/types/generation-viii/sword-shield/1.png" TargetMode="External"/><Relationship Id="rId15" Type="http://schemas.openxmlformats.org/officeDocument/2006/relationships/hyperlink" Target="https://raw.githubusercontent.com/PokeAPI/sprites/master/sprites/types/generation-viii/sword-shield/15.png" TargetMode="External"/><Relationship Id="rId23" Type="http://schemas.openxmlformats.org/officeDocument/2006/relationships/hyperlink" Target="https://raw.githubusercontent.com/PokeAPI/sprites/master/sprites/types/generation-viii/sword-shield/3.png" TargetMode="External"/><Relationship Id="rId28" Type="http://schemas.openxmlformats.org/officeDocument/2006/relationships/image" Target="../media/image14.png"/><Relationship Id="rId36" Type="http://schemas.openxmlformats.org/officeDocument/2006/relationships/image" Target="../media/image18.png"/><Relationship Id="rId49" Type="http://schemas.openxmlformats.org/officeDocument/2006/relationships/hyperlink" Target="https://archives.bulbagarden.net/media/upload/7/7b/Electric_icon_SwSh.png" TargetMode="External"/><Relationship Id="rId57" Type="http://schemas.openxmlformats.org/officeDocument/2006/relationships/hyperlink" Target="https://archives.bulbagarden.net/media/upload/2/27/Ground_icon_SwSh.png" TargetMode="External"/><Relationship Id="rId61" Type="http://schemas.openxmlformats.org/officeDocument/2006/relationships/hyperlink" Target="https://archives.bulbagarden.net/media/upload/7/73/Psychic_icon_SwSh.png" TargetMode="External"/><Relationship Id="rId10" Type="http://schemas.openxmlformats.org/officeDocument/2006/relationships/image" Target="../media/image5.png"/><Relationship Id="rId19" Type="http://schemas.openxmlformats.org/officeDocument/2006/relationships/hyperlink" Target="https://raw.githubusercontent.com/PokeAPI/sprites/master/sprites/types/generation-viii/sword-shield/4.png" TargetMode="External"/><Relationship Id="rId31" Type="http://schemas.openxmlformats.org/officeDocument/2006/relationships/hyperlink" Target="https://raw.githubusercontent.com/PokeAPI/sprites/master/sprites/types/generation-viii/sword-shield/8.png" TargetMode="External"/><Relationship Id="rId44" Type="http://schemas.openxmlformats.org/officeDocument/2006/relationships/image" Target="../media/image22.png"/><Relationship Id="rId52" Type="http://schemas.openxmlformats.org/officeDocument/2006/relationships/image" Target="../media/image26.png"/><Relationship Id="rId60" Type="http://schemas.openxmlformats.org/officeDocument/2006/relationships/image" Target="../media/image30.png"/><Relationship Id="rId65" Type="http://schemas.openxmlformats.org/officeDocument/2006/relationships/hyperlink" Target="https://archives.bulbagarden.net/media/upload/1/11/Rock_icon_SwSh.png" TargetMode="External"/><Relationship Id="rId73" Type="http://schemas.openxmlformats.org/officeDocument/2006/relationships/hyperlink" Target="https://archives.bulbagarden.net/media/upload/0/09/Steel_icon_SwSh.png" TargetMode="External"/><Relationship Id="rId78" Type="http://schemas.openxmlformats.org/officeDocument/2006/relationships/image" Target="../media/image39.png"/><Relationship Id="rId4" Type="http://schemas.openxmlformats.org/officeDocument/2006/relationships/image" Target="../media/image2.png"/><Relationship Id="rId9" Type="http://schemas.openxmlformats.org/officeDocument/2006/relationships/hyperlink" Target="https://raw.githubusercontent.com/PokeAPI/sprites/master/sprites/types/generation-viii/sword-shield/11.png" TargetMode="External"/><Relationship Id="rId14" Type="http://schemas.openxmlformats.org/officeDocument/2006/relationships/image" Target="../media/image7.png"/><Relationship Id="rId22" Type="http://schemas.openxmlformats.org/officeDocument/2006/relationships/image" Target="../media/image11.png"/><Relationship Id="rId27" Type="http://schemas.openxmlformats.org/officeDocument/2006/relationships/hyperlink" Target="https://raw.githubusercontent.com/PokeAPI/sprites/master/sprites/types/generation-viii/sword-shield/7.png" TargetMode="External"/><Relationship Id="rId30" Type="http://schemas.openxmlformats.org/officeDocument/2006/relationships/image" Target="../media/image15.png"/><Relationship Id="rId35" Type="http://schemas.openxmlformats.org/officeDocument/2006/relationships/hyperlink" Target="https://raw.githubusercontent.com/PokeAPI/sprites/master/sprites/types/generation-viii/sword-shield/17.png" TargetMode="External"/><Relationship Id="rId43" Type="http://schemas.openxmlformats.org/officeDocument/2006/relationships/hyperlink" Target="https://archives.bulbagarden.net/media/upload/9/95/Normal_icon_SwSh.png" TargetMode="External"/><Relationship Id="rId48" Type="http://schemas.openxmlformats.org/officeDocument/2006/relationships/image" Target="../media/image24.png"/><Relationship Id="rId56" Type="http://schemas.openxmlformats.org/officeDocument/2006/relationships/image" Target="../media/image28.png"/><Relationship Id="rId64" Type="http://schemas.openxmlformats.org/officeDocument/2006/relationships/image" Target="../media/image32.png"/><Relationship Id="rId69" Type="http://schemas.openxmlformats.org/officeDocument/2006/relationships/hyperlink" Target="https://archives.bulbagarden.net/media/upload/7/70/Dragon_icon_SwSh.png" TargetMode="External"/><Relationship Id="rId77" Type="http://schemas.openxmlformats.org/officeDocument/2006/relationships/hyperlink" Target="https://archives.bulbagarden.net/media/upload/b/b9/TeraGem_Stellar.png" TargetMode="External"/><Relationship Id="rId8" Type="http://schemas.openxmlformats.org/officeDocument/2006/relationships/image" Target="../media/image4.png"/><Relationship Id="rId51" Type="http://schemas.openxmlformats.org/officeDocument/2006/relationships/hyperlink" Target="https://archives.bulbagarden.net/media/upload/1/15/Ice_icon_SwSh.png" TargetMode="External"/><Relationship Id="rId72" Type="http://schemas.openxmlformats.org/officeDocument/2006/relationships/image" Target="../media/image36.png"/><Relationship Id="rId3" Type="http://schemas.openxmlformats.org/officeDocument/2006/relationships/hyperlink" Target="https://raw.githubusercontent.com/PokeAPI/sprites/master/sprites/pokemon/other/official-artwork/shiny/154.png" TargetMode="External"/><Relationship Id="rId12" Type="http://schemas.openxmlformats.org/officeDocument/2006/relationships/image" Target="../media/image6.png"/><Relationship Id="rId17" Type="http://schemas.openxmlformats.org/officeDocument/2006/relationships/hyperlink" Target="https://raw.githubusercontent.com/PokeAPI/sprites/master/sprites/types/generation-viii/sword-shield/2.png" TargetMode="External"/><Relationship Id="rId25" Type="http://schemas.openxmlformats.org/officeDocument/2006/relationships/hyperlink" Target="https://raw.githubusercontent.com/PokeAPI/sprites/master/sprites/types/generation-viii/sword-shield/14.png" TargetMode="External"/><Relationship Id="rId33" Type="http://schemas.openxmlformats.org/officeDocument/2006/relationships/hyperlink" Target="https://raw.githubusercontent.com/PokeAPI/sprites/master/sprites/types/generation-viii/sword-shield/16.png" TargetMode="External"/><Relationship Id="rId38" Type="http://schemas.openxmlformats.org/officeDocument/2006/relationships/image" Target="../media/image19.png"/><Relationship Id="rId46" Type="http://schemas.openxmlformats.org/officeDocument/2006/relationships/image" Target="../media/image23.png"/><Relationship Id="rId59" Type="http://schemas.openxmlformats.org/officeDocument/2006/relationships/hyperlink" Target="https://archives.bulbagarden.net/media/upload/b/b5/Flying_icon_SwSh.png" TargetMode="External"/><Relationship Id="rId67" Type="http://schemas.openxmlformats.org/officeDocument/2006/relationships/hyperlink" Target="https://archives.bulbagarden.net/media/upload/0/01/Ghost_icon_SwSh.png" TargetMode="External"/><Relationship Id="rId20" Type="http://schemas.openxmlformats.org/officeDocument/2006/relationships/image" Target="../media/image10.png"/><Relationship Id="rId41" Type="http://schemas.openxmlformats.org/officeDocument/2006/relationships/hyperlink" Target="https://raw.githubusercontent.com/PokeAPI/sprites/master/sprites/types/generation-ix/scarlet-violet/19.png" TargetMode="External"/><Relationship Id="rId54" Type="http://schemas.openxmlformats.org/officeDocument/2006/relationships/image" Target="../media/image27.png"/><Relationship Id="rId62" Type="http://schemas.openxmlformats.org/officeDocument/2006/relationships/image" Target="../media/image31.png"/><Relationship Id="rId70" Type="http://schemas.openxmlformats.org/officeDocument/2006/relationships/image" Target="../media/image35.png"/><Relationship Id="rId75" Type="http://schemas.openxmlformats.org/officeDocument/2006/relationships/hyperlink" Target="https://archives.bulbagarden.net/media/upload/c/c6/Fairy_icon_SwSh.png" TargetMode="External"/><Relationship Id="rId1" Type="http://schemas.openxmlformats.org/officeDocument/2006/relationships/hyperlink" Target="https://archives.bulbagarden.net/media/upload/a/a8/Grass_icon_SwSh.png" TargetMode="External"/><Relationship Id="rId6" Type="http://schemas.openxmlformats.org/officeDocument/2006/relationships/image" Target="../media/image3.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rd>
    <address r:id="rId3"/>
    <blip r:id="rId4"/>
  </webImageSrd>
  <webImageSrd>
    <address r:id="rId5"/>
    <blip r:id="rId6"/>
  </webImageSrd>
  <webImageSrd>
    <address r:id="rId7"/>
    <blip r:id="rId8"/>
  </webImageSrd>
  <webImageSrd>
    <address r:id="rId9"/>
    <blip r:id="rId10"/>
  </webImageSrd>
  <webImageSrd>
    <address r:id="rId11"/>
    <blip r:id="rId12"/>
  </webImageSrd>
  <webImageSrd>
    <address r:id="rId13"/>
    <blip r:id="rId14"/>
  </webImageSrd>
  <webImageSrd>
    <address r:id="rId15"/>
    <blip r:id="rId16"/>
  </webImageSrd>
  <webImageSrd>
    <address r:id="rId17"/>
    <blip r:id="rId18"/>
  </webImageSrd>
  <webImageSrd>
    <address r:id="rId19"/>
    <blip r:id="rId20"/>
  </webImageSrd>
  <webImageSrd>
    <address r:id="rId21"/>
    <blip r:id="rId22"/>
  </webImageSrd>
  <webImageSrd>
    <address r:id="rId23"/>
    <blip r:id="rId24"/>
  </webImageSrd>
  <webImageSrd>
    <address r:id="rId25"/>
    <blip r:id="rId26"/>
  </webImageSrd>
  <webImageSrd>
    <address r:id="rId27"/>
    <blip r:id="rId28"/>
  </webImageSrd>
  <webImageSrd>
    <address r:id="rId29"/>
    <blip r:id="rId30"/>
  </webImageSrd>
  <webImageSrd>
    <address r:id="rId31"/>
    <blip r:id="rId32"/>
  </webImageSrd>
  <webImageSrd>
    <address r:id="rId33"/>
    <blip r:id="rId34"/>
  </webImageSrd>
  <webImageSrd>
    <address r:id="rId35"/>
    <blip r:id="rId36"/>
  </webImageSrd>
  <webImageSrd>
    <address r:id="rId37"/>
    <blip r:id="rId38"/>
  </webImageSrd>
  <webImageSrd>
    <address r:id="rId39"/>
    <blip r:id="rId40"/>
  </webImageSrd>
  <webImageSrd>
    <address r:id="rId41"/>
    <blip r:id="rId42"/>
  </webImageSrd>
  <webImageSrd>
    <address r:id="rId43"/>
    <blip r:id="rId44"/>
  </webImageSrd>
  <webImageSrd>
    <address r:id="rId45"/>
    <blip r:id="rId46"/>
  </webImageSrd>
  <webImageSrd>
    <address r:id="rId47"/>
    <blip r:id="rId48"/>
  </webImageSrd>
  <webImageSrd>
    <address r:id="rId49"/>
    <blip r:id="rId50"/>
  </webImageSrd>
  <webImageSrd>
    <address r:id="rId51"/>
    <blip r:id="rId52"/>
  </webImageSrd>
  <webImageSrd>
    <address r:id="rId53"/>
    <blip r:id="rId54"/>
  </webImageSrd>
  <webImageSrd>
    <address r:id="rId55"/>
    <blip r:id="rId56"/>
  </webImageSrd>
  <webImageSrd>
    <address r:id="rId57"/>
    <blip r:id="rId58"/>
  </webImageSrd>
  <webImageSrd>
    <address r:id="rId59"/>
    <blip r:id="rId60"/>
  </webImageSrd>
  <webImageSrd>
    <address r:id="rId61"/>
    <blip r:id="rId62"/>
  </webImageSrd>
  <webImageSrd>
    <address r:id="rId63"/>
    <blip r:id="rId64"/>
  </webImageSrd>
  <webImageSrd>
    <address r:id="rId65"/>
    <blip r:id="rId66"/>
  </webImageSrd>
  <webImageSrd>
    <address r:id="rId67"/>
    <blip r:id="rId68"/>
  </webImageSrd>
  <webImageSrd>
    <address r:id="rId69"/>
    <blip r:id="rId70"/>
  </webImageSrd>
  <webImageSrd>
    <address r:id="rId71"/>
    <blip r:id="rId72"/>
  </webImageSrd>
  <webImageSrd>
    <address r:id="rId73"/>
    <blip r:id="rId74"/>
  </webImageSrd>
  <webImageSrd>
    <address r:id="rId75"/>
    <blip r:id="rId76"/>
  </webImageSrd>
  <webImageSrd>
    <address r:id="rId77"/>
    <blip r:id="rId78"/>
  </webImageSrd>
</webImagesSrd>
</file>

<file path=xl/richData/rdrichvalue.xml><?xml version="1.0" encoding="utf-8"?>
<rvData xmlns="http://schemas.microsoft.com/office/spreadsheetml/2017/richdata" count="58">
  <rv s="0">
    <v>0</v>
    <v>1</v>
    <v>0</v>
    <v>0</v>
  </rv>
  <rv s="0">
    <v>1</v>
    <v>1</v>
    <v>0</v>
    <v>0</v>
  </rv>
  <rv s="0">
    <v>2</v>
    <v>4</v>
    <v>0</v>
    <v>0</v>
  </rv>
  <rv s="0">
    <v>3</v>
    <v>4</v>
    <v>0</v>
    <v>0</v>
  </rv>
  <rv s="0">
    <v>4</v>
    <v>4</v>
    <v>0</v>
    <v>0</v>
  </rv>
  <rv s="0">
    <v>5</v>
    <v>4</v>
    <v>0</v>
    <v>0</v>
  </rv>
  <rv s="0">
    <v>6</v>
    <v>4</v>
    <v>0</v>
    <v>0</v>
  </rv>
  <rv s="0">
    <v>7</v>
    <v>4</v>
    <v>0</v>
    <v>0</v>
  </rv>
  <rv s="0">
    <v>8</v>
    <v>4</v>
    <v>0</v>
    <v>0</v>
  </rv>
  <rv s="0">
    <v>9</v>
    <v>4</v>
    <v>0</v>
    <v>0</v>
  </rv>
  <rv s="0">
    <v>10</v>
    <v>4</v>
    <v>0</v>
    <v>0</v>
  </rv>
  <rv s="0">
    <v>11</v>
    <v>4</v>
    <v>0</v>
    <v>0</v>
  </rv>
  <rv s="0">
    <v>12</v>
    <v>4</v>
    <v>0</v>
    <v>0</v>
  </rv>
  <rv s="0">
    <v>13</v>
    <v>4</v>
    <v>0</v>
    <v>0</v>
  </rv>
  <rv s="0">
    <v>14</v>
    <v>4</v>
    <v>0</v>
    <v>0</v>
  </rv>
  <rv s="0">
    <v>15</v>
    <v>4</v>
    <v>0</v>
    <v>0</v>
  </rv>
  <rv s="0">
    <v>16</v>
    <v>4</v>
    <v>0</v>
    <v>0</v>
  </rv>
  <rv s="0">
    <v>17</v>
    <v>4</v>
    <v>0</v>
    <v>0</v>
  </rv>
  <rv s="0">
    <v>18</v>
    <v>4</v>
    <v>0</v>
    <v>0</v>
  </rv>
  <rv s="0">
    <v>19</v>
    <v>4</v>
    <v>0</v>
    <v>0</v>
  </rv>
  <rv s="0">
    <v>20</v>
    <v>4</v>
    <v>0</v>
    <v>0</v>
  </rv>
  <rv s="0">
    <v>21</v>
    <v>1</v>
    <v>0</v>
    <v>0</v>
  </rv>
  <rv s="0">
    <v>22</v>
    <v>1</v>
    <v>0</v>
    <v>0</v>
  </rv>
  <rv s="0">
    <v>23</v>
    <v>1</v>
    <v>0</v>
    <v>0</v>
  </rv>
  <rv s="0">
    <v>24</v>
    <v>1</v>
    <v>0</v>
    <v>0</v>
  </rv>
  <rv s="0">
    <v>25</v>
    <v>1</v>
    <v>0</v>
    <v>0</v>
  </rv>
  <rv s="0">
    <v>26</v>
    <v>1</v>
    <v>0</v>
    <v>0</v>
  </rv>
  <rv s="0">
    <v>27</v>
    <v>1</v>
    <v>0</v>
    <v>0</v>
  </rv>
  <rv s="0">
    <v>28</v>
    <v>1</v>
    <v>0</v>
    <v>0</v>
  </rv>
  <rv s="0">
    <v>29</v>
    <v>1</v>
    <v>0</v>
    <v>0</v>
  </rv>
  <rv s="0">
    <v>30</v>
    <v>1</v>
    <v>0</v>
    <v>0</v>
  </rv>
  <rv s="0">
    <v>31</v>
    <v>1</v>
    <v>0</v>
    <v>0</v>
  </rv>
  <rv s="0">
    <v>32</v>
    <v>1</v>
    <v>0</v>
    <v>0</v>
  </rv>
  <rv s="0">
    <v>33</v>
    <v>1</v>
    <v>0</v>
    <v>0</v>
  </rv>
  <rv s="0">
    <v>34</v>
    <v>1</v>
    <v>0</v>
    <v>0</v>
  </rv>
  <rv s="0">
    <v>35</v>
    <v>1</v>
    <v>0</v>
    <v>0</v>
  </rv>
  <rv s="0">
    <v>36</v>
    <v>1</v>
    <v>0</v>
    <v>0</v>
  </rv>
  <rv s="0">
    <v>37</v>
    <v>1</v>
    <v>0</v>
    <v>0</v>
  </rv>
  <rv s="0">
    <v>38</v>
    <v>1</v>
    <v>0</v>
    <v>0</v>
  </rv>
  <rv s="0">
    <v>2</v>
    <v>1</v>
    <v>0</v>
    <v>0</v>
  </rv>
  <rv s="0">
    <v>3</v>
    <v>1</v>
    <v>0</v>
    <v>0</v>
  </rv>
  <rv s="0">
    <v>4</v>
    <v>1</v>
    <v>0</v>
    <v>0</v>
  </rv>
  <rv s="0">
    <v>5</v>
    <v>1</v>
    <v>0</v>
    <v>0</v>
  </rv>
  <rv s="0">
    <v>6</v>
    <v>1</v>
    <v>0</v>
    <v>0</v>
  </rv>
  <rv s="0">
    <v>7</v>
    <v>1</v>
    <v>0</v>
    <v>0</v>
  </rv>
  <rv s="0">
    <v>8</v>
    <v>1</v>
    <v>0</v>
    <v>0</v>
  </rv>
  <rv s="0">
    <v>9</v>
    <v>1</v>
    <v>0</v>
    <v>0</v>
  </rv>
  <rv s="0">
    <v>10</v>
    <v>1</v>
    <v>0</v>
    <v>0</v>
  </rv>
  <rv s="0">
    <v>11</v>
    <v>1</v>
    <v>0</v>
    <v>0</v>
  </rv>
  <rv s="0">
    <v>12</v>
    <v>1</v>
    <v>0</v>
    <v>0</v>
  </rv>
  <rv s="0">
    <v>13</v>
    <v>1</v>
    <v>0</v>
    <v>0</v>
  </rv>
  <rv s="0">
    <v>14</v>
    <v>1</v>
    <v>0</v>
    <v>0</v>
  </rv>
  <rv s="0">
    <v>15</v>
    <v>1</v>
    <v>0</v>
    <v>0</v>
  </rv>
  <rv s="0">
    <v>16</v>
    <v>1</v>
    <v>0</v>
    <v>0</v>
  </rv>
  <rv s="0">
    <v>17</v>
    <v>1</v>
    <v>0</v>
    <v>0</v>
  </rv>
  <rv s="0">
    <v>18</v>
    <v>1</v>
    <v>0</v>
    <v>0</v>
  </rv>
  <rv s="0">
    <v>19</v>
    <v>1</v>
    <v>0</v>
    <v>0</v>
  </rv>
  <rv s="0">
    <v>20</v>
    <v>1</v>
    <v>0</v>
    <v>0</v>
  </rv>
</rvData>
</file>

<file path=xl/richData/rdrichvaluestructure.xml><?xml version="1.0" encoding="utf-8"?>
<rvStructures xmlns="http://schemas.microsoft.com/office/spreadsheetml/2017/richdata" count="1">
  <s t="_webimage">
    <k n="WebImageIdentifier" t="i"/>
    <k n="CalcOrigin" t="i"/>
    <k n="ComputedImage" t="b"/>
    <k n="ImageSizing" t="i"/>
  </s>
</rvStructures>
</file>

<file path=xl/theme/theme1.xml><?xml version="1.0" encoding="utf-8"?>
<a:theme xmlns:a="http://schemas.openxmlformats.org/drawingml/2006/main" name="Motiv Office">
  <a:themeElements>
    <a:clrScheme name="ui_accent">
      <a:dk1>
        <a:sysClr val="windowText" lastClr="000000"/>
      </a:dk1>
      <a:lt1>
        <a:sysClr val="window" lastClr="FFFFFF"/>
      </a:lt1>
      <a:dk2>
        <a:srgbClr val="0E2841"/>
      </a:dk2>
      <a:lt2>
        <a:srgbClr val="E8E8E8"/>
      </a:lt2>
      <a:accent1>
        <a:srgbClr val="0070C0"/>
      </a:accent1>
      <a:accent2>
        <a:srgbClr val="00B050"/>
      </a:accent2>
      <a:accent3>
        <a:srgbClr val="C89400"/>
      </a:accent3>
      <a:accent4>
        <a:srgbClr val="CC0000"/>
      </a:accent4>
      <a:accent5>
        <a:srgbClr val="000000"/>
      </a:accent5>
      <a:accent6>
        <a:srgbClr val="8E8E8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2D25A-1A33-4BFD-980B-EB3DB74730EF}">
  <sheetPr codeName="Pokedex">
    <tabColor rgb="FFCC0000"/>
  </sheetPr>
  <dimension ref="A1:BT154"/>
  <sheetViews>
    <sheetView tabSelected="1" zoomScaleNormal="100" zoomScaleSheetLayoutView="96" workbookViewId="0">
      <selection activeCell="V9" sqref="V9:X10"/>
    </sheetView>
  </sheetViews>
  <sheetFormatPr defaultColWidth="0" defaultRowHeight="15" zeroHeight="1" x14ac:dyDescent="0.25"/>
  <cols>
    <col min="1" max="1" width="5.7109375" style="13" customWidth="1"/>
    <col min="2" max="2" width="1.42578125" style="13" customWidth="1"/>
    <col min="3" max="3" width="9.140625" style="13" customWidth="1"/>
    <col min="4" max="4" width="2.42578125" style="13" customWidth="1"/>
    <col min="5" max="10" width="9.140625" style="13" customWidth="1"/>
    <col min="11" max="13" width="2.42578125" style="13" customWidth="1"/>
    <col min="14" max="15" width="9.85546875" style="13" customWidth="1"/>
    <col min="16" max="17" width="9.140625" style="13" customWidth="1"/>
    <col min="18" max="20" width="2.42578125" style="13" customWidth="1"/>
    <col min="21" max="24" width="8" style="13" customWidth="1"/>
    <col min="25" max="28" width="2.42578125" style="13" customWidth="1"/>
    <col min="29" max="30" width="13.85546875" style="13" customWidth="1"/>
    <col min="31" max="31" width="2.42578125" style="13" customWidth="1"/>
    <col min="32" max="32" width="9.140625" style="13" customWidth="1"/>
    <col min="33" max="33" width="1.42578125" style="13" customWidth="1"/>
    <col min="34" max="68" width="9.140625" style="13" customWidth="1"/>
    <col min="69" max="72" width="0" style="13" hidden="1" customWidth="1"/>
    <col min="73" max="16384" width="9.140625" style="13" hidden="1"/>
  </cols>
  <sheetData>
    <row r="1" spans="1:48" ht="30" customHeight="1" x14ac:dyDescent="0.25">
      <c r="A1" s="5"/>
      <c r="C1" s="38" t="s">
        <v>14</v>
      </c>
      <c r="D1" s="38"/>
      <c r="E1" s="38"/>
      <c r="F1" s="38"/>
      <c r="G1" s="38"/>
      <c r="H1" s="38"/>
      <c r="I1" s="38"/>
      <c r="J1" s="38"/>
      <c r="K1" s="38"/>
      <c r="L1" s="38"/>
      <c r="M1" s="38"/>
      <c r="N1" s="38"/>
      <c r="O1" s="38"/>
      <c r="P1" s="38"/>
      <c r="Q1" s="38"/>
      <c r="R1" s="38"/>
      <c r="S1" s="15"/>
      <c r="T1" s="15"/>
      <c r="U1" s="15"/>
      <c r="V1" s="15"/>
      <c r="W1" s="15"/>
      <c r="X1" s="15"/>
      <c r="Y1" s="15"/>
      <c r="Z1" s="15"/>
      <c r="AA1" s="15"/>
      <c r="AB1" s="15"/>
      <c r="AC1" s="15"/>
      <c r="AD1" s="15"/>
      <c r="AE1" s="15"/>
      <c r="AF1" s="15"/>
      <c r="AI1" s="5"/>
      <c r="AJ1" s="5"/>
      <c r="AK1" s="5"/>
      <c r="AL1" s="5"/>
      <c r="AM1" s="5"/>
      <c r="AN1" s="5"/>
      <c r="AO1" s="5"/>
      <c r="AP1" s="5"/>
      <c r="AQ1" s="5"/>
      <c r="AR1" s="5"/>
      <c r="AS1" s="5"/>
      <c r="AT1" s="5"/>
      <c r="AU1" s="5"/>
      <c r="AV1" s="5"/>
    </row>
    <row r="2" spans="1:48" x14ac:dyDescent="0.25"/>
    <row r="3" spans="1:48" x14ac:dyDescent="0.25"/>
    <row r="4" spans="1:48" x14ac:dyDescent="0.25">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row>
    <row r="5" spans="1:48" ht="15" customHeight="1" x14ac:dyDescent="0.25">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row>
    <row r="6" spans="1:48" ht="15.75" customHeight="1" x14ac:dyDescent="0.25">
      <c r="C6" s="14"/>
      <c r="D6" s="18"/>
      <c r="E6" s="28"/>
      <c r="F6" s="28"/>
      <c r="G6" s="28"/>
      <c r="H6" s="28"/>
      <c r="I6" s="28"/>
      <c r="J6" s="28"/>
      <c r="K6" s="29"/>
      <c r="L6" s="14"/>
      <c r="M6" s="18"/>
      <c r="N6" s="28"/>
      <c r="O6" s="28"/>
      <c r="P6" s="28"/>
      <c r="Q6" s="28"/>
      <c r="R6" s="29"/>
      <c r="S6" s="14"/>
      <c r="T6" s="18"/>
      <c r="U6" s="28"/>
      <c r="V6" s="28"/>
      <c r="W6" s="28"/>
      <c r="X6" s="28"/>
      <c r="Y6" s="29"/>
      <c r="Z6" s="14"/>
      <c r="AA6" s="14"/>
      <c r="AB6" s="18"/>
      <c r="AC6" s="28"/>
      <c r="AD6" s="28"/>
      <c r="AE6" s="29"/>
      <c r="AF6" s="14"/>
    </row>
    <row r="7" spans="1:48" ht="15.75" customHeight="1" x14ac:dyDescent="0.25">
      <c r="C7" s="14"/>
      <c r="D7" s="19"/>
      <c r="E7" s="24" t="s">
        <v>15</v>
      </c>
      <c r="F7" s="55" t="s">
        <v>16</v>
      </c>
      <c r="G7" s="55"/>
      <c r="H7" s="55"/>
      <c r="I7" s="55" t="s">
        <v>26</v>
      </c>
      <c r="J7" s="55"/>
      <c r="K7" s="27"/>
      <c r="L7" s="14"/>
      <c r="M7" s="19"/>
      <c r="N7" s="56" t="str">
        <f>IF(PKMN_DEX="","Type I",IFERROR(PROPER(VLOOKUP(PKMN_DEX,[1]Pokemon!$C$2:$F$2000,3,FALSE)),""))</f>
        <v>Grass</v>
      </c>
      <c r="O7" s="56"/>
      <c r="P7" s="57" t="str">
        <f>IF(PKMN_DEX="","Type II",IFERROR(PROPER(VLOOKUP(PKMN_DEX,[1]Pokemon!$C$2:$F$2000,4,FALSE)),""))</f>
        <v/>
      </c>
      <c r="Q7" s="58"/>
      <c r="R7" s="20"/>
      <c r="S7" s="14"/>
      <c r="T7" s="19"/>
      <c r="U7" s="81" t="s">
        <v>39</v>
      </c>
      <c r="V7" s="81"/>
      <c r="W7" s="81"/>
      <c r="X7" s="81"/>
      <c r="Y7" s="20"/>
      <c r="Z7" s="14"/>
      <c r="AA7" s="14"/>
      <c r="AB7" s="19"/>
      <c r="AC7" s="81" t="s">
        <v>45</v>
      </c>
      <c r="AD7" s="81"/>
      <c r="AE7" s="35"/>
      <c r="AF7" s="14"/>
    </row>
    <row r="8" spans="1:48" ht="15.75" customHeight="1" x14ac:dyDescent="0.25">
      <c r="C8" s="14"/>
      <c r="D8" s="19"/>
      <c r="E8" s="39">
        <f>IFERROR(
  _xlfn.XLOOKUP(F8,[1]Pokemon!$C$2:$C$2000,[1]Pokemon!$A$2:$A$2000),
  ""
)</f>
        <v>154</v>
      </c>
      <c r="F8" s="47" t="s">
        <v>47</v>
      </c>
      <c r="G8" s="48"/>
      <c r="H8" s="48"/>
      <c r="I8" s="51" t="str">
        <f>IF(PKMN_DEX="","-",IFERROR(VLOOKUP(PKMN_DEX,[1]Pokemon!$C$2:$D$2000,2,FALSE),""))</f>
        <v>Standard</v>
      </c>
      <c r="J8" s="52"/>
      <c r="K8" s="20"/>
      <c r="L8" s="14"/>
      <c r="M8" s="19"/>
      <c r="N8" s="63" t="e" vm="1">
        <f>IF(
 TYPE_1_DEX="",
 "",
 IF(
   PKMN_DEX="",
   _xlfn.IMAGE([1]Assets!$B$3),
   IFERROR(
     _xlfn.IMAGE(VLOOKUP(TYPE_1_DEX,[1]Assets!$C:$D,2,0)),
     "?"
   )
 )
)</f>
        <v>#VALUE!</v>
      </c>
      <c r="O8" s="63"/>
      <c r="P8" s="64" t="str">
        <f>IF(
 TYPE_2_DEX="",
 "",
 IF(
   PKMN_DEX="",
   _xlfn.IMAGE([1]Assets!$B$3),
   IFERROR(
     _xlfn.IMAGE(VLOOKUP(TYPE_2_DEX,[1]Assets!$C:$D,2,0)),
     "?"
   )
 )
)</f>
        <v/>
      </c>
      <c r="Q8" s="65"/>
      <c r="R8" s="20"/>
      <c r="S8" s="14"/>
      <c r="T8" s="19"/>
      <c r="U8" s="81"/>
      <c r="V8" s="81"/>
      <c r="W8" s="81"/>
      <c r="X8" s="81"/>
      <c r="Y8" s="20"/>
      <c r="Z8" s="14"/>
      <c r="AA8" s="14"/>
      <c r="AB8" s="19"/>
      <c r="AC8" s="81"/>
      <c r="AD8" s="81"/>
      <c r="AE8" s="35"/>
      <c r="AF8" s="14"/>
    </row>
    <row r="9" spans="1:48" ht="15.75" customHeight="1" thickBot="1" x14ac:dyDescent="0.3">
      <c r="C9" s="14"/>
      <c r="D9" s="19"/>
      <c r="E9" s="40"/>
      <c r="F9" s="49"/>
      <c r="G9" s="50"/>
      <c r="H9" s="50"/>
      <c r="I9" s="53"/>
      <c r="J9" s="54"/>
      <c r="K9" s="20"/>
      <c r="L9" s="14"/>
      <c r="M9" s="19"/>
      <c r="N9" s="63"/>
      <c r="O9" s="63"/>
      <c r="P9" s="64"/>
      <c r="Q9" s="65"/>
      <c r="R9" s="20"/>
      <c r="S9" s="14"/>
      <c r="T9" s="19"/>
      <c r="U9" s="58" t="s">
        <v>25</v>
      </c>
      <c r="V9" s="82" t="s">
        <v>42</v>
      </c>
      <c r="W9" s="83"/>
      <c r="X9" s="83"/>
      <c r="Y9" s="20"/>
      <c r="Z9" s="14"/>
      <c r="AA9" s="14"/>
      <c r="AB9" s="19"/>
      <c r="AC9" s="56" t="s">
        <v>9</v>
      </c>
      <c r="AD9" s="58" t="s">
        <v>44</v>
      </c>
      <c r="AE9" s="20"/>
      <c r="AF9" s="14"/>
    </row>
    <row r="10" spans="1:48" ht="15.75" customHeight="1" x14ac:dyDescent="0.25">
      <c r="C10" s="14"/>
      <c r="D10" s="19"/>
      <c r="E10" s="16"/>
      <c r="F10" s="16"/>
      <c r="G10" s="16"/>
      <c r="H10" s="16"/>
      <c r="I10" s="16"/>
      <c r="J10" s="16"/>
      <c r="K10" s="20"/>
      <c r="L10" s="14"/>
      <c r="M10" s="19"/>
      <c r="N10" s="16"/>
      <c r="O10" s="16"/>
      <c r="P10" s="16"/>
      <c r="Q10" s="16"/>
      <c r="R10" s="20"/>
      <c r="S10" s="14"/>
      <c r="T10" s="19"/>
      <c r="U10" s="77"/>
      <c r="V10" s="84"/>
      <c r="W10" s="85"/>
      <c r="X10" s="85"/>
      <c r="Y10" s="20"/>
      <c r="Z10" s="14"/>
      <c r="AA10" s="14"/>
      <c r="AB10" s="19"/>
      <c r="AC10" s="88"/>
      <c r="AD10" s="77"/>
      <c r="AE10" s="20"/>
      <c r="AF10" s="14"/>
    </row>
    <row r="11" spans="1:48" ht="15.75" customHeight="1" x14ac:dyDescent="0.25">
      <c r="C11" s="14"/>
      <c r="D11" s="19"/>
      <c r="E11" s="36" t="s">
        <v>24</v>
      </c>
      <c r="F11" s="37" t="s">
        <v>18</v>
      </c>
      <c r="G11" s="22"/>
      <c r="H11" s="22"/>
      <c r="I11" s="22"/>
      <c r="J11" s="22"/>
      <c r="K11" s="20"/>
      <c r="L11" s="14"/>
      <c r="M11" s="19"/>
      <c r="N11" s="16"/>
      <c r="O11" s="16"/>
      <c r="P11" s="16"/>
      <c r="Q11" s="16"/>
      <c r="R11" s="30"/>
      <c r="S11" s="26"/>
      <c r="T11" s="31"/>
      <c r="U11" s="58" t="s">
        <v>6</v>
      </c>
      <c r="V11" s="82" t="s">
        <v>40</v>
      </c>
      <c r="W11" s="83"/>
      <c r="X11" s="83"/>
      <c r="Y11" s="30"/>
      <c r="Z11" s="26"/>
      <c r="AA11" s="26"/>
      <c r="AB11" s="31"/>
      <c r="AC11" s="16"/>
      <c r="AD11" s="17"/>
      <c r="AE11" s="30"/>
      <c r="AF11" s="26"/>
    </row>
    <row r="12" spans="1:48" ht="15.75" customHeight="1" x14ac:dyDescent="0.25">
      <c r="C12" s="14"/>
      <c r="D12" s="19"/>
      <c r="E12" s="41" t="e" vm="2">
        <f>IF(
 F8="",
 _xlfn.IMAGE([1]Assets!$B$3),
 IFERROR(
   IF(
     VLOOKUP(F8,[1]Pokemon!$C:$U,IF(SPRITE_TYPE="Shiny",19,18),0)="",
     _xlfn.IMAGE([1]Assets!$B$3),
     _xlfn.IMAGE(VLOOKUP(F8,[1]Pokemon!$C:$U,IF(SPRITE_TYPE="Shiny",19,18),0))
   ),
   _xlfn.IMAGE([1]Assets!$B$3)
 )
)</f>
        <v>#VALUE!</v>
      </c>
      <c r="F12" s="42"/>
      <c r="G12" s="42"/>
      <c r="H12" s="42"/>
      <c r="I12" s="42"/>
      <c r="J12" s="43"/>
      <c r="K12" s="20"/>
      <c r="L12" s="14"/>
      <c r="M12" s="19"/>
      <c r="N12" s="70" t="s">
        <v>30</v>
      </c>
      <c r="O12" s="70"/>
      <c r="P12" s="70"/>
      <c r="Q12" s="70"/>
      <c r="R12" s="30"/>
      <c r="S12" s="26"/>
      <c r="T12" s="31"/>
      <c r="U12" s="58"/>
      <c r="V12" s="82"/>
      <c r="W12" s="83"/>
      <c r="X12" s="83"/>
      <c r="Y12" s="30"/>
      <c r="Z12" s="26"/>
      <c r="AA12" s="26"/>
      <c r="AB12" s="31"/>
      <c r="AC12" s="32" t="e" vm="3">
        <f>TypeChart!C8</f>
        <v>#VALUE!</v>
      </c>
      <c r="AD12" s="33">
        <f>_xlfn.LET(
 _xlpm.type1,INDEX(TYPE_1_DEX,1),
 _xlpm.type2,INDEX(TYPE_2_DEX,1),
 _xlpm.moveType,INDEX([1]TypeChart!A2,1),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E12" s="30"/>
      <c r="AF12" s="26"/>
    </row>
    <row r="13" spans="1:48" ht="15.75" customHeight="1" x14ac:dyDescent="0.25">
      <c r="C13" s="14"/>
      <c r="D13" s="19"/>
      <c r="E13" s="41"/>
      <c r="F13" s="42"/>
      <c r="G13" s="42"/>
      <c r="H13" s="42"/>
      <c r="I13" s="42"/>
      <c r="J13" s="43"/>
      <c r="K13" s="20"/>
      <c r="L13" s="14"/>
      <c r="M13" s="19"/>
      <c r="N13" s="70"/>
      <c r="O13" s="70"/>
      <c r="P13" s="70"/>
      <c r="Q13" s="70"/>
      <c r="R13" s="20"/>
      <c r="S13" s="14"/>
      <c r="T13" s="19"/>
      <c r="U13" s="16"/>
      <c r="V13" s="16"/>
      <c r="W13" s="16"/>
      <c r="X13" s="16"/>
      <c r="Y13" s="20"/>
      <c r="Z13" s="14"/>
      <c r="AA13" s="14"/>
      <c r="AB13" s="19"/>
      <c r="AC13" s="32" t="e" vm="4">
        <f>TypeChart!C9</f>
        <v>#VALUE!</v>
      </c>
      <c r="AD13" s="33">
        <f>_xlfn.LET(
 _xlpm.type1,INDEX(TYPE_1_DEX,1),
 _xlpm.type2,INDEX(TYPE_2_DEX,1),
 _xlpm.moveType,INDEX([1]TypeChart!A3,1),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2</v>
      </c>
      <c r="AE13" s="20"/>
      <c r="AF13" s="14"/>
    </row>
    <row r="14" spans="1:48" ht="15.75" customHeight="1" x14ac:dyDescent="0.25">
      <c r="C14" s="14"/>
      <c r="D14" s="19"/>
      <c r="E14" s="41"/>
      <c r="F14" s="42"/>
      <c r="G14" s="42"/>
      <c r="H14" s="42"/>
      <c r="I14" s="42"/>
      <c r="J14" s="43"/>
      <c r="K14" s="20"/>
      <c r="L14" s="14"/>
      <c r="M14" s="19"/>
      <c r="N14" s="58" t="s">
        <v>27</v>
      </c>
      <c r="O14" s="66" t="str">
        <f>IF(PKMN_DEX="","-",IFERROR(PROPER(SUBSTITUTE(VLOOKUP(PKMN_DEX,[1]Pokemon!$C$2:$P$2000,12,FALSE),"-"," ")),""))</f>
        <v>Overgrow</v>
      </c>
      <c r="P14" s="67"/>
      <c r="Q14" s="67"/>
      <c r="R14" s="20"/>
      <c r="S14" s="14"/>
      <c r="T14" s="19"/>
      <c r="U14" s="70" t="s">
        <v>6</v>
      </c>
      <c r="V14" s="70"/>
      <c r="W14" s="70"/>
      <c r="X14" s="70"/>
      <c r="Y14" s="20"/>
      <c r="Z14" s="14"/>
      <c r="AA14" s="14"/>
      <c r="AB14" s="19"/>
      <c r="AC14" s="32" t="e" vm="5">
        <f>TypeChart!C10</f>
        <v>#VALUE!</v>
      </c>
      <c r="AD14" s="33">
        <f>_xlfn.LET(
 _xlpm.type1,INDEX(TYPE_1_DEX,1),
 _xlpm.type2,INDEX(TYPE_2_DEX,1),
 _xlpm.moveType,INDEX([1]TypeChart!A4,1),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0.5</v>
      </c>
      <c r="AE14" s="20"/>
      <c r="AF14" s="14"/>
    </row>
    <row r="15" spans="1:48" ht="15.75" customHeight="1" x14ac:dyDescent="0.25">
      <c r="C15" s="14"/>
      <c r="D15" s="19"/>
      <c r="E15" s="41"/>
      <c r="F15" s="42"/>
      <c r="G15" s="42"/>
      <c r="H15" s="42"/>
      <c r="I15" s="42"/>
      <c r="J15" s="43"/>
      <c r="K15" s="20"/>
      <c r="L15" s="14"/>
      <c r="M15" s="19"/>
      <c r="N15" s="77"/>
      <c r="O15" s="68"/>
      <c r="P15" s="69"/>
      <c r="Q15" s="69"/>
      <c r="R15" s="20"/>
      <c r="S15" s="14"/>
      <c r="T15" s="19"/>
      <c r="U15" s="70"/>
      <c r="V15" s="70"/>
      <c r="W15" s="70"/>
      <c r="X15" s="70"/>
      <c r="Y15" s="20"/>
      <c r="Z15" s="14"/>
      <c r="AA15" s="14"/>
      <c r="AB15" s="19"/>
      <c r="AC15" s="32" t="e" vm="6">
        <f>TypeChart!C11</f>
        <v>#VALUE!</v>
      </c>
      <c r="AD15" s="33">
        <f>_xlfn.LET(
 _xlpm.type1,INDEX(TYPE_1_DEX,1),
 _xlpm.type2,INDEX(TYPE_2_DEX,1),
 _xlpm.moveType,INDEX([1]TypeChart!A5,1),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0.5</v>
      </c>
      <c r="AE15" s="20"/>
      <c r="AF15" s="14"/>
    </row>
    <row r="16" spans="1:48" ht="15.75" customHeight="1" x14ac:dyDescent="0.25">
      <c r="C16" s="14"/>
      <c r="D16" s="19"/>
      <c r="E16" s="41"/>
      <c r="F16" s="42"/>
      <c r="G16" s="42"/>
      <c r="H16" s="42"/>
      <c r="I16" s="42"/>
      <c r="J16" s="43"/>
      <c r="K16" s="20"/>
      <c r="L16" s="14"/>
      <c r="M16" s="19"/>
      <c r="N16" s="58" t="s">
        <v>28</v>
      </c>
      <c r="O16" s="66" t="str">
        <f>IF(PKMN_DEX="","-",IFERROR(PROPER(SUBSTITUTE(VLOOKUP(PKMN_DEX,[1]Pokemon!$C$2:$P$2000,13,FALSE),"-"," ")),""))</f>
        <v/>
      </c>
      <c r="P16" s="67"/>
      <c r="Q16" s="67"/>
      <c r="R16" s="20"/>
      <c r="S16" s="14"/>
      <c r="T16" s="19"/>
      <c r="U16" s="16"/>
      <c r="V16" s="16"/>
      <c r="W16" s="16"/>
      <c r="X16" s="16"/>
      <c r="Y16" s="20"/>
      <c r="Z16" s="14"/>
      <c r="AA16" s="14"/>
      <c r="AB16" s="19"/>
      <c r="AC16" s="32" t="e" vm="7">
        <f>TypeChart!C12</f>
        <v>#VALUE!</v>
      </c>
      <c r="AD16" s="33">
        <f>_xlfn.LET(
 _xlpm.type1,INDEX(TYPE_1_DEX,1),
 _xlpm.type2,INDEX(TYPE_2_DEX,1),
 _xlpm.moveType,INDEX([1]TypeChart!A6,1),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0.5</v>
      </c>
      <c r="AE16" s="20"/>
      <c r="AF16" s="14"/>
    </row>
    <row r="17" spans="3:32" ht="15.75" customHeight="1" x14ac:dyDescent="0.25">
      <c r="C17" s="14"/>
      <c r="D17" s="19"/>
      <c r="E17" s="41"/>
      <c r="F17" s="42"/>
      <c r="G17" s="42"/>
      <c r="H17" s="42"/>
      <c r="I17" s="42"/>
      <c r="J17" s="43"/>
      <c r="K17" s="20"/>
      <c r="L17" s="14"/>
      <c r="M17" s="19"/>
      <c r="N17" s="77"/>
      <c r="O17" s="68"/>
      <c r="P17" s="69"/>
      <c r="Q17" s="69"/>
      <c r="R17" s="20"/>
      <c r="S17" s="14"/>
      <c r="T17" s="19"/>
      <c r="U17" s="16"/>
      <c r="V17" s="16"/>
      <c r="W17" s="16"/>
      <c r="X17" s="16"/>
      <c r="Y17" s="20"/>
      <c r="Z17" s="14"/>
      <c r="AA17" s="14"/>
      <c r="AB17" s="19"/>
      <c r="AC17" s="32" t="e" vm="8">
        <f>TypeChart!C13</f>
        <v>#VALUE!</v>
      </c>
      <c r="AD17" s="33">
        <f>_xlfn.LET(
 _xlpm.type1,INDEX(TYPE_1_DEX,1),
 _xlpm.type2,INDEX(TYPE_2_DEX,1),
 _xlpm.moveType,INDEX([1]TypeChart!A7,1),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2</v>
      </c>
      <c r="AE17" s="20"/>
      <c r="AF17" s="14"/>
    </row>
    <row r="18" spans="3:32" ht="15.75" customHeight="1" x14ac:dyDescent="0.25">
      <c r="C18" s="14"/>
      <c r="D18" s="19"/>
      <c r="E18" s="41"/>
      <c r="F18" s="42"/>
      <c r="G18" s="42"/>
      <c r="H18" s="42"/>
      <c r="I18" s="42"/>
      <c r="J18" s="43"/>
      <c r="K18" s="20"/>
      <c r="L18" s="14"/>
      <c r="M18" s="19"/>
      <c r="N18" s="58" t="s">
        <v>29</v>
      </c>
      <c r="O18" s="66" t="str">
        <f>IF(PKMN_DEX="","-",IFERROR(PROPER(SUBSTITUTE(VLOOKUP(PKMN_DEX,[1]Pokemon!$C$2:$P$2000,14,FALSE),"-"," ")),""))</f>
        <v>Leaf Guard</v>
      </c>
      <c r="P18" s="67"/>
      <c r="Q18" s="67"/>
      <c r="R18" s="20"/>
      <c r="S18" s="14"/>
      <c r="T18" s="19"/>
      <c r="U18" s="16"/>
      <c r="V18" s="16"/>
      <c r="W18" s="16"/>
      <c r="X18" s="16"/>
      <c r="Y18" s="20"/>
      <c r="Z18" s="14"/>
      <c r="AA18" s="14"/>
      <c r="AB18" s="19"/>
      <c r="AC18" s="32" t="e" vm="9">
        <f>TypeChart!C14</f>
        <v>#VALUE!</v>
      </c>
      <c r="AD18" s="33">
        <f>_xlfn.LET(
 _xlpm.type1,INDEX(TYPE_1_DEX,1),
 _xlpm.type2,INDEX(TYPE_2_DEX,1),
 _xlpm.moveType,INDEX([1]TypeChart!A8,1),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E18" s="20"/>
      <c r="AF18" s="14"/>
    </row>
    <row r="19" spans="3:32" ht="15.75" customHeight="1" x14ac:dyDescent="0.25">
      <c r="C19" s="14"/>
      <c r="D19" s="19"/>
      <c r="E19" s="41"/>
      <c r="F19" s="42"/>
      <c r="G19" s="42"/>
      <c r="H19" s="42"/>
      <c r="I19" s="42"/>
      <c r="J19" s="43"/>
      <c r="K19" s="20"/>
      <c r="L19" s="14"/>
      <c r="M19" s="19"/>
      <c r="N19" s="58"/>
      <c r="O19" s="66"/>
      <c r="P19" s="67"/>
      <c r="Q19" s="67"/>
      <c r="R19" s="20"/>
      <c r="S19" s="14"/>
      <c r="T19" s="19"/>
      <c r="U19" s="16"/>
      <c r="V19" s="16"/>
      <c r="W19" s="16"/>
      <c r="X19" s="16"/>
      <c r="Y19" s="20"/>
      <c r="Z19" s="14"/>
      <c r="AA19" s="14"/>
      <c r="AB19" s="19"/>
      <c r="AC19" s="32" t="e" vm="10">
        <f>TypeChart!C15</f>
        <v>#VALUE!</v>
      </c>
      <c r="AD19" s="33">
        <f>_xlfn.LET(
 _xlpm.type1,INDEX(TYPE_1_DEX,1),
 _xlpm.type2,INDEX(TYPE_2_DEX,1),
 _xlpm.moveType,INDEX([1]TypeChart!A9,1),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2</v>
      </c>
      <c r="AE19" s="20"/>
      <c r="AF19" s="14"/>
    </row>
    <row r="20" spans="3:32" ht="15.75" customHeight="1" x14ac:dyDescent="0.25">
      <c r="C20" s="14"/>
      <c r="D20" s="19"/>
      <c r="E20" s="41"/>
      <c r="F20" s="42"/>
      <c r="G20" s="42"/>
      <c r="H20" s="42"/>
      <c r="I20" s="42"/>
      <c r="J20" s="43"/>
      <c r="K20" s="20"/>
      <c r="L20" s="14"/>
      <c r="M20" s="19"/>
      <c r="N20" s="16"/>
      <c r="O20" s="16"/>
      <c r="P20" s="16"/>
      <c r="Q20" s="16"/>
      <c r="R20" s="20"/>
      <c r="S20" s="14"/>
      <c r="T20" s="19"/>
      <c r="U20" s="16"/>
      <c r="V20" s="16"/>
      <c r="W20" s="16"/>
      <c r="X20" s="16"/>
      <c r="Y20" s="20"/>
      <c r="Z20" s="14"/>
      <c r="AA20" s="14"/>
      <c r="AB20" s="19"/>
      <c r="AC20" s="32" t="e" vm="11">
        <f>TypeChart!C16</f>
        <v>#VALUE!</v>
      </c>
      <c r="AD20" s="33">
        <f>_xlfn.LET(
 _xlpm.type1,INDEX(TYPE_1_DEX,1),
 _xlpm.type2,INDEX(TYPE_2_DEX,1),
 _xlpm.moveType,INDEX([1]TypeChart!A10,1),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0.5</v>
      </c>
      <c r="AE20" s="20"/>
      <c r="AF20" s="14"/>
    </row>
    <row r="21" spans="3:32" ht="15.75" customHeight="1" x14ac:dyDescent="0.25">
      <c r="C21" s="14"/>
      <c r="D21" s="19"/>
      <c r="E21" s="41"/>
      <c r="F21" s="42"/>
      <c r="G21" s="42"/>
      <c r="H21" s="42"/>
      <c r="I21" s="42"/>
      <c r="J21" s="43"/>
      <c r="K21" s="20"/>
      <c r="L21" s="14"/>
      <c r="M21" s="19"/>
      <c r="N21" s="16"/>
      <c r="O21" s="16"/>
      <c r="P21" s="16"/>
      <c r="Q21" s="16"/>
      <c r="R21" s="20"/>
      <c r="S21" s="14"/>
      <c r="T21" s="19"/>
      <c r="U21" s="16"/>
      <c r="V21" s="16"/>
      <c r="W21" s="16"/>
      <c r="X21" s="16"/>
      <c r="Y21" s="20"/>
      <c r="Z21" s="14"/>
      <c r="AA21" s="14"/>
      <c r="AB21" s="19"/>
      <c r="AC21" s="32" t="e" vm="12">
        <f>TypeChart!C17</f>
        <v>#VALUE!</v>
      </c>
      <c r="AD21" s="33">
        <f>_xlfn.LET(
 _xlpm.type1,INDEX(TYPE_1_DEX,1),
 _xlpm.type2,INDEX(TYPE_2_DEX,1),
 _xlpm.moveType,INDEX([1]TypeChart!A11,1),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2</v>
      </c>
      <c r="AE21" s="20"/>
      <c r="AF21" s="14"/>
    </row>
    <row r="22" spans="3:32" ht="15.75" customHeight="1" x14ac:dyDescent="0.25">
      <c r="C22" s="14"/>
      <c r="D22" s="19"/>
      <c r="E22" s="41"/>
      <c r="F22" s="42"/>
      <c r="G22" s="42"/>
      <c r="H22" s="42"/>
      <c r="I22" s="42"/>
      <c r="J22" s="43"/>
      <c r="K22" s="20"/>
      <c r="L22" s="14"/>
      <c r="M22" s="19"/>
      <c r="N22" s="70" t="s">
        <v>31</v>
      </c>
      <c r="O22" s="70"/>
      <c r="P22" s="70"/>
      <c r="Q22" s="70"/>
      <c r="R22" s="20"/>
      <c r="S22" s="14"/>
      <c r="T22" s="19"/>
      <c r="U22" s="16"/>
      <c r="V22" s="16"/>
      <c r="W22" s="16"/>
      <c r="X22" s="16"/>
      <c r="Y22" s="20"/>
      <c r="Z22" s="14"/>
      <c r="AA22" s="14"/>
      <c r="AB22" s="19"/>
      <c r="AC22" s="32" t="e" vm="13">
        <f>TypeChart!C18</f>
        <v>#VALUE!</v>
      </c>
      <c r="AD22" s="33">
        <f>_xlfn.LET(
 _xlpm.type1,INDEX(TYPE_1_DEX,1),
 _xlpm.type2,INDEX(TYPE_2_DEX,1),
 _xlpm.moveType,INDEX([1]TypeChart!A12,1),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E22" s="20"/>
      <c r="AF22" s="14"/>
    </row>
    <row r="23" spans="3:32" ht="15.75" customHeight="1" x14ac:dyDescent="0.25">
      <c r="C23" s="14"/>
      <c r="D23" s="19"/>
      <c r="E23" s="41"/>
      <c r="F23" s="42"/>
      <c r="G23" s="42"/>
      <c r="H23" s="42"/>
      <c r="I23" s="42"/>
      <c r="J23" s="43"/>
      <c r="K23" s="20"/>
      <c r="L23" s="14"/>
      <c r="M23" s="19"/>
      <c r="N23" s="70"/>
      <c r="O23" s="70"/>
      <c r="P23" s="70"/>
      <c r="Q23" s="70"/>
      <c r="R23" s="20"/>
      <c r="S23" s="14"/>
      <c r="T23" s="19"/>
      <c r="U23" s="16"/>
      <c r="V23" s="16"/>
      <c r="W23" s="16"/>
      <c r="X23" s="16"/>
      <c r="Y23" s="20"/>
      <c r="Z23" s="14"/>
      <c r="AA23" s="14"/>
      <c r="AB23" s="19"/>
      <c r="AC23" s="32" t="e" vm="14">
        <f>TypeChart!C19</f>
        <v>#VALUE!</v>
      </c>
      <c r="AD23" s="33">
        <f>_xlfn.LET(
 _xlpm.type1,INDEX(TYPE_1_DEX,1),
 _xlpm.type2,INDEX(TYPE_2_DEX,1),
 _xlpm.moveType,INDEX([1]TypeChart!A13,1),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2</v>
      </c>
      <c r="AE23" s="20"/>
      <c r="AF23" s="14"/>
    </row>
    <row r="24" spans="3:32" ht="15.75" customHeight="1" thickBot="1" x14ac:dyDescent="0.3">
      <c r="C24" s="14"/>
      <c r="D24" s="19"/>
      <c r="E24" s="44"/>
      <c r="F24" s="45"/>
      <c r="G24" s="45"/>
      <c r="H24" s="45"/>
      <c r="I24" s="45"/>
      <c r="J24" s="46"/>
      <c r="K24" s="20"/>
      <c r="L24" s="14"/>
      <c r="M24" s="19"/>
      <c r="N24" s="75" t="s">
        <v>32</v>
      </c>
      <c r="O24" s="76"/>
      <c r="P24" s="75" t="str">
        <f>IF(PKMN_DEX="","-",IFERROR(PROPER(SUBSTITUTE(VLOOKUP(PKMN_DEX,[1]Pokemon!$C$2:$M$2000,5,FALSE),"-"," ")),""))</f>
        <v>80</v>
      </c>
      <c r="Q24" s="75"/>
      <c r="R24" s="20"/>
      <c r="S24" s="14"/>
      <c r="T24" s="19"/>
      <c r="U24" s="16"/>
      <c r="V24" s="16"/>
      <c r="W24" s="16"/>
      <c r="X24" s="16"/>
      <c r="Y24" s="20"/>
      <c r="Z24" s="14"/>
      <c r="AA24" s="14"/>
      <c r="AB24" s="19"/>
      <c r="AC24" s="32" t="e" vm="15">
        <f>TypeChart!C20</f>
        <v>#VALUE!</v>
      </c>
      <c r="AD24" s="33">
        <f>_xlfn.LET(
 _xlpm.type1,INDEX(TYPE_1_DEX,1),
 _xlpm.type2,INDEX(TYPE_2_DEX,1),
 _xlpm.moveType,INDEX([1]TypeChart!A14,1),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E24" s="20"/>
      <c r="AF24" s="14"/>
    </row>
    <row r="25" spans="3:32" ht="15.75" customHeight="1" x14ac:dyDescent="0.25">
      <c r="C25" s="14"/>
      <c r="D25" s="19"/>
      <c r="E25" s="16"/>
      <c r="F25" s="16"/>
      <c r="G25" s="16"/>
      <c r="H25" s="16"/>
      <c r="I25" s="16"/>
      <c r="J25" s="16"/>
      <c r="K25" s="20"/>
      <c r="L25" s="14"/>
      <c r="M25" s="19"/>
      <c r="N25" s="75" t="s">
        <v>33</v>
      </c>
      <c r="O25" s="76"/>
      <c r="P25" s="75" t="str">
        <f>IF(PKMN_DEX="","-",IFERROR(PROPER(SUBSTITUTE(VLOOKUP(PKMN_DEX,[1]Pokemon!$C$2:$M$2000,6,FALSE),"-"," ")),""))</f>
        <v>82</v>
      </c>
      <c r="Q25" s="75"/>
      <c r="R25" s="20"/>
      <c r="S25" s="14"/>
      <c r="T25" s="19"/>
      <c r="U25" s="16"/>
      <c r="V25" s="16"/>
      <c r="W25" s="16"/>
      <c r="X25" s="16"/>
      <c r="Y25" s="20"/>
      <c r="Z25" s="14"/>
      <c r="AA25" s="14"/>
      <c r="AB25" s="19"/>
      <c r="AC25" s="32" t="e" vm="16">
        <f>TypeChart!C21</f>
        <v>#VALUE!</v>
      </c>
      <c r="AD25" s="33">
        <f>_xlfn.LET(
 _xlpm.type1,INDEX(TYPE_1_DEX,1),
 _xlpm.type2,INDEX(TYPE_2_DEX,1),
 _xlpm.moveType,INDEX([1]TypeChart!A15,1),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E25" s="20"/>
      <c r="AF25" s="14"/>
    </row>
    <row r="26" spans="3:32" ht="15.75" customHeight="1" x14ac:dyDescent="0.25">
      <c r="C26" s="14"/>
      <c r="D26" s="19"/>
      <c r="E26" s="71" t="str">
        <f>IF(PKMN_DEX="","Height",
_xlfn.LET(
 _xlpm.meters,IFERROR(VLOOKUP(PKMN_DEX,[1]Pokemon!$C:$R,15,0),""),
 IF(
   _xlpm.meters="",
   "Height",
   IF(
     UNITS="Imperial",
     _xlfn.LET(
       _xlpm.inches,_xlpm.meters*39.3701,
       _xlpm.feet,INT(_xlpm.inches/12),
       _xlpm.inch,ROUND(MOD(_xlpm.inches,12),0),
       IF(_xlpm.inch=12,
         ""&amp;(_xlpm.feet+1)&amp;"′00″",
         ""&amp;_xlpm.feet&amp;"′"&amp;IF(_xlpm.inch&lt;10,"0"&amp;_xlpm.inch,""&amp;_xlpm.inch)&amp;"″"
       )
     ),
     _xlpm.meters &amp; " m"
   )
 )
)
)</f>
        <v>1,8 m</v>
      </c>
      <c r="F26" s="71"/>
      <c r="G26" s="71"/>
      <c r="H26" s="73" t="str">
        <f>IF(PKMN_DEX="","Weight",
_xlfn.LET(
 _xlpm.kg,IFERROR(VLOOKUP(PKMN_DEX,[1]Pokemon!$C:$R,16,0),""),
 IF(
   _xlpm.kg="",
   "Weight",
   IF(
     UNITS="Imperial",
     ROUND(_xlpm.kg*2.20462262,1) &amp; " lbs",
     _xlpm.kg &amp; " kg"
   )
 )
)
)</f>
        <v>100,5 kg</v>
      </c>
      <c r="I26" s="71"/>
      <c r="J26" s="71"/>
      <c r="K26" s="20"/>
      <c r="L26" s="14"/>
      <c r="M26" s="19"/>
      <c r="N26" s="75" t="s">
        <v>34</v>
      </c>
      <c r="O26" s="76"/>
      <c r="P26" s="75" t="str">
        <f>IF(PKMN_DEX="","-",IFERROR(PROPER(SUBSTITUTE(VLOOKUP(PKMN_DEX,[1]Pokemon!$C$2:$M$2000,7,FALSE),"-"," ")),""))</f>
        <v>100</v>
      </c>
      <c r="Q26" s="75"/>
      <c r="R26" s="20"/>
      <c r="S26" s="14"/>
      <c r="T26" s="19"/>
      <c r="U26" s="16"/>
      <c r="V26" s="16"/>
      <c r="W26" s="16"/>
      <c r="X26" s="16"/>
      <c r="Y26" s="20"/>
      <c r="Z26" s="14"/>
      <c r="AA26" s="14"/>
      <c r="AB26" s="19"/>
      <c r="AC26" s="32" t="e" vm="17">
        <f>TypeChart!C22</f>
        <v>#VALUE!</v>
      </c>
      <c r="AD26" s="33">
        <f>_xlfn.LET(
 _xlpm.type1,INDEX(TYPE_1_DEX,1),
 _xlpm.type2,INDEX(TYPE_2_DEX,1),
 _xlpm.moveType,INDEX([1]TypeChart!A16,1),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E26" s="20"/>
      <c r="AF26" s="14"/>
    </row>
    <row r="27" spans="3:32" ht="15.75" customHeight="1" x14ac:dyDescent="0.25">
      <c r="C27" s="14"/>
      <c r="D27" s="19"/>
      <c r="E27" s="72"/>
      <c r="F27" s="72"/>
      <c r="G27" s="72"/>
      <c r="H27" s="74"/>
      <c r="I27" s="72"/>
      <c r="J27" s="72"/>
      <c r="K27" s="20"/>
      <c r="L27" s="14"/>
      <c r="M27" s="19"/>
      <c r="N27" s="75" t="s">
        <v>35</v>
      </c>
      <c r="O27" s="76"/>
      <c r="P27" s="75" t="str">
        <f>IF(PKMN_DEX="","-",IFERROR(PROPER(SUBSTITUTE(VLOOKUP(PKMN_DEX,[1]Pokemon!$C$2:$M$2000,8,FALSE),"-"," ")),""))</f>
        <v>83</v>
      </c>
      <c r="Q27" s="75"/>
      <c r="R27" s="20"/>
      <c r="S27" s="14"/>
      <c r="T27" s="19"/>
      <c r="U27" s="16"/>
      <c r="V27" s="16"/>
      <c r="W27" s="16"/>
      <c r="X27" s="16"/>
      <c r="Y27" s="20"/>
      <c r="Z27" s="14"/>
      <c r="AA27" s="14"/>
      <c r="AB27" s="19"/>
      <c r="AC27" s="32" t="e" vm="18">
        <f>TypeChart!C23</f>
        <v>#VALUE!</v>
      </c>
      <c r="AD27" s="33">
        <f>_xlfn.LET(
 _xlpm.type1,INDEX(TYPE_1_DEX,1),
 _xlpm.type2,INDEX(TYPE_2_DEX,1),
 _xlpm.moveType,INDEX([1]TypeChart!A17,1),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E27" s="20"/>
      <c r="AF27" s="14"/>
    </row>
    <row r="28" spans="3:32" ht="15.75" customHeight="1" x14ac:dyDescent="0.25">
      <c r="C28" s="14"/>
      <c r="D28" s="19"/>
      <c r="E28" s="16"/>
      <c r="F28" s="16"/>
      <c r="G28" s="16"/>
      <c r="H28" s="16"/>
      <c r="I28" s="16"/>
      <c r="J28" s="16"/>
      <c r="K28" s="20"/>
      <c r="L28" s="14"/>
      <c r="M28" s="19"/>
      <c r="N28" s="75" t="s">
        <v>36</v>
      </c>
      <c r="O28" s="76"/>
      <c r="P28" s="75" t="str">
        <f>IF(PKMN_DEX="","-",IFERROR(PROPER(SUBSTITUTE(VLOOKUP(PKMN_DEX,[1]Pokemon!$C$2:$M$2000,9,FALSE),"-"," ")),""))</f>
        <v>100</v>
      </c>
      <c r="Q28" s="75"/>
      <c r="R28" s="20"/>
      <c r="S28" s="14"/>
      <c r="T28" s="19"/>
      <c r="U28" s="16"/>
      <c r="V28" s="16"/>
      <c r="W28" s="16"/>
      <c r="X28" s="16"/>
      <c r="Y28" s="20"/>
      <c r="Z28" s="14"/>
      <c r="AA28" s="14"/>
      <c r="AB28" s="19"/>
      <c r="AC28" s="32" t="e" vm="19">
        <f>TypeChart!C24</f>
        <v>#VALUE!</v>
      </c>
      <c r="AD28" s="33">
        <f>_xlfn.LET(
 _xlpm.type1,INDEX(TYPE_1_DEX,1),
 _xlpm.type2,INDEX(TYPE_2_DEX,1),
 _xlpm.moveType,INDEX([1]TypeChart!A18,1),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E28" s="20"/>
      <c r="AF28" s="14"/>
    </row>
    <row r="29" spans="3:32" ht="15.75" customHeight="1" x14ac:dyDescent="0.25">
      <c r="C29" s="14"/>
      <c r="D29" s="19"/>
      <c r="E29" s="59" t="str">
        <f>IF(PKMN_DEX="","About",IFERROR(VLOOKUP(PKMN_DEX,[1]Pokemon!$C$2:$S$2000,17,FALSE),""))</f>
        <v>The aroma that rises from its petals contains a substance that calms aggressive feelings.</v>
      </c>
      <c r="F29" s="59"/>
      <c r="G29" s="59"/>
      <c r="H29" s="59"/>
      <c r="I29" s="59"/>
      <c r="J29" s="60"/>
      <c r="K29" s="20"/>
      <c r="L29" s="14"/>
      <c r="M29" s="19"/>
      <c r="N29" s="75" t="s">
        <v>37</v>
      </c>
      <c r="O29" s="76"/>
      <c r="P29" s="75" t="str">
        <f>IF(PKMN_DEX="","-",IFERROR(PROPER(SUBSTITUTE(VLOOKUP(PKMN_DEX,[1]Pokemon!$C$2:$M$2000,10,FALSE),"-"," ")),""))</f>
        <v>80</v>
      </c>
      <c r="Q29" s="75"/>
      <c r="R29" s="20"/>
      <c r="S29" s="14"/>
      <c r="T29" s="19"/>
      <c r="U29" s="16"/>
      <c r="V29" s="16"/>
      <c r="W29" s="16"/>
      <c r="X29" s="16"/>
      <c r="Y29" s="20"/>
      <c r="Z29" s="14"/>
      <c r="AA29" s="14"/>
      <c r="AB29" s="19"/>
      <c r="AC29" s="32" t="e" vm="20">
        <f>TypeChart!C25</f>
        <v>#VALUE!</v>
      </c>
      <c r="AD29" s="33">
        <f>_xlfn.LET(
 _xlpm.type1,INDEX(TYPE_1_DEX,1),
 _xlpm.type2,INDEX(TYPE_2_DEX,1),
 _xlpm.moveType,INDEX([1]TypeChart!A19,1),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E29" s="20"/>
      <c r="AF29" s="14"/>
    </row>
    <row r="30" spans="3:32" ht="15.75" customHeight="1" x14ac:dyDescent="0.25">
      <c r="C30" s="14"/>
      <c r="D30" s="19"/>
      <c r="E30" s="59"/>
      <c r="F30" s="59"/>
      <c r="G30" s="59"/>
      <c r="H30" s="59"/>
      <c r="I30" s="59"/>
      <c r="J30" s="60"/>
      <c r="K30" s="20"/>
      <c r="L30" s="14"/>
      <c r="M30" s="19"/>
      <c r="N30" s="78" t="s">
        <v>38</v>
      </c>
      <c r="O30" s="79"/>
      <c r="P30" s="80" t="str">
        <f>IF(PKMN_DEX="","-",IFERROR(PROPER(SUBSTITUTE(VLOOKUP(PKMN_DEX,[1]Pokemon!$C$2:$M$2000,11,FALSE),"-"," ")),""))</f>
        <v>525</v>
      </c>
      <c r="Q30" s="80"/>
      <c r="R30" s="20"/>
      <c r="S30" s="14"/>
      <c r="T30" s="19"/>
      <c r="U30" s="16"/>
      <c r="V30" s="16"/>
      <c r="W30" s="16"/>
      <c r="X30" s="16"/>
      <c r="Y30" s="20"/>
      <c r="Z30" s="14"/>
      <c r="AA30" s="14"/>
      <c r="AB30" s="19"/>
      <c r="AC30" s="25" t="e" vm="21">
        <f>TypeChart!C26</f>
        <v>#VALUE!</v>
      </c>
      <c r="AD30" s="34">
        <f>_xlfn.LET(
 _xlpm.type1,INDEX(TYPE_1_DEX,1),
 _xlpm.type2,INDEX(TYPE_2_DEX,1),
 _xlpm.moveType,INDEX([1]TypeChart!A20,1),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E30" s="20"/>
      <c r="AF30" s="14"/>
    </row>
    <row r="31" spans="3:32" ht="15.75" customHeight="1" thickBot="1" x14ac:dyDescent="0.3">
      <c r="C31" s="14"/>
      <c r="D31" s="19"/>
      <c r="E31" s="61"/>
      <c r="F31" s="61"/>
      <c r="G31" s="61"/>
      <c r="H31" s="61"/>
      <c r="I31" s="61"/>
      <c r="J31" s="62"/>
      <c r="K31" s="20"/>
      <c r="L31" s="14"/>
      <c r="M31" s="19"/>
      <c r="N31" s="16"/>
      <c r="O31" s="16"/>
      <c r="P31" s="16"/>
      <c r="Q31" s="16"/>
      <c r="R31" s="20"/>
      <c r="S31" s="14"/>
      <c r="T31" s="19"/>
      <c r="U31" s="16"/>
      <c r="V31" s="16"/>
      <c r="W31" s="16"/>
      <c r="X31" s="16"/>
      <c r="Y31" s="20"/>
      <c r="Z31" s="14"/>
      <c r="AA31" s="14"/>
      <c r="AB31" s="19"/>
      <c r="AC31" s="87" t="s">
        <v>46</v>
      </c>
      <c r="AD31" s="87"/>
      <c r="AE31" s="20"/>
      <c r="AF31" s="14"/>
    </row>
    <row r="32" spans="3:32" ht="15.75" customHeight="1" x14ac:dyDescent="0.25">
      <c r="C32" s="14"/>
      <c r="D32" s="21"/>
      <c r="E32" s="22"/>
      <c r="F32" s="22"/>
      <c r="G32" s="22"/>
      <c r="H32" s="22"/>
      <c r="I32" s="22"/>
      <c r="J32" s="22"/>
      <c r="K32" s="23"/>
      <c r="L32" s="14"/>
      <c r="M32" s="21"/>
      <c r="N32" s="22"/>
      <c r="O32" s="22"/>
      <c r="P32" s="22"/>
      <c r="Q32" s="22"/>
      <c r="R32" s="23"/>
      <c r="S32" s="14"/>
      <c r="T32" s="21"/>
      <c r="U32" s="22"/>
      <c r="V32" s="22"/>
      <c r="W32" s="22"/>
      <c r="X32" s="22"/>
      <c r="Y32" s="23"/>
      <c r="Z32" s="14"/>
      <c r="AA32" s="14"/>
      <c r="AB32" s="21"/>
      <c r="AC32" s="86"/>
      <c r="AD32" s="86"/>
      <c r="AE32" s="23"/>
      <c r="AF32" s="14"/>
    </row>
    <row r="33" spans="3:32" x14ac:dyDescent="0.25">
      <c r="C33" s="14"/>
      <c r="D33" s="14"/>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row>
    <row r="34" spans="3:32" x14ac:dyDescent="0.25"/>
    <row r="35" spans="3:32" x14ac:dyDescent="0.25"/>
    <row r="36" spans="3:32" x14ac:dyDescent="0.25"/>
    <row r="37" spans="3:32" x14ac:dyDescent="0.25"/>
    <row r="38" spans="3:32" x14ac:dyDescent="0.25"/>
    <row r="39" spans="3:32" x14ac:dyDescent="0.25"/>
    <row r="40" spans="3:32" x14ac:dyDescent="0.25"/>
    <row r="41" spans="3:32" x14ac:dyDescent="0.25"/>
    <row r="42" spans="3:32" x14ac:dyDescent="0.25"/>
    <row r="43" spans="3:32" x14ac:dyDescent="0.25"/>
    <row r="44" spans="3:32" x14ac:dyDescent="0.25"/>
    <row r="45" spans="3:32" x14ac:dyDescent="0.25"/>
    <row r="46" spans="3:32" x14ac:dyDescent="0.25"/>
    <row r="47" spans="3:32" x14ac:dyDescent="0.25"/>
    <row r="48" spans="3:32"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row r="110" x14ac:dyDescent="0.25"/>
    <row r="111" x14ac:dyDescent="0.25"/>
    <row r="112" x14ac:dyDescent="0.25"/>
    <row r="113" x14ac:dyDescent="0.25"/>
    <row r="114" x14ac:dyDescent="0.25"/>
    <row r="115" x14ac:dyDescent="0.25"/>
    <row r="116" x14ac:dyDescent="0.25"/>
    <row r="117" x14ac:dyDescent="0.25"/>
    <row r="118" x14ac:dyDescent="0.25"/>
    <row r="119" x14ac:dyDescent="0.25"/>
    <row r="120" x14ac:dyDescent="0.25"/>
    <row r="121" x14ac:dyDescent="0.25"/>
    <row r="122" x14ac:dyDescent="0.25"/>
    <row r="123" x14ac:dyDescent="0.25"/>
    <row r="124" x14ac:dyDescent="0.25"/>
    <row r="125" x14ac:dyDescent="0.25"/>
    <row r="126" x14ac:dyDescent="0.25"/>
    <row r="127" x14ac:dyDescent="0.25"/>
    <row r="128" x14ac:dyDescent="0.25"/>
    <row r="129" x14ac:dyDescent="0.25"/>
    <row r="130" x14ac:dyDescent="0.25"/>
    <row r="131" x14ac:dyDescent="0.25"/>
    <row r="132" x14ac:dyDescent="0.25"/>
    <row r="133" x14ac:dyDescent="0.25"/>
    <row r="134" x14ac:dyDescent="0.25"/>
    <row r="135" x14ac:dyDescent="0.25"/>
    <row r="136" x14ac:dyDescent="0.25"/>
    <row r="137" x14ac:dyDescent="0.25"/>
    <row r="138" x14ac:dyDescent="0.25"/>
    <row r="139" x14ac:dyDescent="0.25"/>
    <row r="140" x14ac:dyDescent="0.25"/>
    <row r="141" x14ac:dyDescent="0.25"/>
    <row r="142" x14ac:dyDescent="0.25"/>
    <row r="143" x14ac:dyDescent="0.25"/>
    <row r="144" x14ac:dyDescent="0.25"/>
    <row r="145" x14ac:dyDescent="0.25"/>
    <row r="146" x14ac:dyDescent="0.25"/>
    <row r="147" x14ac:dyDescent="0.25"/>
    <row r="148" x14ac:dyDescent="0.25"/>
    <row r="149" x14ac:dyDescent="0.25"/>
    <row r="150" x14ac:dyDescent="0.25"/>
    <row r="151" x14ac:dyDescent="0.25"/>
    <row r="152" x14ac:dyDescent="0.25"/>
    <row r="153" x14ac:dyDescent="0.25"/>
    <row r="154" x14ac:dyDescent="0.25"/>
  </sheetData>
  <mergeCells count="47">
    <mergeCell ref="AC32:AD32"/>
    <mergeCell ref="AC31:AD31"/>
    <mergeCell ref="U14:X15"/>
    <mergeCell ref="AC9:AC10"/>
    <mergeCell ref="AD9:AD10"/>
    <mergeCell ref="AC7:AD8"/>
    <mergeCell ref="U7:X8"/>
    <mergeCell ref="U9:U10"/>
    <mergeCell ref="V9:X10"/>
    <mergeCell ref="U11:U12"/>
    <mergeCell ref="V11:X12"/>
    <mergeCell ref="N25:O25"/>
    <mergeCell ref="P25:Q25"/>
    <mergeCell ref="N26:O26"/>
    <mergeCell ref="P26:Q26"/>
    <mergeCell ref="N27:O27"/>
    <mergeCell ref="P27:Q27"/>
    <mergeCell ref="P28:Q28"/>
    <mergeCell ref="N29:O29"/>
    <mergeCell ref="P29:Q29"/>
    <mergeCell ref="N30:O30"/>
    <mergeCell ref="P30:Q30"/>
    <mergeCell ref="E29:J31"/>
    <mergeCell ref="N8:O9"/>
    <mergeCell ref="P8:Q9"/>
    <mergeCell ref="O14:Q15"/>
    <mergeCell ref="O16:Q17"/>
    <mergeCell ref="O18:Q19"/>
    <mergeCell ref="N22:Q23"/>
    <mergeCell ref="E26:G27"/>
    <mergeCell ref="H26:J27"/>
    <mergeCell ref="N12:Q13"/>
    <mergeCell ref="N24:O24"/>
    <mergeCell ref="P24:Q24"/>
    <mergeCell ref="N14:N15"/>
    <mergeCell ref="N16:N17"/>
    <mergeCell ref="N18:N19"/>
    <mergeCell ref="N28:O28"/>
    <mergeCell ref="C1:R1"/>
    <mergeCell ref="E8:E9"/>
    <mergeCell ref="E12:J24"/>
    <mergeCell ref="F8:H9"/>
    <mergeCell ref="I8:J9"/>
    <mergeCell ref="F7:H7"/>
    <mergeCell ref="I7:J7"/>
    <mergeCell ref="N7:O7"/>
    <mergeCell ref="P7:Q7"/>
  </mergeCells>
  <conditionalFormatting sqref="F11">
    <cfRule type="cellIs" dxfId="13" priority="5" operator="equal">
      <formula>"Shiny"</formula>
    </cfRule>
  </conditionalFormatting>
  <conditionalFormatting sqref="AD12:AD30">
    <cfRule type="cellIs" dxfId="12" priority="1" operator="equal">
      <formula>0</formula>
    </cfRule>
    <cfRule type="cellIs" dxfId="11" priority="2" operator="lessThan">
      <formula>1</formula>
    </cfRule>
    <cfRule type="cellIs" dxfId="10" priority="3" operator="greaterThan">
      <formula>1</formula>
    </cfRule>
  </conditionalFormatting>
  <dataValidations count="1">
    <dataValidation allowBlank="1" showErrorMessage="1" prompt=" " sqref="I8:J9" xr:uid="{E927EA4D-BBCA-4532-BCBE-3220D482D498}"/>
  </dataValidations>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promptTitle="Choose pokémon" prompt=" " xr:uid="{E78724C3-FCE7-4D81-904A-1E8CA79A62E7}">
          <x14:formula1>
            <xm:f>Lists!$B$2:$B$2000</xm:f>
          </x14:formula1>
          <xm:sqref>F8</xm:sqref>
        </x14:dataValidation>
        <x14:dataValidation type="list" allowBlank="1" showInputMessage="1" showErrorMessage="1" xr:uid="{C5194D1A-C8EC-4D26-9C70-9F68C15715D1}">
          <x14:formula1>
            <xm:f>Lists!$D$2:$D$3</xm:f>
          </x14:formula1>
          <xm:sqref>F11</xm:sqref>
        </x14:dataValidation>
        <x14:dataValidation type="list" allowBlank="1" showInputMessage="1" showErrorMessage="1" xr:uid="{79AF4C59-C2B4-48DF-8328-C90599DDBA3D}">
          <x14:formula1>
            <xm:f>Lists!$E$2:$E$3</xm:f>
          </x14:formula1>
          <xm:sqref>V9</xm:sqref>
        </x14:dataValidation>
        <x14:dataValidation type="list" allowBlank="1" showInputMessage="1" showErrorMessage="1" xr:uid="{AAC48101-D939-46F0-A9DE-C828648C8D4A}">
          <x14:formula1>
            <xm:f>Lists!$F$2:$F$19</xm:f>
          </x14:formula1>
          <xm:sqref>V11:X12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29E47-317C-4138-A210-BD469CECDE1B}">
  <sheetPr codeName="TypeChart">
    <tabColor rgb="FFC89400"/>
  </sheetPr>
  <dimension ref="A1:AJ202"/>
  <sheetViews>
    <sheetView showGridLines="0" showRowColHeaders="0" zoomScaleNormal="100" workbookViewId="0">
      <selection activeCell="AB16" sqref="AB16:AE17"/>
    </sheetView>
  </sheetViews>
  <sheetFormatPr defaultColWidth="0" defaultRowHeight="15" zeroHeight="1" x14ac:dyDescent="0.25"/>
  <cols>
    <col min="1" max="1" width="5.7109375" style="6" customWidth="1"/>
    <col min="2" max="2" width="1.42578125" style="6" customWidth="1"/>
    <col min="3" max="3" width="6" style="6" customWidth="1"/>
    <col min="4" max="4" width="9.140625" style="6" customWidth="1"/>
    <col min="5" max="5" width="0.7109375" style="6" customWidth="1"/>
    <col min="6" max="24" width="5" style="6" customWidth="1"/>
    <col min="25" max="25" width="1.42578125" style="6" customWidth="1"/>
    <col min="26" max="26" width="5.7109375" style="6" customWidth="1"/>
    <col min="27" max="27" width="9.140625" style="6" customWidth="1"/>
    <col min="28" max="31" width="9.85546875" style="6" customWidth="1"/>
    <col min="32" max="32" width="9.140625" style="6" customWidth="1"/>
    <col min="33" max="35" width="9.140625" style="6" hidden="1" customWidth="1"/>
    <col min="36" max="36" width="7.85546875" style="6" hidden="1" customWidth="1"/>
    <col min="37" max="16384" width="0" style="6" hidden="1"/>
  </cols>
  <sheetData>
    <row r="1" spans="1:36" ht="30" customHeight="1" x14ac:dyDescent="0.25">
      <c r="A1" s="5"/>
      <c r="B1" s="38" t="s">
        <v>11</v>
      </c>
      <c r="C1" s="38"/>
      <c r="D1" s="38"/>
      <c r="E1" s="38"/>
      <c r="F1" s="38"/>
      <c r="G1" s="38"/>
      <c r="H1" s="38"/>
      <c r="I1" s="38"/>
      <c r="J1" s="38"/>
      <c r="K1" s="38"/>
      <c r="L1" s="38"/>
      <c r="M1" s="38"/>
      <c r="N1" s="38"/>
      <c r="O1" s="5"/>
      <c r="P1" s="5"/>
      <c r="Q1" s="5"/>
      <c r="R1" s="5"/>
      <c r="S1" s="5"/>
      <c r="T1" s="5"/>
      <c r="U1" s="5"/>
      <c r="V1" s="5"/>
      <c r="W1" s="5"/>
      <c r="X1" s="5"/>
      <c r="Y1" s="5"/>
      <c r="Z1" s="5"/>
      <c r="AA1" s="5"/>
      <c r="AB1" s="5"/>
      <c r="AC1" s="5"/>
      <c r="AD1" s="5"/>
      <c r="AE1" s="5"/>
      <c r="AF1" s="5"/>
      <c r="AG1" s="5"/>
      <c r="AH1" s="5"/>
      <c r="AI1" s="5"/>
      <c r="AJ1" s="5"/>
    </row>
    <row r="2" spans="1:36" ht="21" customHeight="1" x14ac:dyDescent="0.25">
      <c r="A2" s="5"/>
      <c r="B2" s="91" t="s">
        <v>23</v>
      </c>
      <c r="C2" s="91"/>
      <c r="D2" s="91"/>
      <c r="E2" s="91"/>
      <c r="F2" s="91"/>
      <c r="G2" s="91"/>
      <c r="H2" s="91"/>
      <c r="I2" s="91"/>
      <c r="J2" s="91"/>
      <c r="K2" s="91"/>
      <c r="L2" s="91"/>
      <c r="M2" s="91"/>
      <c r="N2" s="91"/>
      <c r="O2" s="91"/>
      <c r="P2" s="91"/>
      <c r="Q2" s="91"/>
      <c r="R2" s="91"/>
      <c r="S2" s="91"/>
      <c r="T2" s="91"/>
      <c r="U2" s="91"/>
      <c r="V2" s="91"/>
      <c r="W2" s="91"/>
      <c r="X2" s="91"/>
      <c r="Y2" s="5"/>
      <c r="Z2" s="5"/>
      <c r="AA2" s="5"/>
      <c r="AB2" s="5"/>
      <c r="AC2" s="5"/>
      <c r="AD2" s="5"/>
      <c r="AE2" s="5"/>
      <c r="AF2" s="5"/>
      <c r="AG2" s="5"/>
      <c r="AH2" s="5"/>
      <c r="AI2" s="5"/>
      <c r="AJ2" s="5"/>
    </row>
    <row r="3" spans="1:36" ht="7.5" customHeight="1"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row>
    <row r="4" spans="1:36" ht="7.5" customHeight="1" x14ac:dyDescent="0.25">
      <c r="A4" s="5"/>
      <c r="B4" s="1"/>
      <c r="C4" s="1"/>
      <c r="D4" s="1"/>
      <c r="E4" s="1"/>
      <c r="F4" s="1"/>
      <c r="G4" s="1"/>
      <c r="H4" s="1"/>
      <c r="I4" s="1"/>
      <c r="J4" s="1"/>
      <c r="K4" s="1"/>
      <c r="L4" s="1"/>
      <c r="M4" s="1"/>
      <c r="N4" s="1"/>
      <c r="O4" s="1"/>
      <c r="P4" s="1"/>
      <c r="Q4" s="1"/>
      <c r="R4" s="1"/>
      <c r="S4" s="1"/>
      <c r="T4" s="1"/>
      <c r="U4" s="1"/>
      <c r="V4" s="1"/>
      <c r="W4" s="1"/>
      <c r="X4" s="1"/>
      <c r="Y4" s="1"/>
      <c r="Z4" s="5"/>
      <c r="AA4" s="5"/>
      <c r="AB4" s="38" t="s">
        <v>12</v>
      </c>
      <c r="AC4" s="38"/>
      <c r="AD4" s="38"/>
      <c r="AE4" s="5"/>
      <c r="AF4" s="5"/>
      <c r="AG4" s="5"/>
      <c r="AH4" s="5"/>
      <c r="AI4" s="5"/>
      <c r="AJ4" s="5"/>
    </row>
    <row r="5" spans="1:36" ht="20.25" customHeight="1" x14ac:dyDescent="0.25">
      <c r="A5" s="5"/>
      <c r="B5" s="2"/>
      <c r="C5" s="92" t="s">
        <v>0</v>
      </c>
      <c r="D5" s="92"/>
      <c r="E5" s="3"/>
      <c r="F5" s="90" t="e" vm="22">
        <f>_xlfn.IMAGE(VLOOKUP([1]TypeChart!B1,[1]Assets!$C:$D,2,0))</f>
        <v>#VALUE!</v>
      </c>
      <c r="G5" s="90" t="e" vm="23">
        <f>_xlfn.IMAGE(VLOOKUP([1]TypeChart!C1,[1]Assets!$C:$D,2,0))</f>
        <v>#VALUE!</v>
      </c>
      <c r="H5" s="90" t="e" vm="24">
        <f>_xlfn.IMAGE(VLOOKUP([1]TypeChart!D1,[1]Assets!$C:$D,2,0))</f>
        <v>#VALUE!</v>
      </c>
      <c r="I5" s="90" t="e" vm="1">
        <f>_xlfn.IMAGE(VLOOKUP([1]TypeChart!E1,[1]Assets!$C:$D,2,0))</f>
        <v>#VALUE!</v>
      </c>
      <c r="J5" s="90" t="e" vm="25">
        <f>_xlfn.IMAGE(VLOOKUP([1]TypeChart!F1,[1]Assets!$C:$D,2,0))</f>
        <v>#VALUE!</v>
      </c>
      <c r="K5" s="90" t="e" vm="26">
        <f>_xlfn.IMAGE(VLOOKUP([1]TypeChart!G1,[1]Assets!$C:$D,2,0))</f>
        <v>#VALUE!</v>
      </c>
      <c r="L5" s="90" t="e" vm="27">
        <f>_xlfn.IMAGE(VLOOKUP([1]TypeChart!H1,[1]Assets!$C:$D,2,0))</f>
        <v>#VALUE!</v>
      </c>
      <c r="M5" s="90" t="e" vm="28">
        <f>_xlfn.IMAGE(VLOOKUP([1]TypeChart!I1,[1]Assets!$C:$D,2,0))</f>
        <v>#VALUE!</v>
      </c>
      <c r="N5" s="90" t="e" vm="29">
        <f>_xlfn.IMAGE(VLOOKUP([1]TypeChart!J1,[1]Assets!$C:$D,2,0))</f>
        <v>#VALUE!</v>
      </c>
      <c r="O5" s="90" t="e" vm="30">
        <f>_xlfn.IMAGE(VLOOKUP([1]TypeChart!K1,[1]Assets!$C:$D,2,0))</f>
        <v>#VALUE!</v>
      </c>
      <c r="P5" s="90" t="e" vm="31">
        <f>_xlfn.IMAGE(VLOOKUP([1]TypeChart!L1,[1]Assets!$C:$D,2,0))</f>
        <v>#VALUE!</v>
      </c>
      <c r="Q5" s="90" t="e" vm="32">
        <f>_xlfn.IMAGE(VLOOKUP([1]TypeChart!M1,[1]Assets!$C:$D,2,0))</f>
        <v>#VALUE!</v>
      </c>
      <c r="R5" s="90" t="e" vm="33">
        <f>_xlfn.IMAGE(VLOOKUP([1]TypeChart!N1,[1]Assets!$C:$D,2,0))</f>
        <v>#VALUE!</v>
      </c>
      <c r="S5" s="90" t="e" vm="34">
        <f>_xlfn.IMAGE(VLOOKUP([1]TypeChart!O1,[1]Assets!$C:$D,2,0))</f>
        <v>#VALUE!</v>
      </c>
      <c r="T5" s="90" t="e" vm="35">
        <f>_xlfn.IMAGE(VLOOKUP([1]TypeChart!P1,[1]Assets!$C:$D,2,0))</f>
        <v>#VALUE!</v>
      </c>
      <c r="U5" s="90" t="e" vm="36">
        <f>_xlfn.IMAGE(VLOOKUP([1]TypeChart!Q1,[1]Assets!$C:$D,2,0))</f>
        <v>#VALUE!</v>
      </c>
      <c r="V5" s="90" t="e" vm="37">
        <f>_xlfn.IMAGE(VLOOKUP([1]TypeChart!R1,[1]Assets!$C:$D,2,0))</f>
        <v>#VALUE!</v>
      </c>
      <c r="W5" s="90" t="e" vm="38">
        <f>_xlfn.IMAGE(VLOOKUP([1]TypeChart!S1,[1]Assets!$C:$D,2,0))</f>
        <v>#VALUE!</v>
      </c>
      <c r="X5" s="90" t="e" vm="39">
        <f>_xlfn.IMAGE(VLOOKUP([1]TypeChart!T1,[1]Assets!$C:$D,2,0))</f>
        <v>#VALUE!</v>
      </c>
      <c r="Y5" s="2"/>
      <c r="Z5" s="5"/>
      <c r="AA5" s="5"/>
      <c r="AB5" s="38"/>
      <c r="AC5" s="38"/>
      <c r="AD5" s="38"/>
      <c r="AE5" s="5"/>
      <c r="AF5" s="5"/>
      <c r="AG5" s="5"/>
      <c r="AH5" s="5"/>
      <c r="AI5" s="5"/>
      <c r="AJ5" s="5"/>
    </row>
    <row r="6" spans="1:36" ht="20.25" customHeight="1" x14ac:dyDescent="0.25">
      <c r="A6" s="5"/>
      <c r="B6" s="2"/>
      <c r="C6" s="93" t="s">
        <v>1</v>
      </c>
      <c r="D6" s="93"/>
      <c r="E6" s="7"/>
      <c r="F6" s="90"/>
      <c r="G6" s="90"/>
      <c r="H6" s="90"/>
      <c r="I6" s="90"/>
      <c r="J6" s="90"/>
      <c r="K6" s="90"/>
      <c r="L6" s="90"/>
      <c r="M6" s="90"/>
      <c r="N6" s="90"/>
      <c r="O6" s="90"/>
      <c r="P6" s="90"/>
      <c r="Q6" s="90"/>
      <c r="R6" s="90"/>
      <c r="S6" s="90"/>
      <c r="T6" s="90"/>
      <c r="U6" s="90"/>
      <c r="V6" s="90"/>
      <c r="W6" s="90"/>
      <c r="X6" s="90"/>
      <c r="Y6" s="2"/>
      <c r="Z6" s="5"/>
      <c r="AA6" s="5"/>
      <c r="AB6" s="5"/>
      <c r="AC6" s="5"/>
      <c r="AD6" s="5"/>
      <c r="AE6" s="5"/>
      <c r="AF6" s="5"/>
      <c r="AG6" s="5"/>
      <c r="AH6" s="5"/>
      <c r="AI6" s="5"/>
      <c r="AJ6" s="5"/>
    </row>
    <row r="7" spans="1:36" ht="3.75" customHeight="1" x14ac:dyDescent="0.25">
      <c r="A7" s="5"/>
      <c r="B7" s="2"/>
      <c r="C7" s="7"/>
      <c r="D7" s="7"/>
      <c r="E7" s="7"/>
      <c r="F7" s="4"/>
      <c r="G7" s="4"/>
      <c r="H7" s="4"/>
      <c r="I7" s="4"/>
      <c r="J7" s="4"/>
      <c r="K7" s="4"/>
      <c r="L7" s="4"/>
      <c r="M7" s="4"/>
      <c r="N7" s="4"/>
      <c r="O7" s="4"/>
      <c r="P7" s="4"/>
      <c r="Q7" s="4"/>
      <c r="R7" s="4"/>
      <c r="S7" s="4"/>
      <c r="T7" s="4"/>
      <c r="U7" s="4"/>
      <c r="V7" s="4"/>
      <c r="W7" s="4"/>
      <c r="X7" s="4"/>
      <c r="Y7" s="2"/>
      <c r="Z7" s="5"/>
      <c r="AA7" s="5"/>
      <c r="AB7" s="5"/>
      <c r="AC7" s="5"/>
      <c r="AD7" s="5"/>
      <c r="AE7" s="5"/>
      <c r="AF7" s="5"/>
      <c r="AG7" s="5"/>
      <c r="AH7" s="5"/>
      <c r="AI7" s="5"/>
      <c r="AJ7" s="5"/>
    </row>
    <row r="8" spans="1:36" ht="20.25" customHeight="1" x14ac:dyDescent="0.25">
      <c r="A8" s="5"/>
      <c r="B8" s="2"/>
      <c r="C8" s="90" t="e" vm="40">
        <f>_xlfn.IMAGE(VLOOKUP([1]TypeChart!A2,[1]Types!$A:$C,3,0))</f>
        <v>#VALUE!</v>
      </c>
      <c r="D8" s="90"/>
      <c r="E8" s="8"/>
      <c r="F8" s="9">
        <f>[1]TypeChart!B2</f>
        <v>1</v>
      </c>
      <c r="G8" s="9">
        <f>[1]TypeChart!C2</f>
        <v>1</v>
      </c>
      <c r="H8" s="9">
        <f>[1]TypeChart!D2</f>
        <v>1</v>
      </c>
      <c r="I8" s="9">
        <f>[1]TypeChart!E2</f>
        <v>1</v>
      </c>
      <c r="J8" s="9">
        <f>[1]TypeChart!F2</f>
        <v>1</v>
      </c>
      <c r="K8" s="9">
        <f>[1]TypeChart!G2</f>
        <v>1</v>
      </c>
      <c r="L8" s="9">
        <f>[1]TypeChart!H2</f>
        <v>1</v>
      </c>
      <c r="M8" s="9">
        <f>[1]TypeChart!I2</f>
        <v>1</v>
      </c>
      <c r="N8" s="9">
        <f>[1]TypeChart!J2</f>
        <v>1</v>
      </c>
      <c r="O8" s="9">
        <f>[1]TypeChart!K2</f>
        <v>1</v>
      </c>
      <c r="P8" s="9">
        <f>[1]TypeChart!L2</f>
        <v>1</v>
      </c>
      <c r="Q8" s="9">
        <f>[1]TypeChart!M2</f>
        <v>1</v>
      </c>
      <c r="R8" s="9">
        <f>[1]TypeChart!N2</f>
        <v>0.5</v>
      </c>
      <c r="S8" s="9">
        <f>[1]TypeChart!O2</f>
        <v>0</v>
      </c>
      <c r="T8" s="9">
        <f>[1]TypeChart!P2</f>
        <v>1</v>
      </c>
      <c r="U8" s="9">
        <f>[1]TypeChart!Q2</f>
        <v>1</v>
      </c>
      <c r="V8" s="9">
        <f>[1]TypeChart!R2</f>
        <v>0.5</v>
      </c>
      <c r="W8" s="9">
        <f>[1]TypeChart!S2</f>
        <v>1</v>
      </c>
      <c r="X8" s="9">
        <f>[1]TypeChart!T2</f>
        <v>1</v>
      </c>
      <c r="Y8" s="2"/>
      <c r="Z8" s="5"/>
      <c r="AA8" s="5"/>
      <c r="AB8" s="94" t="s">
        <v>2</v>
      </c>
      <c r="AC8" s="95"/>
      <c r="AD8" s="103" t="s">
        <v>22</v>
      </c>
      <c r="AE8" s="103"/>
      <c r="AF8" s="5"/>
      <c r="AG8" s="5"/>
      <c r="AH8" s="5"/>
      <c r="AI8" s="5"/>
      <c r="AJ8" s="5"/>
    </row>
    <row r="9" spans="1:36" ht="20.25" customHeight="1" x14ac:dyDescent="0.25">
      <c r="A9" s="5"/>
      <c r="B9" s="2"/>
      <c r="C9" s="90" t="e" vm="41">
        <f>_xlfn.IMAGE(VLOOKUP([1]TypeChart!A3,[1]Types!$A:$C,3,0))</f>
        <v>#VALUE!</v>
      </c>
      <c r="D9" s="90"/>
      <c r="E9" s="8"/>
      <c r="F9" s="9">
        <f>[1]TypeChart!B3</f>
        <v>1</v>
      </c>
      <c r="G9" s="9">
        <f>[1]TypeChart!C3</f>
        <v>0.5</v>
      </c>
      <c r="H9" s="9">
        <f>[1]TypeChart!D3</f>
        <v>0.5</v>
      </c>
      <c r="I9" s="9">
        <f>[1]TypeChart!E3</f>
        <v>2</v>
      </c>
      <c r="J9" s="9">
        <f>[1]TypeChart!F3</f>
        <v>1</v>
      </c>
      <c r="K9" s="9">
        <f>[1]TypeChart!G3</f>
        <v>2</v>
      </c>
      <c r="L9" s="9">
        <f>[1]TypeChart!H3</f>
        <v>1</v>
      </c>
      <c r="M9" s="9">
        <f>[1]TypeChart!I3</f>
        <v>1</v>
      </c>
      <c r="N9" s="9">
        <f>[1]TypeChart!J3</f>
        <v>1</v>
      </c>
      <c r="O9" s="9">
        <f>[1]TypeChart!K3</f>
        <v>1</v>
      </c>
      <c r="P9" s="9">
        <f>[1]TypeChart!L3</f>
        <v>1</v>
      </c>
      <c r="Q9" s="9">
        <f>[1]TypeChart!M3</f>
        <v>2</v>
      </c>
      <c r="R9" s="9">
        <f>[1]TypeChart!N3</f>
        <v>0.5</v>
      </c>
      <c r="S9" s="9">
        <f>[1]TypeChart!O3</f>
        <v>1</v>
      </c>
      <c r="T9" s="9">
        <f>[1]TypeChart!P3</f>
        <v>0.5</v>
      </c>
      <c r="U9" s="9">
        <f>[1]TypeChart!Q3</f>
        <v>1</v>
      </c>
      <c r="V9" s="9">
        <f>[1]TypeChart!R3</f>
        <v>2</v>
      </c>
      <c r="W9" s="9">
        <f>[1]TypeChart!S3</f>
        <v>1</v>
      </c>
      <c r="X9" s="9">
        <f>[1]TypeChart!T3</f>
        <v>1</v>
      </c>
      <c r="Y9" s="2"/>
      <c r="Z9" s="5"/>
      <c r="AA9" s="5"/>
      <c r="AB9" s="96"/>
      <c r="AC9" s="97"/>
      <c r="AD9" s="104"/>
      <c r="AE9" s="104"/>
      <c r="AF9" s="5"/>
      <c r="AG9" s="5"/>
      <c r="AH9" s="5"/>
      <c r="AI9" s="5"/>
      <c r="AJ9" s="5"/>
    </row>
    <row r="10" spans="1:36" ht="20.25" customHeight="1" x14ac:dyDescent="0.25">
      <c r="A10" s="5"/>
      <c r="B10" s="2"/>
      <c r="C10" s="90" t="e" vm="42">
        <f>_xlfn.IMAGE(VLOOKUP([1]TypeChart!A4,[1]Types!$A:$C,3,0))</f>
        <v>#VALUE!</v>
      </c>
      <c r="D10" s="90"/>
      <c r="E10" s="8"/>
      <c r="F10" s="9">
        <f>[1]TypeChart!B4</f>
        <v>1</v>
      </c>
      <c r="G10" s="9">
        <f>[1]TypeChart!C4</f>
        <v>2</v>
      </c>
      <c r="H10" s="9">
        <f>[1]TypeChart!D4</f>
        <v>0.5</v>
      </c>
      <c r="I10" s="9">
        <f>[1]TypeChart!E4</f>
        <v>0.5</v>
      </c>
      <c r="J10" s="9">
        <f>[1]TypeChart!F4</f>
        <v>1</v>
      </c>
      <c r="K10" s="9">
        <f>[1]TypeChart!G4</f>
        <v>1</v>
      </c>
      <c r="L10" s="9">
        <f>[1]TypeChart!H4</f>
        <v>1</v>
      </c>
      <c r="M10" s="9">
        <f>[1]TypeChart!I4</f>
        <v>1</v>
      </c>
      <c r="N10" s="9">
        <f>[1]TypeChart!J4</f>
        <v>2</v>
      </c>
      <c r="O10" s="9">
        <f>[1]TypeChart!K4</f>
        <v>1</v>
      </c>
      <c r="P10" s="9">
        <f>[1]TypeChart!L4</f>
        <v>1</v>
      </c>
      <c r="Q10" s="9">
        <f>[1]TypeChart!M4</f>
        <v>1</v>
      </c>
      <c r="R10" s="9">
        <f>[1]TypeChart!N4</f>
        <v>2</v>
      </c>
      <c r="S10" s="9">
        <f>[1]TypeChart!O4</f>
        <v>1</v>
      </c>
      <c r="T10" s="9">
        <f>[1]TypeChart!P4</f>
        <v>0.5</v>
      </c>
      <c r="U10" s="9">
        <f>[1]TypeChart!Q4</f>
        <v>1</v>
      </c>
      <c r="V10" s="9">
        <f>[1]TypeChart!R4</f>
        <v>1</v>
      </c>
      <c r="W10" s="9">
        <f>[1]TypeChart!S4</f>
        <v>1</v>
      </c>
      <c r="X10" s="9">
        <f>[1]TypeChart!T4</f>
        <v>1</v>
      </c>
      <c r="Y10" s="2"/>
      <c r="Z10" s="5"/>
      <c r="AA10" s="5"/>
      <c r="AB10" s="89" t="s">
        <v>3</v>
      </c>
      <c r="AC10" s="102"/>
      <c r="AD10" s="103" t="s">
        <v>10</v>
      </c>
      <c r="AE10" s="103"/>
      <c r="AF10" s="5"/>
      <c r="AG10" s="5"/>
      <c r="AH10" s="5"/>
      <c r="AI10" s="5"/>
      <c r="AJ10" s="5"/>
    </row>
    <row r="11" spans="1:36" ht="20.25" customHeight="1" x14ac:dyDescent="0.25">
      <c r="A11" s="5"/>
      <c r="B11" s="2"/>
      <c r="C11" s="90" t="e" vm="43">
        <f>_xlfn.IMAGE(VLOOKUP([1]TypeChart!A5,[1]Types!$A:$C,3,0))</f>
        <v>#VALUE!</v>
      </c>
      <c r="D11" s="90"/>
      <c r="E11" s="8"/>
      <c r="F11" s="9">
        <f>[1]TypeChart!B5</f>
        <v>1</v>
      </c>
      <c r="G11" s="9">
        <f>[1]TypeChart!C5</f>
        <v>0.5</v>
      </c>
      <c r="H11" s="9">
        <f>[1]TypeChart!D5</f>
        <v>2</v>
      </c>
      <c r="I11" s="9">
        <f>[1]TypeChart!E5</f>
        <v>0.5</v>
      </c>
      <c r="J11" s="9">
        <f>[1]TypeChart!F5</f>
        <v>1</v>
      </c>
      <c r="K11" s="9">
        <f>[1]TypeChart!G5</f>
        <v>1</v>
      </c>
      <c r="L11" s="9">
        <f>[1]TypeChart!H5</f>
        <v>1</v>
      </c>
      <c r="M11" s="9">
        <f>[1]TypeChart!I5</f>
        <v>0.5</v>
      </c>
      <c r="N11" s="9">
        <f>[1]TypeChart!J5</f>
        <v>2</v>
      </c>
      <c r="O11" s="9">
        <f>[1]TypeChart!K5</f>
        <v>0.5</v>
      </c>
      <c r="P11" s="9">
        <f>[1]TypeChart!L5</f>
        <v>1</v>
      </c>
      <c r="Q11" s="9">
        <f>[1]TypeChart!M5</f>
        <v>0.5</v>
      </c>
      <c r="R11" s="9">
        <f>[1]TypeChart!N5</f>
        <v>2</v>
      </c>
      <c r="S11" s="9">
        <f>[1]TypeChart!O5</f>
        <v>1</v>
      </c>
      <c r="T11" s="9">
        <f>[1]TypeChart!P5</f>
        <v>0.5</v>
      </c>
      <c r="U11" s="9">
        <f>[1]TypeChart!Q5</f>
        <v>1</v>
      </c>
      <c r="V11" s="9">
        <f>[1]TypeChart!R5</f>
        <v>0.5</v>
      </c>
      <c r="W11" s="9">
        <f>[1]TypeChart!S5</f>
        <v>1</v>
      </c>
      <c r="X11" s="9">
        <f>[1]TypeChart!T5</f>
        <v>1</v>
      </c>
      <c r="Y11" s="2"/>
      <c r="Z11" s="5"/>
      <c r="AA11" s="5"/>
      <c r="AB11" s="89"/>
      <c r="AC11" s="102"/>
      <c r="AD11" s="104"/>
      <c r="AE11" s="104"/>
      <c r="AF11" s="5"/>
      <c r="AG11" s="5"/>
      <c r="AH11" s="5"/>
      <c r="AI11" s="5"/>
      <c r="AJ11" s="5"/>
    </row>
    <row r="12" spans="1:36" ht="20.25" customHeight="1" x14ac:dyDescent="0.25">
      <c r="A12" s="5"/>
      <c r="B12" s="2"/>
      <c r="C12" s="90" t="e" vm="44">
        <f>_xlfn.IMAGE(VLOOKUP([1]TypeChart!A6,[1]Types!$A:$C,3,0))</f>
        <v>#VALUE!</v>
      </c>
      <c r="D12" s="90"/>
      <c r="E12" s="8"/>
      <c r="F12" s="9">
        <f>[1]TypeChart!B6</f>
        <v>1</v>
      </c>
      <c r="G12" s="9">
        <f>[1]TypeChart!C6</f>
        <v>1</v>
      </c>
      <c r="H12" s="9">
        <f>[1]TypeChart!D6</f>
        <v>2</v>
      </c>
      <c r="I12" s="9">
        <f>[1]TypeChart!E6</f>
        <v>0.5</v>
      </c>
      <c r="J12" s="9">
        <f>[1]TypeChart!F6</f>
        <v>0.5</v>
      </c>
      <c r="K12" s="9">
        <f>[1]TypeChart!G6</f>
        <v>1</v>
      </c>
      <c r="L12" s="9">
        <f>[1]TypeChart!H6</f>
        <v>1</v>
      </c>
      <c r="M12" s="9">
        <f>[1]TypeChart!I6</f>
        <v>1</v>
      </c>
      <c r="N12" s="9">
        <f>[1]TypeChart!J6</f>
        <v>0</v>
      </c>
      <c r="O12" s="9">
        <f>[1]TypeChart!K6</f>
        <v>2</v>
      </c>
      <c r="P12" s="9">
        <f>[1]TypeChart!L6</f>
        <v>1</v>
      </c>
      <c r="Q12" s="9">
        <f>[1]TypeChart!M6</f>
        <v>1</v>
      </c>
      <c r="R12" s="9">
        <f>[1]TypeChart!N6</f>
        <v>1</v>
      </c>
      <c r="S12" s="9">
        <f>[1]TypeChart!O6</f>
        <v>1</v>
      </c>
      <c r="T12" s="9">
        <f>[1]TypeChart!P6</f>
        <v>0.5</v>
      </c>
      <c r="U12" s="9">
        <f>[1]TypeChart!Q6</f>
        <v>1</v>
      </c>
      <c r="V12" s="9">
        <f>[1]TypeChart!R6</f>
        <v>1</v>
      </c>
      <c r="W12" s="9">
        <f>[1]TypeChart!S6</f>
        <v>1</v>
      </c>
      <c r="X12" s="9">
        <f>[1]TypeChart!T6</f>
        <v>1</v>
      </c>
      <c r="Y12" s="2"/>
      <c r="Z12" s="5"/>
      <c r="AA12" s="5"/>
      <c r="AB12" s="94" t="s">
        <v>9</v>
      </c>
      <c r="AC12" s="95"/>
      <c r="AD12" s="103" t="s">
        <v>17</v>
      </c>
      <c r="AE12" s="103"/>
      <c r="AF12" s="5"/>
      <c r="AG12" s="5"/>
      <c r="AH12" s="5"/>
      <c r="AI12" s="5"/>
      <c r="AJ12" s="5"/>
    </row>
    <row r="13" spans="1:36" ht="20.25" customHeight="1" x14ac:dyDescent="0.25">
      <c r="A13" s="5"/>
      <c r="B13" s="2"/>
      <c r="C13" s="90" t="e" vm="45">
        <f>_xlfn.IMAGE(VLOOKUP([1]TypeChart!A7,[1]Types!$A:$C,3,0))</f>
        <v>#VALUE!</v>
      </c>
      <c r="D13" s="90"/>
      <c r="E13" s="8"/>
      <c r="F13" s="9">
        <f>[1]TypeChart!B7</f>
        <v>1</v>
      </c>
      <c r="G13" s="9">
        <f>[1]TypeChart!C7</f>
        <v>0.5</v>
      </c>
      <c r="H13" s="9">
        <f>[1]TypeChart!D7</f>
        <v>0.5</v>
      </c>
      <c r="I13" s="9">
        <f>[1]TypeChart!E7</f>
        <v>2</v>
      </c>
      <c r="J13" s="9">
        <f>[1]TypeChart!F7</f>
        <v>1</v>
      </c>
      <c r="K13" s="9">
        <f>[1]TypeChart!G7</f>
        <v>0.5</v>
      </c>
      <c r="L13" s="9">
        <f>[1]TypeChart!H7</f>
        <v>1</v>
      </c>
      <c r="M13" s="9">
        <f>[1]TypeChart!I7</f>
        <v>1</v>
      </c>
      <c r="N13" s="9">
        <f>[1]TypeChart!J7</f>
        <v>2</v>
      </c>
      <c r="O13" s="9">
        <f>[1]TypeChart!K7</f>
        <v>2</v>
      </c>
      <c r="P13" s="9">
        <f>[1]TypeChart!L7</f>
        <v>1</v>
      </c>
      <c r="Q13" s="9">
        <f>[1]TypeChart!M7</f>
        <v>1</v>
      </c>
      <c r="R13" s="9">
        <f>[1]TypeChart!N7</f>
        <v>1</v>
      </c>
      <c r="S13" s="9">
        <f>[1]TypeChart!O7</f>
        <v>1</v>
      </c>
      <c r="T13" s="9">
        <f>[1]TypeChart!P7</f>
        <v>2</v>
      </c>
      <c r="U13" s="9">
        <f>[1]TypeChart!Q7</f>
        <v>1</v>
      </c>
      <c r="V13" s="9">
        <f>[1]TypeChart!R7</f>
        <v>0.5</v>
      </c>
      <c r="W13" s="9">
        <f>[1]TypeChart!S7</f>
        <v>1</v>
      </c>
      <c r="X13" s="9">
        <f>[1]TypeChart!T7</f>
        <v>1</v>
      </c>
      <c r="Y13" s="2"/>
      <c r="Z13" s="5"/>
      <c r="AA13" s="5"/>
      <c r="AB13" s="96"/>
      <c r="AC13" s="97"/>
      <c r="AD13" s="104"/>
      <c r="AE13" s="104"/>
      <c r="AF13" s="5"/>
      <c r="AG13" s="5"/>
      <c r="AH13" s="5"/>
      <c r="AI13" s="5"/>
      <c r="AJ13" s="5"/>
    </row>
    <row r="14" spans="1:36" ht="20.25" customHeight="1" x14ac:dyDescent="0.25">
      <c r="A14" s="5"/>
      <c r="B14" s="2"/>
      <c r="C14" s="90" t="e" vm="46">
        <f>_xlfn.IMAGE(VLOOKUP([1]TypeChart!A8,[1]Types!$A:$C,3,0))</f>
        <v>#VALUE!</v>
      </c>
      <c r="D14" s="90"/>
      <c r="E14" s="8"/>
      <c r="F14" s="9">
        <f>[1]TypeChart!B8</f>
        <v>2</v>
      </c>
      <c r="G14" s="9">
        <f>[1]TypeChart!C8</f>
        <v>1</v>
      </c>
      <c r="H14" s="9">
        <f>[1]TypeChart!D8</f>
        <v>1</v>
      </c>
      <c r="I14" s="9">
        <f>[1]TypeChart!E8</f>
        <v>1</v>
      </c>
      <c r="J14" s="9">
        <f>[1]TypeChart!F8</f>
        <v>1</v>
      </c>
      <c r="K14" s="9">
        <f>[1]TypeChart!G8</f>
        <v>2</v>
      </c>
      <c r="L14" s="9">
        <f>[1]TypeChart!H8</f>
        <v>1</v>
      </c>
      <c r="M14" s="9">
        <f>[1]TypeChart!I8</f>
        <v>0.5</v>
      </c>
      <c r="N14" s="9">
        <f>[1]TypeChart!J8</f>
        <v>1</v>
      </c>
      <c r="O14" s="9">
        <f>[1]TypeChart!K8</f>
        <v>0.5</v>
      </c>
      <c r="P14" s="9">
        <f>[1]TypeChart!L8</f>
        <v>0.5</v>
      </c>
      <c r="Q14" s="9">
        <f>[1]TypeChart!M8</f>
        <v>0.5</v>
      </c>
      <c r="R14" s="9">
        <f>[1]TypeChart!N8</f>
        <v>2</v>
      </c>
      <c r="S14" s="9">
        <f>[1]TypeChart!O8</f>
        <v>0</v>
      </c>
      <c r="T14" s="9">
        <f>[1]TypeChart!P8</f>
        <v>1</v>
      </c>
      <c r="U14" s="9">
        <f>[1]TypeChart!Q8</f>
        <v>2</v>
      </c>
      <c r="V14" s="9">
        <f>[1]TypeChart!R8</f>
        <v>2</v>
      </c>
      <c r="W14" s="9">
        <f>[1]TypeChart!S8</f>
        <v>0.5</v>
      </c>
      <c r="X14" s="9">
        <f>[1]TypeChart!T8</f>
        <v>1</v>
      </c>
      <c r="Y14" s="2"/>
      <c r="Z14" s="5"/>
      <c r="AA14" s="5"/>
      <c r="AB14" s="5"/>
      <c r="AC14" s="5"/>
      <c r="AD14" s="5"/>
      <c r="AE14" s="5"/>
      <c r="AF14" s="5"/>
      <c r="AG14" s="5"/>
      <c r="AH14" s="5"/>
      <c r="AI14" s="5"/>
      <c r="AJ14" s="5"/>
    </row>
    <row r="15" spans="1:36" ht="20.25" customHeight="1" x14ac:dyDescent="0.25">
      <c r="A15" s="5"/>
      <c r="B15" s="2"/>
      <c r="C15" s="90" t="e" vm="47">
        <f>_xlfn.IMAGE(VLOOKUP([1]TypeChart!A9,[1]Types!$A:$C,3,0))</f>
        <v>#VALUE!</v>
      </c>
      <c r="D15" s="90"/>
      <c r="E15" s="8"/>
      <c r="F15" s="9">
        <f>[1]TypeChart!B9</f>
        <v>1</v>
      </c>
      <c r="G15" s="9">
        <f>[1]TypeChart!C9</f>
        <v>1</v>
      </c>
      <c r="H15" s="9">
        <f>[1]TypeChart!D9</f>
        <v>1</v>
      </c>
      <c r="I15" s="9">
        <f>[1]TypeChart!E9</f>
        <v>2</v>
      </c>
      <c r="J15" s="9">
        <f>[1]TypeChart!F9</f>
        <v>1</v>
      </c>
      <c r="K15" s="9">
        <f>[1]TypeChart!G9</f>
        <v>1</v>
      </c>
      <c r="L15" s="9">
        <f>[1]TypeChart!H9</f>
        <v>1</v>
      </c>
      <c r="M15" s="9">
        <f>[1]TypeChart!I9</f>
        <v>0.5</v>
      </c>
      <c r="N15" s="9">
        <f>[1]TypeChart!J9</f>
        <v>0.5</v>
      </c>
      <c r="O15" s="9">
        <f>[1]TypeChart!K9</f>
        <v>1</v>
      </c>
      <c r="P15" s="9">
        <f>[1]TypeChart!L9</f>
        <v>1</v>
      </c>
      <c r="Q15" s="9">
        <f>[1]TypeChart!M9</f>
        <v>1</v>
      </c>
      <c r="R15" s="9">
        <f>[1]TypeChart!N9</f>
        <v>0.5</v>
      </c>
      <c r="S15" s="9">
        <f>[1]TypeChart!O9</f>
        <v>0.5</v>
      </c>
      <c r="T15" s="9">
        <f>[1]TypeChart!P9</f>
        <v>1</v>
      </c>
      <c r="U15" s="9">
        <f>[1]TypeChart!Q9</f>
        <v>1</v>
      </c>
      <c r="V15" s="9">
        <f>[1]TypeChart!R9</f>
        <v>0</v>
      </c>
      <c r="W15" s="9">
        <f>[1]TypeChart!S9</f>
        <v>2</v>
      </c>
      <c r="X15" s="9">
        <f>[1]TypeChart!T9</f>
        <v>1</v>
      </c>
      <c r="Y15" s="2"/>
      <c r="Z15" s="5"/>
      <c r="AA15" s="5"/>
      <c r="AB15" s="5"/>
      <c r="AC15" s="5"/>
      <c r="AD15" s="5"/>
      <c r="AE15" s="5"/>
      <c r="AF15" s="5"/>
      <c r="AG15" s="5"/>
      <c r="AH15" s="5"/>
      <c r="AI15" s="5"/>
      <c r="AJ15" s="5"/>
    </row>
    <row r="16" spans="1:36" ht="20.25" customHeight="1" x14ac:dyDescent="0.25">
      <c r="A16" s="5"/>
      <c r="B16" s="2"/>
      <c r="C16" s="90" t="e" vm="48">
        <f>_xlfn.IMAGE(VLOOKUP([1]TypeChart!A10,[1]Types!$A:$C,3,0))</f>
        <v>#VALUE!</v>
      </c>
      <c r="D16" s="90"/>
      <c r="E16" s="8"/>
      <c r="F16" s="9">
        <f>[1]TypeChart!B10</f>
        <v>1</v>
      </c>
      <c r="G16" s="9">
        <f>[1]TypeChart!C10</f>
        <v>2</v>
      </c>
      <c r="H16" s="9">
        <f>[1]TypeChart!D10</f>
        <v>1</v>
      </c>
      <c r="I16" s="9">
        <f>[1]TypeChart!E10</f>
        <v>0.5</v>
      </c>
      <c r="J16" s="9">
        <f>[1]TypeChart!F10</f>
        <v>2</v>
      </c>
      <c r="K16" s="9">
        <f>[1]TypeChart!G10</f>
        <v>1</v>
      </c>
      <c r="L16" s="9">
        <f>[1]TypeChart!H10</f>
        <v>1</v>
      </c>
      <c r="M16" s="9">
        <f>[1]TypeChart!I10</f>
        <v>2</v>
      </c>
      <c r="N16" s="9">
        <f>[1]TypeChart!J10</f>
        <v>1</v>
      </c>
      <c r="O16" s="9">
        <f>[1]TypeChart!K10</f>
        <v>0</v>
      </c>
      <c r="P16" s="9">
        <f>[1]TypeChart!L10</f>
        <v>1</v>
      </c>
      <c r="Q16" s="9">
        <f>[1]TypeChart!M10</f>
        <v>0.5</v>
      </c>
      <c r="R16" s="9">
        <f>[1]TypeChart!N10</f>
        <v>2</v>
      </c>
      <c r="S16" s="9">
        <f>[1]TypeChart!O10</f>
        <v>1</v>
      </c>
      <c r="T16" s="9">
        <f>[1]TypeChart!P10</f>
        <v>1</v>
      </c>
      <c r="U16" s="9">
        <f>[1]TypeChart!Q10</f>
        <v>1</v>
      </c>
      <c r="V16" s="9">
        <f>[1]TypeChart!R10</f>
        <v>2</v>
      </c>
      <c r="W16" s="9">
        <f>[1]TypeChart!S10</f>
        <v>1</v>
      </c>
      <c r="X16" s="9">
        <f>[1]TypeChart!T10</f>
        <v>1</v>
      </c>
      <c r="Y16" s="2"/>
      <c r="Z16" s="5"/>
      <c r="AA16" s="5"/>
      <c r="AB16" s="98" t="str">
        <f>_xlfn.LET(
 _xlpm.type1,INDEX(PKMN_TYPE_1,1),
 _xlpm.type2,INDEX(PKMN_TYPE_2,1),
 _xlpm.moveType,INDEX(MOVE_TYPE,1),
 _xlpm.chart,[1]TypeChart!$A$1:$T$20,
 _xlpm.header,[1]TypeChart!$A$1:$T$1,
 IF(
   OR(LEN(""&amp;_xlpm.moveType)=0,AND(LEN(""&amp;_xlpm.type1)=0,LEN(""&amp;_xlpm.type2)=0)),
   "Waiting for input...",
   (IF(LEN(""&amp;_xlpm.type1)=0,"",_xlpm.type1) &amp;
    IF(LEN(""&amp;_xlpm.type2)=0,"",IF(LEN(""&amp;_xlpm.type1)=0,_xlpm.type2," + "&amp;_xlpm.type2)) &amp;
    " takes " &amp;
    (
      (IF(LEN(""&amp;_xlpm.type1)=0,1,
         VLOOKUP(_xlpm.moveType,_xlpm.chart,MATCH(_xlpm.type1,_xlpm.header,0),0)
       )) *
      (IF(LEN(""&amp;_xlpm.type2)=0,1,
         VLOOKUP(_xlpm.moveType,_xlpm.chart,MATCH(_xlpm.type2,_xlpm.header,0),0)
       ))
    )*100
    &amp; "% damage from " &amp; _xlpm.moveType &amp; " type move."
   )
 )
)</f>
        <v>Ghost + Poison takes 0% damage from Normal type move.</v>
      </c>
      <c r="AC16" s="98"/>
      <c r="AD16" s="98"/>
      <c r="AE16" s="98"/>
      <c r="AF16" s="5"/>
      <c r="AG16" s="5"/>
      <c r="AH16" s="5"/>
      <c r="AI16" s="5"/>
      <c r="AJ16" s="5"/>
    </row>
    <row r="17" spans="1:36" ht="20.25" customHeight="1" x14ac:dyDescent="0.25">
      <c r="A17" s="5"/>
      <c r="B17" s="2"/>
      <c r="C17" s="90" t="e" vm="49">
        <f>_xlfn.IMAGE(VLOOKUP([1]TypeChart!A11,[1]Types!$A:$C,3,0))</f>
        <v>#VALUE!</v>
      </c>
      <c r="D17" s="90"/>
      <c r="E17" s="8"/>
      <c r="F17" s="9">
        <f>[1]TypeChart!B11</f>
        <v>1</v>
      </c>
      <c r="G17" s="9">
        <f>[1]TypeChart!C11</f>
        <v>1</v>
      </c>
      <c r="H17" s="9">
        <f>[1]TypeChart!D11</f>
        <v>1</v>
      </c>
      <c r="I17" s="9">
        <f>[1]TypeChart!E11</f>
        <v>2</v>
      </c>
      <c r="J17" s="9">
        <f>[1]TypeChart!F11</f>
        <v>0.5</v>
      </c>
      <c r="K17" s="9">
        <f>[1]TypeChart!G11</f>
        <v>1</v>
      </c>
      <c r="L17" s="9">
        <f>[1]TypeChart!H11</f>
        <v>2</v>
      </c>
      <c r="M17" s="9">
        <f>[1]TypeChart!I11</f>
        <v>1</v>
      </c>
      <c r="N17" s="9">
        <f>[1]TypeChart!J11</f>
        <v>1</v>
      </c>
      <c r="O17" s="9">
        <f>[1]TypeChart!K11</f>
        <v>1</v>
      </c>
      <c r="P17" s="9">
        <f>[1]TypeChart!L11</f>
        <v>1</v>
      </c>
      <c r="Q17" s="9">
        <f>[1]TypeChart!M11</f>
        <v>2</v>
      </c>
      <c r="R17" s="9">
        <f>[1]TypeChart!N11</f>
        <v>0.5</v>
      </c>
      <c r="S17" s="9">
        <f>[1]TypeChart!O11</f>
        <v>1</v>
      </c>
      <c r="T17" s="9">
        <f>[1]TypeChart!P11</f>
        <v>1</v>
      </c>
      <c r="U17" s="9">
        <f>[1]TypeChart!Q11</f>
        <v>1</v>
      </c>
      <c r="V17" s="9">
        <f>[1]TypeChart!R11</f>
        <v>0.5</v>
      </c>
      <c r="W17" s="9">
        <f>[1]TypeChart!S11</f>
        <v>1</v>
      </c>
      <c r="X17" s="9">
        <f>[1]TypeChart!T11</f>
        <v>1</v>
      </c>
      <c r="Y17" s="2"/>
      <c r="Z17" s="5"/>
      <c r="AA17" s="5"/>
      <c r="AB17" s="98"/>
      <c r="AC17" s="98"/>
      <c r="AD17" s="98"/>
      <c r="AE17" s="98"/>
      <c r="AF17" s="5"/>
      <c r="AG17" s="5"/>
      <c r="AH17" s="5"/>
      <c r="AI17" s="5"/>
      <c r="AJ17" s="5"/>
    </row>
    <row r="18" spans="1:36" ht="20.25" customHeight="1" x14ac:dyDescent="0.25">
      <c r="A18" s="5"/>
      <c r="B18" s="2"/>
      <c r="C18" s="90" t="e" vm="50">
        <f>_xlfn.IMAGE(VLOOKUP([1]TypeChart!A12,[1]Types!$A:$C,3,0))</f>
        <v>#VALUE!</v>
      </c>
      <c r="D18" s="90"/>
      <c r="E18" s="8"/>
      <c r="F18" s="9">
        <f>[1]TypeChart!B12</f>
        <v>1</v>
      </c>
      <c r="G18" s="9">
        <f>[1]TypeChart!C12</f>
        <v>1</v>
      </c>
      <c r="H18" s="9">
        <f>[1]TypeChart!D12</f>
        <v>1</v>
      </c>
      <c r="I18" s="9">
        <f>[1]TypeChart!E12</f>
        <v>1</v>
      </c>
      <c r="J18" s="9">
        <f>[1]TypeChart!F12</f>
        <v>1</v>
      </c>
      <c r="K18" s="9">
        <f>[1]TypeChart!G12</f>
        <v>1</v>
      </c>
      <c r="L18" s="9">
        <f>[1]TypeChart!H12</f>
        <v>2</v>
      </c>
      <c r="M18" s="9">
        <f>[1]TypeChart!I12</f>
        <v>2</v>
      </c>
      <c r="N18" s="9">
        <f>[1]TypeChart!J12</f>
        <v>1</v>
      </c>
      <c r="O18" s="9">
        <f>[1]TypeChart!K12</f>
        <v>1</v>
      </c>
      <c r="P18" s="9">
        <f>[1]TypeChart!L12</f>
        <v>0.5</v>
      </c>
      <c r="Q18" s="9">
        <f>[1]TypeChart!M12</f>
        <v>1</v>
      </c>
      <c r="R18" s="9">
        <f>[1]TypeChart!N12</f>
        <v>1</v>
      </c>
      <c r="S18" s="9">
        <f>[1]TypeChart!O12</f>
        <v>1</v>
      </c>
      <c r="T18" s="9">
        <f>[1]TypeChart!P12</f>
        <v>1</v>
      </c>
      <c r="U18" s="9">
        <f>[1]TypeChart!Q12</f>
        <v>0</v>
      </c>
      <c r="V18" s="9">
        <f>[1]TypeChart!R12</f>
        <v>0.5</v>
      </c>
      <c r="W18" s="9">
        <f>[1]TypeChart!S12</f>
        <v>1</v>
      </c>
      <c r="X18" s="9">
        <f>[1]TypeChart!T12</f>
        <v>1</v>
      </c>
      <c r="Y18" s="2"/>
      <c r="Z18" s="5"/>
      <c r="AA18" s="5"/>
      <c r="AB18" s="5"/>
      <c r="AC18" s="5"/>
      <c r="AD18" s="5"/>
      <c r="AE18" s="5"/>
      <c r="AF18" s="5"/>
      <c r="AG18" s="5"/>
      <c r="AH18" s="5"/>
      <c r="AI18" s="5"/>
      <c r="AJ18" s="5"/>
    </row>
    <row r="19" spans="1:36" ht="20.25" customHeight="1" x14ac:dyDescent="0.25">
      <c r="A19" s="5"/>
      <c r="B19" s="2"/>
      <c r="C19" s="90" t="e" vm="51">
        <f>_xlfn.IMAGE(VLOOKUP([1]TypeChart!A13,[1]Types!$A:$C,3,0))</f>
        <v>#VALUE!</v>
      </c>
      <c r="D19" s="90"/>
      <c r="E19" s="8"/>
      <c r="F19" s="9">
        <f>[1]TypeChart!B13</f>
        <v>1</v>
      </c>
      <c r="G19" s="9">
        <f>[1]TypeChart!C13</f>
        <v>0.5</v>
      </c>
      <c r="H19" s="9">
        <f>[1]TypeChart!D13</f>
        <v>1</v>
      </c>
      <c r="I19" s="9">
        <f>[1]TypeChart!E13</f>
        <v>2</v>
      </c>
      <c r="J19" s="9">
        <f>[1]TypeChart!F13</f>
        <v>1</v>
      </c>
      <c r="K19" s="9">
        <f>[1]TypeChart!G13</f>
        <v>1</v>
      </c>
      <c r="L19" s="9">
        <f>[1]TypeChart!H13</f>
        <v>0.5</v>
      </c>
      <c r="M19" s="9">
        <f>[1]TypeChart!I13</f>
        <v>0.5</v>
      </c>
      <c r="N19" s="9">
        <f>[1]TypeChart!J13</f>
        <v>1</v>
      </c>
      <c r="O19" s="9">
        <f>[1]TypeChart!K13</f>
        <v>0.5</v>
      </c>
      <c r="P19" s="9">
        <f>[1]TypeChart!L13</f>
        <v>2</v>
      </c>
      <c r="Q19" s="9">
        <f>[1]TypeChart!M13</f>
        <v>1</v>
      </c>
      <c r="R19" s="9">
        <f>[1]TypeChart!N13</f>
        <v>1</v>
      </c>
      <c r="S19" s="9">
        <f>[1]TypeChart!O13</f>
        <v>0.5</v>
      </c>
      <c r="T19" s="9">
        <f>[1]TypeChart!P13</f>
        <v>1</v>
      </c>
      <c r="U19" s="9">
        <f>[1]TypeChart!Q13</f>
        <v>2</v>
      </c>
      <c r="V19" s="9">
        <f>[1]TypeChart!R13</f>
        <v>0.5</v>
      </c>
      <c r="W19" s="9">
        <f>[1]TypeChart!S13</f>
        <v>0.5</v>
      </c>
      <c r="X19" s="9">
        <f>[1]TypeChart!T13</f>
        <v>1</v>
      </c>
      <c r="Y19" s="2"/>
      <c r="Z19" s="5"/>
      <c r="AA19" s="5"/>
      <c r="AB19" s="12" t="s">
        <v>8</v>
      </c>
      <c r="AC19" s="5"/>
      <c r="AD19" s="5"/>
      <c r="AE19" s="5"/>
      <c r="AF19" s="5"/>
      <c r="AG19" s="5"/>
      <c r="AH19" s="5"/>
      <c r="AI19" s="5"/>
      <c r="AJ19" s="5"/>
    </row>
    <row r="20" spans="1:36" ht="20.25" customHeight="1" x14ac:dyDescent="0.25">
      <c r="A20" s="5"/>
      <c r="B20" s="2"/>
      <c r="C20" s="90" t="e" vm="52">
        <f>_xlfn.IMAGE(VLOOKUP([1]TypeChart!A14,[1]Types!$A:$C,3,0))</f>
        <v>#VALUE!</v>
      </c>
      <c r="D20" s="90"/>
      <c r="E20" s="8"/>
      <c r="F20" s="9">
        <f>[1]TypeChart!B14</f>
        <v>1</v>
      </c>
      <c r="G20" s="9">
        <f>[1]TypeChart!C14</f>
        <v>2</v>
      </c>
      <c r="H20" s="9">
        <f>[1]TypeChart!D14</f>
        <v>1</v>
      </c>
      <c r="I20" s="9">
        <f>[1]TypeChart!E14</f>
        <v>1</v>
      </c>
      <c r="J20" s="9">
        <f>[1]TypeChart!F14</f>
        <v>1</v>
      </c>
      <c r="K20" s="9">
        <f>[1]TypeChart!G14</f>
        <v>2</v>
      </c>
      <c r="L20" s="9">
        <f>[1]TypeChart!H14</f>
        <v>0.5</v>
      </c>
      <c r="M20" s="9">
        <f>[1]TypeChart!I14</f>
        <v>1</v>
      </c>
      <c r="N20" s="9">
        <f>[1]TypeChart!J14</f>
        <v>0.5</v>
      </c>
      <c r="O20" s="9">
        <f>[1]TypeChart!K14</f>
        <v>2</v>
      </c>
      <c r="P20" s="9">
        <f>[1]TypeChart!L14</f>
        <v>1</v>
      </c>
      <c r="Q20" s="9">
        <f>[1]TypeChart!M14</f>
        <v>2</v>
      </c>
      <c r="R20" s="9">
        <f>[1]TypeChart!N14</f>
        <v>1</v>
      </c>
      <c r="S20" s="9">
        <f>[1]TypeChart!O14</f>
        <v>1</v>
      </c>
      <c r="T20" s="9">
        <f>[1]TypeChart!P14</f>
        <v>1</v>
      </c>
      <c r="U20" s="9">
        <f>[1]TypeChart!Q14</f>
        <v>1</v>
      </c>
      <c r="V20" s="9">
        <f>[1]TypeChart!R14</f>
        <v>0.5</v>
      </c>
      <c r="W20" s="9">
        <f>[1]TypeChart!S14</f>
        <v>1</v>
      </c>
      <c r="X20" s="9">
        <f>[1]TypeChart!T14</f>
        <v>1</v>
      </c>
      <c r="Y20" s="2"/>
      <c r="Z20" s="5"/>
      <c r="AA20" s="5"/>
      <c r="AB20" s="99" t="s">
        <v>20</v>
      </c>
      <c r="AC20" s="100"/>
      <c r="AD20" s="100"/>
      <c r="AE20" s="101"/>
      <c r="AF20" s="5"/>
      <c r="AG20" s="5"/>
      <c r="AH20" s="5"/>
      <c r="AI20" s="5"/>
      <c r="AJ20" s="5"/>
    </row>
    <row r="21" spans="1:36" ht="20.25" customHeight="1" x14ac:dyDescent="0.25">
      <c r="A21" s="5"/>
      <c r="B21" s="2"/>
      <c r="C21" s="90" t="e" vm="53">
        <f>_xlfn.IMAGE(VLOOKUP([1]TypeChart!A15,[1]Types!$A:$C,3,0))</f>
        <v>#VALUE!</v>
      </c>
      <c r="D21" s="90"/>
      <c r="E21" s="8"/>
      <c r="F21" s="9">
        <f>[1]TypeChart!B15</f>
        <v>0</v>
      </c>
      <c r="G21" s="9">
        <f>[1]TypeChart!C15</f>
        <v>1</v>
      </c>
      <c r="H21" s="9">
        <f>[1]TypeChart!D15</f>
        <v>1</v>
      </c>
      <c r="I21" s="9">
        <f>[1]TypeChart!E15</f>
        <v>1</v>
      </c>
      <c r="J21" s="9">
        <f>[1]TypeChart!F15</f>
        <v>1</v>
      </c>
      <c r="K21" s="9">
        <f>[1]TypeChart!G15</f>
        <v>1</v>
      </c>
      <c r="L21" s="9">
        <f>[1]TypeChart!H15</f>
        <v>1</v>
      </c>
      <c r="M21" s="9">
        <f>[1]TypeChart!I15</f>
        <v>1</v>
      </c>
      <c r="N21" s="9">
        <f>[1]TypeChart!J15</f>
        <v>1</v>
      </c>
      <c r="O21" s="9">
        <f>[1]TypeChart!K15</f>
        <v>1</v>
      </c>
      <c r="P21" s="9">
        <f>[1]TypeChart!L15</f>
        <v>2</v>
      </c>
      <c r="Q21" s="9">
        <f>[1]TypeChart!M15</f>
        <v>1</v>
      </c>
      <c r="R21" s="9">
        <f>[1]TypeChart!N15</f>
        <v>1</v>
      </c>
      <c r="S21" s="9">
        <f>[1]TypeChart!O15</f>
        <v>2</v>
      </c>
      <c r="T21" s="9">
        <f>[1]TypeChart!P15</f>
        <v>1</v>
      </c>
      <c r="U21" s="9">
        <f>[1]TypeChart!Q15</f>
        <v>0.5</v>
      </c>
      <c r="V21" s="9">
        <f>[1]TypeChart!R15</f>
        <v>1</v>
      </c>
      <c r="W21" s="9">
        <f>[1]TypeChart!S15</f>
        <v>1</v>
      </c>
      <c r="X21" s="9">
        <f>[1]TypeChart!T15</f>
        <v>1</v>
      </c>
      <c r="Y21" s="2"/>
      <c r="Z21" s="5"/>
      <c r="AA21" s="5"/>
      <c r="AB21" s="5"/>
      <c r="AC21" s="5"/>
      <c r="AD21" s="5"/>
      <c r="AE21" s="5"/>
      <c r="AF21" s="5"/>
      <c r="AG21" s="5"/>
      <c r="AH21" s="5"/>
      <c r="AI21" s="5"/>
      <c r="AJ21" s="5"/>
    </row>
    <row r="22" spans="1:36" ht="20.25" customHeight="1" x14ac:dyDescent="0.25">
      <c r="A22" s="5"/>
      <c r="B22" s="2"/>
      <c r="C22" s="90" t="e" vm="54">
        <f>_xlfn.IMAGE(VLOOKUP([1]TypeChart!A16,[1]Types!$A:$C,3,0))</f>
        <v>#VALUE!</v>
      </c>
      <c r="D22" s="90"/>
      <c r="E22" s="8"/>
      <c r="F22" s="9">
        <f>[1]TypeChart!B16</f>
        <v>1</v>
      </c>
      <c r="G22" s="9">
        <f>[1]TypeChart!C16</f>
        <v>1</v>
      </c>
      <c r="H22" s="9">
        <f>[1]TypeChart!D16</f>
        <v>1</v>
      </c>
      <c r="I22" s="9">
        <f>[1]TypeChart!E16</f>
        <v>1</v>
      </c>
      <c r="J22" s="9">
        <f>[1]TypeChart!F16</f>
        <v>1</v>
      </c>
      <c r="K22" s="9">
        <f>[1]TypeChart!G16</f>
        <v>1</v>
      </c>
      <c r="L22" s="9">
        <f>[1]TypeChart!H16</f>
        <v>1</v>
      </c>
      <c r="M22" s="9">
        <f>[1]TypeChart!I16</f>
        <v>1</v>
      </c>
      <c r="N22" s="9">
        <f>[1]TypeChart!J16</f>
        <v>1</v>
      </c>
      <c r="O22" s="9">
        <f>[1]TypeChart!K16</f>
        <v>1</v>
      </c>
      <c r="P22" s="9">
        <f>[1]TypeChart!L16</f>
        <v>1</v>
      </c>
      <c r="Q22" s="9">
        <f>[1]TypeChart!M16</f>
        <v>1</v>
      </c>
      <c r="R22" s="9">
        <f>[1]TypeChart!N16</f>
        <v>1</v>
      </c>
      <c r="S22" s="9">
        <f>[1]TypeChart!O16</f>
        <v>1</v>
      </c>
      <c r="T22" s="9">
        <f>[1]TypeChart!P16</f>
        <v>2</v>
      </c>
      <c r="U22" s="9">
        <f>[1]TypeChart!Q16</f>
        <v>1</v>
      </c>
      <c r="V22" s="9">
        <f>[1]TypeChart!R16</f>
        <v>0.5</v>
      </c>
      <c r="W22" s="9">
        <f>[1]TypeChart!S16</f>
        <v>0</v>
      </c>
      <c r="X22" s="9">
        <f>[1]TypeChart!T16</f>
        <v>1</v>
      </c>
      <c r="Y22" s="2"/>
      <c r="Z22" s="5"/>
      <c r="AA22" s="5"/>
      <c r="AB22" s="12" t="s">
        <v>7</v>
      </c>
      <c r="AC22" s="5"/>
      <c r="AD22" s="5"/>
      <c r="AE22" s="5"/>
      <c r="AF22" s="5"/>
      <c r="AG22" s="5"/>
      <c r="AH22" s="5"/>
      <c r="AI22" s="5"/>
      <c r="AJ22" s="5"/>
    </row>
    <row r="23" spans="1:36" ht="20.25" customHeight="1" x14ac:dyDescent="0.25">
      <c r="A23" s="5"/>
      <c r="B23" s="2"/>
      <c r="C23" s="90" t="e" vm="55">
        <f>_xlfn.IMAGE(VLOOKUP([1]TypeChart!A17,[1]Types!$A:$C,3,0))</f>
        <v>#VALUE!</v>
      </c>
      <c r="D23" s="90"/>
      <c r="E23" s="8"/>
      <c r="F23" s="9">
        <f>[1]TypeChart!B17</f>
        <v>1</v>
      </c>
      <c r="G23" s="9">
        <f>[1]TypeChart!C17</f>
        <v>1</v>
      </c>
      <c r="H23" s="9">
        <f>[1]TypeChart!D17</f>
        <v>1</v>
      </c>
      <c r="I23" s="9">
        <f>[1]TypeChart!E17</f>
        <v>1</v>
      </c>
      <c r="J23" s="9">
        <f>[1]TypeChart!F17</f>
        <v>1</v>
      </c>
      <c r="K23" s="9">
        <f>[1]TypeChart!G17</f>
        <v>1</v>
      </c>
      <c r="L23" s="9">
        <f>[1]TypeChart!H17</f>
        <v>0.5</v>
      </c>
      <c r="M23" s="9">
        <f>[1]TypeChart!I17</f>
        <v>1</v>
      </c>
      <c r="N23" s="9">
        <f>[1]TypeChart!J17</f>
        <v>1</v>
      </c>
      <c r="O23" s="9">
        <f>[1]TypeChart!K17</f>
        <v>1</v>
      </c>
      <c r="P23" s="9">
        <f>[1]TypeChart!L17</f>
        <v>2</v>
      </c>
      <c r="Q23" s="9">
        <f>[1]TypeChart!M17</f>
        <v>1</v>
      </c>
      <c r="R23" s="9">
        <f>[1]TypeChart!N17</f>
        <v>1</v>
      </c>
      <c r="S23" s="9">
        <f>[1]TypeChart!O17</f>
        <v>2</v>
      </c>
      <c r="T23" s="9">
        <f>[1]TypeChart!P17</f>
        <v>1</v>
      </c>
      <c r="U23" s="9">
        <f>[1]TypeChart!Q17</f>
        <v>0.5</v>
      </c>
      <c r="V23" s="9">
        <f>[1]TypeChart!R17</f>
        <v>1</v>
      </c>
      <c r="W23" s="9">
        <f>[1]TypeChart!S17</f>
        <v>0.5</v>
      </c>
      <c r="X23" s="9">
        <f>[1]TypeChart!T17</f>
        <v>1</v>
      </c>
      <c r="Y23" s="2"/>
      <c r="Z23" s="5"/>
      <c r="AA23" s="5"/>
      <c r="AB23" s="99" t="s">
        <v>21</v>
      </c>
      <c r="AC23" s="100"/>
      <c r="AD23" s="100"/>
      <c r="AE23" s="101"/>
      <c r="AF23" s="5"/>
      <c r="AG23" s="5"/>
      <c r="AH23" s="5"/>
      <c r="AI23" s="5"/>
      <c r="AJ23" s="5"/>
    </row>
    <row r="24" spans="1:36" ht="20.25" customHeight="1" x14ac:dyDescent="0.25">
      <c r="A24" s="5"/>
      <c r="B24" s="2"/>
      <c r="C24" s="90" t="e" vm="56">
        <f>_xlfn.IMAGE(VLOOKUP([1]TypeChart!A18,[1]Types!$A:$C,3,0))</f>
        <v>#VALUE!</v>
      </c>
      <c r="D24" s="90"/>
      <c r="E24" s="8"/>
      <c r="F24" s="9">
        <f>[1]TypeChart!B18</f>
        <v>1</v>
      </c>
      <c r="G24" s="9">
        <f>[1]TypeChart!C18</f>
        <v>0.5</v>
      </c>
      <c r="H24" s="9">
        <f>[1]TypeChart!D18</f>
        <v>0.5</v>
      </c>
      <c r="I24" s="9">
        <f>[1]TypeChart!E18</f>
        <v>1</v>
      </c>
      <c r="J24" s="9">
        <f>[1]TypeChart!F18</f>
        <v>0.5</v>
      </c>
      <c r="K24" s="9">
        <f>[1]TypeChart!G18</f>
        <v>2</v>
      </c>
      <c r="L24" s="9">
        <f>[1]TypeChart!H18</f>
        <v>1</v>
      </c>
      <c r="M24" s="9">
        <f>[1]TypeChart!I18</f>
        <v>1</v>
      </c>
      <c r="N24" s="9">
        <f>[1]TypeChart!J18</f>
        <v>1</v>
      </c>
      <c r="O24" s="9">
        <f>[1]TypeChart!K18</f>
        <v>1</v>
      </c>
      <c r="P24" s="9">
        <f>[1]TypeChart!L18</f>
        <v>1</v>
      </c>
      <c r="Q24" s="9">
        <f>[1]TypeChart!M18</f>
        <v>1</v>
      </c>
      <c r="R24" s="9">
        <f>[1]TypeChart!N18</f>
        <v>2</v>
      </c>
      <c r="S24" s="9">
        <f>[1]TypeChart!O18</f>
        <v>1</v>
      </c>
      <c r="T24" s="9">
        <f>[1]TypeChart!P18</f>
        <v>1</v>
      </c>
      <c r="U24" s="9">
        <f>[1]TypeChart!Q18</f>
        <v>1</v>
      </c>
      <c r="V24" s="9">
        <f>[1]TypeChart!R18</f>
        <v>0.5</v>
      </c>
      <c r="W24" s="9">
        <f>[1]TypeChart!S18</f>
        <v>2</v>
      </c>
      <c r="X24" s="9">
        <f>[1]TypeChart!T18</f>
        <v>1</v>
      </c>
      <c r="Y24" s="2"/>
      <c r="Z24" s="5"/>
      <c r="AA24" s="5"/>
      <c r="AB24" s="5"/>
      <c r="AC24" s="5"/>
      <c r="AD24" s="5"/>
      <c r="AE24" s="5"/>
      <c r="AF24" s="5"/>
      <c r="AG24" s="5"/>
      <c r="AH24" s="5"/>
      <c r="AI24" s="5"/>
      <c r="AJ24" s="5"/>
    </row>
    <row r="25" spans="1:36" ht="20.25" customHeight="1" x14ac:dyDescent="0.25">
      <c r="A25" s="5"/>
      <c r="B25" s="2"/>
      <c r="C25" s="90" t="e" vm="57">
        <f>_xlfn.IMAGE(VLOOKUP([1]TypeChart!A19,[1]Types!$A:$C,3,0))</f>
        <v>#VALUE!</v>
      </c>
      <c r="D25" s="90"/>
      <c r="E25" s="8"/>
      <c r="F25" s="9">
        <f>[1]TypeChart!B19</f>
        <v>1</v>
      </c>
      <c r="G25" s="9">
        <f>[1]TypeChart!C19</f>
        <v>0.5</v>
      </c>
      <c r="H25" s="9">
        <f>[1]TypeChart!D19</f>
        <v>1</v>
      </c>
      <c r="I25" s="9">
        <f>[1]TypeChart!E19</f>
        <v>1</v>
      </c>
      <c r="J25" s="9">
        <f>[1]TypeChart!F19</f>
        <v>1</v>
      </c>
      <c r="K25" s="9">
        <f>[1]TypeChart!G19</f>
        <v>1</v>
      </c>
      <c r="L25" s="9">
        <f>[1]TypeChart!H19</f>
        <v>2</v>
      </c>
      <c r="M25" s="9">
        <f>[1]TypeChart!I19</f>
        <v>0.5</v>
      </c>
      <c r="N25" s="9">
        <f>[1]TypeChart!J19</f>
        <v>1</v>
      </c>
      <c r="O25" s="9">
        <f>[1]TypeChart!K19</f>
        <v>1</v>
      </c>
      <c r="P25" s="9">
        <f>[1]TypeChart!L19</f>
        <v>1</v>
      </c>
      <c r="Q25" s="9">
        <f>[1]TypeChart!M19</f>
        <v>1</v>
      </c>
      <c r="R25" s="9">
        <f>[1]TypeChart!N19</f>
        <v>1</v>
      </c>
      <c r="S25" s="9">
        <f>[1]TypeChart!O19</f>
        <v>1</v>
      </c>
      <c r="T25" s="9">
        <f>[1]TypeChart!P19</f>
        <v>2</v>
      </c>
      <c r="U25" s="9">
        <f>[1]TypeChart!Q19</f>
        <v>2</v>
      </c>
      <c r="V25" s="9">
        <f>[1]TypeChart!R19</f>
        <v>0.5</v>
      </c>
      <c r="W25" s="9">
        <f>[1]TypeChart!S19</f>
        <v>1</v>
      </c>
      <c r="X25" s="9">
        <f>[1]TypeChart!T19</f>
        <v>1</v>
      </c>
      <c r="Y25" s="2"/>
      <c r="Z25" s="5"/>
      <c r="AA25" s="5"/>
      <c r="AB25" s="89"/>
      <c r="AC25" s="89"/>
      <c r="AD25" s="89"/>
      <c r="AE25" s="89"/>
      <c r="AF25" s="5"/>
      <c r="AG25" s="5"/>
      <c r="AH25" s="5"/>
      <c r="AI25" s="5"/>
      <c r="AJ25" s="5"/>
    </row>
    <row r="26" spans="1:36" ht="20.25" customHeight="1" x14ac:dyDescent="0.25">
      <c r="A26" s="5"/>
      <c r="B26" s="2"/>
      <c r="C26" s="90" t="e" vm="58">
        <f>_xlfn.IMAGE(VLOOKUP([1]TypeChart!A20,[1]Types!$A:$C,3,0))</f>
        <v>#VALUE!</v>
      </c>
      <c r="D26" s="90"/>
      <c r="E26" s="8"/>
      <c r="F26" s="9">
        <f>[1]TypeChart!B20</f>
        <v>1</v>
      </c>
      <c r="G26" s="9">
        <f>[1]TypeChart!C20</f>
        <v>1</v>
      </c>
      <c r="H26" s="9">
        <f>[1]TypeChart!D20</f>
        <v>1</v>
      </c>
      <c r="I26" s="9">
        <f>[1]TypeChart!E20</f>
        <v>1</v>
      </c>
      <c r="J26" s="9">
        <f>[1]TypeChart!F20</f>
        <v>1</v>
      </c>
      <c r="K26" s="9">
        <f>[1]TypeChart!G20</f>
        <v>1</v>
      </c>
      <c r="L26" s="9">
        <f>[1]TypeChart!H20</f>
        <v>1</v>
      </c>
      <c r="M26" s="9">
        <f>[1]TypeChart!I20</f>
        <v>1</v>
      </c>
      <c r="N26" s="9">
        <f>[1]TypeChart!J20</f>
        <v>1</v>
      </c>
      <c r="O26" s="9">
        <f>[1]TypeChart!K20</f>
        <v>1</v>
      </c>
      <c r="P26" s="9">
        <f>[1]TypeChart!L20</f>
        <v>1</v>
      </c>
      <c r="Q26" s="9">
        <f>[1]TypeChart!M20</f>
        <v>1</v>
      </c>
      <c r="R26" s="9">
        <f>[1]TypeChart!N20</f>
        <v>1</v>
      </c>
      <c r="S26" s="9">
        <f>[1]TypeChart!O20</f>
        <v>1</v>
      </c>
      <c r="T26" s="9">
        <f>[1]TypeChart!P20</f>
        <v>1</v>
      </c>
      <c r="U26" s="9">
        <f>[1]TypeChart!Q20</f>
        <v>1</v>
      </c>
      <c r="V26" s="9">
        <f>[1]TypeChart!R20</f>
        <v>1</v>
      </c>
      <c r="W26" s="9">
        <f>[1]TypeChart!S20</f>
        <v>1</v>
      </c>
      <c r="X26" s="9">
        <f>[1]TypeChart!T20</f>
        <v>2</v>
      </c>
      <c r="Y26" s="2"/>
      <c r="Z26" s="5"/>
      <c r="AA26" s="5"/>
      <c r="AB26" s="105" t="s">
        <v>13</v>
      </c>
      <c r="AC26" s="105"/>
      <c r="AD26" s="105"/>
      <c r="AE26" s="105"/>
      <c r="AF26" s="5"/>
      <c r="AG26" s="5"/>
      <c r="AH26" s="5"/>
      <c r="AI26" s="5"/>
      <c r="AJ26" s="5"/>
    </row>
    <row r="27" spans="1:36" ht="7.5" customHeight="1" x14ac:dyDescent="0.25">
      <c r="A27" s="5"/>
      <c r="B27" s="1"/>
      <c r="C27" s="1"/>
      <c r="D27" s="1"/>
      <c r="E27" s="1"/>
      <c r="F27" s="1"/>
      <c r="G27" s="1"/>
      <c r="H27" s="1"/>
      <c r="I27" s="1"/>
      <c r="J27" s="1"/>
      <c r="K27" s="1"/>
      <c r="L27" s="1"/>
      <c r="M27" s="1"/>
      <c r="N27" s="1"/>
      <c r="O27" s="1"/>
      <c r="P27" s="1"/>
      <c r="Q27" s="1"/>
      <c r="R27" s="1"/>
      <c r="S27" s="1"/>
      <c r="T27" s="1"/>
      <c r="U27" s="1"/>
      <c r="V27" s="1"/>
      <c r="W27" s="1"/>
      <c r="X27" s="1"/>
      <c r="Y27" s="1"/>
      <c r="Z27" s="5"/>
      <c r="AA27" s="5"/>
      <c r="AB27" s="105"/>
      <c r="AC27" s="105"/>
      <c r="AD27" s="105"/>
      <c r="AE27" s="105"/>
      <c r="AF27" s="5"/>
      <c r="AG27" s="5"/>
      <c r="AH27" s="5"/>
      <c r="AI27" s="5"/>
      <c r="AJ27" s="5"/>
    </row>
    <row r="28" spans="1:36" ht="7.5" customHeight="1" x14ac:dyDescent="0.25">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105"/>
      <c r="AC28" s="105"/>
      <c r="AD28" s="105"/>
      <c r="AE28" s="105"/>
      <c r="AF28" s="5"/>
      <c r="AG28" s="5"/>
      <c r="AH28" s="5"/>
      <c r="AI28" s="5"/>
      <c r="AJ28" s="5"/>
    </row>
    <row r="29" spans="1:36" ht="30" customHeight="1" x14ac:dyDescent="0.25">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row>
    <row r="30" spans="1:36" ht="36.75" hidden="1" customHeight="1" x14ac:dyDescent="0.25"/>
    <row r="31" spans="1:36" ht="36.75" hidden="1" customHeight="1" x14ac:dyDescent="0.25"/>
    <row r="32" spans="1:36" ht="36.75" hidden="1" customHeight="1" x14ac:dyDescent="0.25"/>
    <row r="33" s="6" customFormat="1" ht="36.75" hidden="1" customHeight="1" x14ac:dyDescent="0.25"/>
    <row r="34" s="6" customFormat="1" ht="36.75" hidden="1" customHeight="1" x14ac:dyDescent="0.25"/>
    <row r="35" s="6" customFormat="1" ht="36.75" hidden="1" customHeight="1" x14ac:dyDescent="0.25"/>
    <row r="36" s="6" customFormat="1" ht="36.75" hidden="1" customHeight="1" x14ac:dyDescent="0.25"/>
    <row r="37" s="6" customFormat="1" ht="36.75" hidden="1" customHeight="1" x14ac:dyDescent="0.25"/>
    <row r="38" s="6" customFormat="1" ht="36.75" hidden="1" customHeight="1" x14ac:dyDescent="0.25"/>
    <row r="39" s="6" customFormat="1" ht="36.75" hidden="1" customHeight="1" x14ac:dyDescent="0.25"/>
    <row r="40" s="6" customFormat="1" ht="36.75" hidden="1" customHeight="1" x14ac:dyDescent="0.25"/>
    <row r="41" s="6" customFormat="1" ht="36.75" hidden="1" customHeight="1" x14ac:dyDescent="0.25"/>
    <row r="42" s="6" customFormat="1" ht="36.75" hidden="1" customHeight="1" x14ac:dyDescent="0.25"/>
    <row r="43" s="6" customFormat="1" ht="36.75" hidden="1" customHeight="1" x14ac:dyDescent="0.25"/>
    <row r="44" s="6" customFormat="1" ht="36.75" hidden="1" customHeight="1" x14ac:dyDescent="0.25"/>
    <row r="45" s="6" customFormat="1" ht="36.75" hidden="1" customHeight="1" x14ac:dyDescent="0.25"/>
    <row r="46" s="6" customFormat="1" ht="36.75" hidden="1" customHeight="1" x14ac:dyDescent="0.25"/>
    <row r="47" s="6" customFormat="1" ht="36.75" hidden="1" customHeight="1" x14ac:dyDescent="0.25"/>
    <row r="48" s="6" customFormat="1" ht="36.75" hidden="1" customHeight="1" x14ac:dyDescent="0.25"/>
    <row r="49" s="6" customFormat="1" ht="36.75" hidden="1" customHeight="1" x14ac:dyDescent="0.25"/>
    <row r="50" s="6" customFormat="1" ht="36.75" hidden="1" customHeight="1" x14ac:dyDescent="0.25"/>
    <row r="51" s="6" customFormat="1" ht="36.75" hidden="1" customHeight="1" x14ac:dyDescent="0.25"/>
    <row r="52" s="6" customFormat="1" ht="36.75" hidden="1" customHeight="1" x14ac:dyDescent="0.25"/>
    <row r="53" s="6" customFormat="1" ht="36.75" hidden="1" customHeight="1" x14ac:dyDescent="0.25"/>
    <row r="54" s="6" customFormat="1" ht="36.75" hidden="1" customHeight="1" x14ac:dyDescent="0.25"/>
    <row r="55" s="6" customFormat="1" ht="36.75" hidden="1" customHeight="1" x14ac:dyDescent="0.25"/>
    <row r="56" s="6" customFormat="1" ht="36.75" hidden="1" customHeight="1" x14ac:dyDescent="0.25"/>
    <row r="57" s="6" customFormat="1" ht="36.75" hidden="1" customHeight="1" x14ac:dyDescent="0.25"/>
    <row r="58" s="6" customFormat="1" ht="36.75" hidden="1" customHeight="1" x14ac:dyDescent="0.25"/>
    <row r="59" s="6" customFormat="1" ht="36.75" hidden="1" customHeight="1" x14ac:dyDescent="0.25"/>
    <row r="60" s="6" customFormat="1" ht="36.75" hidden="1" customHeight="1" x14ac:dyDescent="0.25"/>
    <row r="61" s="6" customFormat="1" ht="36.75" hidden="1" customHeight="1" x14ac:dyDescent="0.25"/>
    <row r="62" s="6" customFormat="1" ht="36.75" hidden="1" customHeight="1" x14ac:dyDescent="0.25"/>
    <row r="63" s="6" customFormat="1" ht="36.75" hidden="1" customHeight="1" x14ac:dyDescent="0.25"/>
    <row r="64" s="6" customFormat="1" ht="36.75" hidden="1" customHeight="1" x14ac:dyDescent="0.25"/>
    <row r="65" s="6" customFormat="1" ht="36.75" hidden="1" customHeight="1" x14ac:dyDescent="0.25"/>
    <row r="66" s="6" customFormat="1" ht="36.75" hidden="1" customHeight="1" x14ac:dyDescent="0.25"/>
    <row r="67" s="6" customFormat="1" ht="36.75" hidden="1" customHeight="1" x14ac:dyDescent="0.25"/>
    <row r="68" s="6" customFormat="1" ht="36.75" hidden="1" customHeight="1" x14ac:dyDescent="0.25"/>
    <row r="69" s="6" customFormat="1" ht="36.75" hidden="1" customHeight="1" x14ac:dyDescent="0.25"/>
    <row r="70" s="6" customFormat="1" ht="36.75" hidden="1" customHeight="1" x14ac:dyDescent="0.25"/>
    <row r="71" s="6" customFormat="1" ht="36.75" hidden="1" customHeight="1" x14ac:dyDescent="0.25"/>
    <row r="72" s="6" customFormat="1" ht="36.75" hidden="1" customHeight="1" x14ac:dyDescent="0.25"/>
    <row r="73" s="6" customFormat="1" ht="36.75" hidden="1" customHeight="1" x14ac:dyDescent="0.25"/>
    <row r="74" s="6" customFormat="1" ht="36.75" hidden="1" customHeight="1" x14ac:dyDescent="0.25"/>
    <row r="75" s="6" customFormat="1" ht="36.75" hidden="1" customHeight="1" x14ac:dyDescent="0.25"/>
    <row r="76" s="6" customFormat="1" ht="36.75" hidden="1" customHeight="1" x14ac:dyDescent="0.25"/>
    <row r="77" s="6" customFormat="1" ht="36.75" hidden="1" customHeight="1" x14ac:dyDescent="0.25"/>
    <row r="78" s="6" customFormat="1" ht="36.75" hidden="1" customHeight="1" x14ac:dyDescent="0.25"/>
    <row r="79" s="6" customFormat="1" ht="36.75" hidden="1" customHeight="1" x14ac:dyDescent="0.25"/>
    <row r="80" s="6" customFormat="1" ht="36.75" hidden="1" customHeight="1" x14ac:dyDescent="0.25"/>
    <row r="81" s="6" customFormat="1" ht="36.75" hidden="1" customHeight="1" x14ac:dyDescent="0.25"/>
    <row r="82" s="6" customFormat="1" ht="36.75" hidden="1" customHeight="1" x14ac:dyDescent="0.25"/>
    <row r="83" s="6" customFormat="1" ht="36.75" hidden="1" customHeight="1" x14ac:dyDescent="0.25"/>
    <row r="84" s="6" customFormat="1" ht="36.75" hidden="1" customHeight="1" x14ac:dyDescent="0.25"/>
    <row r="85" s="6" customFormat="1" ht="36.75" hidden="1" customHeight="1" x14ac:dyDescent="0.25"/>
    <row r="86" s="6" customFormat="1" ht="36.75" hidden="1" customHeight="1" x14ac:dyDescent="0.25"/>
    <row r="87" s="6" customFormat="1" ht="36.75" hidden="1" customHeight="1" x14ac:dyDescent="0.25"/>
    <row r="88" s="6" customFormat="1" ht="36.75" hidden="1" customHeight="1" x14ac:dyDescent="0.25"/>
    <row r="89" s="6" customFormat="1" ht="36.75" hidden="1" customHeight="1" x14ac:dyDescent="0.25"/>
    <row r="90" s="6" customFormat="1" ht="36.75" hidden="1" customHeight="1" x14ac:dyDescent="0.25"/>
    <row r="91" s="6" customFormat="1" ht="36.75" hidden="1" customHeight="1" x14ac:dyDescent="0.25"/>
    <row r="92" s="6" customFormat="1" ht="36.75" hidden="1" customHeight="1" x14ac:dyDescent="0.25"/>
    <row r="93" s="6" customFormat="1" ht="36.75" hidden="1" customHeight="1" x14ac:dyDescent="0.25"/>
    <row r="94" s="6" customFormat="1" ht="36.75" hidden="1" customHeight="1" x14ac:dyDescent="0.25"/>
    <row r="95" s="6" customFormat="1" ht="36.75" hidden="1" customHeight="1" x14ac:dyDescent="0.25"/>
    <row r="96" s="6" customFormat="1" ht="36.75" hidden="1" customHeight="1" x14ac:dyDescent="0.25"/>
    <row r="97" s="6" customFormat="1" ht="36.75" hidden="1" customHeight="1" x14ac:dyDescent="0.25"/>
    <row r="98" s="6" customFormat="1" ht="36.75" hidden="1" customHeight="1" x14ac:dyDescent="0.25"/>
    <row r="99" s="6" customFormat="1" ht="36.75" hidden="1" customHeight="1" x14ac:dyDescent="0.25"/>
    <row r="100" s="6" customFormat="1" ht="36.75" hidden="1" customHeight="1" x14ac:dyDescent="0.25"/>
    <row r="101" s="6" customFormat="1" ht="36.75" hidden="1" customHeight="1" x14ac:dyDescent="0.25"/>
    <row r="102" s="6" customFormat="1" ht="36.75" hidden="1" customHeight="1" x14ac:dyDescent="0.25"/>
    <row r="103" s="6" customFormat="1" ht="36.75" hidden="1" customHeight="1" x14ac:dyDescent="0.25"/>
    <row r="104" s="6" customFormat="1" ht="36.75" hidden="1" customHeight="1" x14ac:dyDescent="0.25"/>
    <row r="105" s="6" customFormat="1" ht="36.75" hidden="1" customHeight="1" x14ac:dyDescent="0.25"/>
    <row r="106" s="6" customFormat="1" ht="36.75" hidden="1" customHeight="1" x14ac:dyDescent="0.25"/>
    <row r="107" s="6" customFormat="1" ht="36.75" hidden="1" customHeight="1" x14ac:dyDescent="0.25"/>
    <row r="108" s="6" customFormat="1" ht="36.75" hidden="1" customHeight="1" x14ac:dyDescent="0.25"/>
    <row r="109" s="6" customFormat="1" ht="36.75" hidden="1" customHeight="1" x14ac:dyDescent="0.25"/>
    <row r="110" s="6" customFormat="1" ht="36.75" hidden="1" customHeight="1" x14ac:dyDescent="0.25"/>
    <row r="111" s="6" customFormat="1" ht="36.75" hidden="1" customHeight="1" x14ac:dyDescent="0.25"/>
    <row r="112" s="6" customFormat="1" ht="36.75" hidden="1" customHeight="1" x14ac:dyDescent="0.25"/>
    <row r="113" s="6" customFormat="1" ht="36.75" hidden="1" customHeight="1" x14ac:dyDescent="0.25"/>
    <row r="114" s="6" customFormat="1" ht="36.75" hidden="1" customHeight="1" x14ac:dyDescent="0.25"/>
    <row r="115" s="6" customFormat="1" ht="36.75" hidden="1" customHeight="1" x14ac:dyDescent="0.25"/>
    <row r="116" s="6" customFormat="1" ht="36.75" hidden="1" customHeight="1" x14ac:dyDescent="0.25"/>
    <row r="117" s="6" customFormat="1" ht="36.75" hidden="1" customHeight="1" x14ac:dyDescent="0.25"/>
    <row r="118" s="6" customFormat="1" ht="36.75" hidden="1" customHeight="1" x14ac:dyDescent="0.25"/>
    <row r="119" s="6" customFormat="1" ht="36.75" hidden="1" customHeight="1" x14ac:dyDescent="0.25"/>
    <row r="120" s="6" customFormat="1" ht="36.75" hidden="1" customHeight="1" x14ac:dyDescent="0.25"/>
    <row r="121" s="6" customFormat="1" ht="36.75" hidden="1" customHeight="1" x14ac:dyDescent="0.25"/>
    <row r="122" s="6" customFormat="1" ht="36.75" hidden="1" customHeight="1" x14ac:dyDescent="0.25"/>
    <row r="123" s="6" customFormat="1" ht="36.75" hidden="1" customHeight="1" x14ac:dyDescent="0.25"/>
    <row r="124" s="6" customFormat="1" ht="36.75" hidden="1" customHeight="1" x14ac:dyDescent="0.25"/>
    <row r="125" s="6" customFormat="1" ht="36.75" hidden="1" customHeight="1" x14ac:dyDescent="0.25"/>
    <row r="126" s="6" customFormat="1" ht="36.75" hidden="1" customHeight="1" x14ac:dyDescent="0.25"/>
    <row r="127" s="6" customFormat="1" ht="36.75" hidden="1" customHeight="1" x14ac:dyDescent="0.25"/>
    <row r="128" s="6" customFormat="1" ht="36.75" hidden="1" customHeight="1" x14ac:dyDescent="0.25"/>
    <row r="129" s="6" customFormat="1" ht="36.75" hidden="1" customHeight="1" x14ac:dyDescent="0.25"/>
    <row r="130" s="6" customFormat="1" ht="36.75" hidden="1" customHeight="1" x14ac:dyDescent="0.25"/>
    <row r="131" s="6" customFormat="1" ht="36.75" hidden="1" customHeight="1" x14ac:dyDescent="0.25"/>
    <row r="132" s="6" customFormat="1" ht="36.75" hidden="1" customHeight="1" x14ac:dyDescent="0.25"/>
    <row r="133" s="6" customFormat="1" ht="36.75" hidden="1" customHeight="1" x14ac:dyDescent="0.25"/>
    <row r="134" s="6" customFormat="1" ht="36.75" hidden="1" customHeight="1" x14ac:dyDescent="0.25"/>
    <row r="135" s="6" customFormat="1" ht="36.75" hidden="1" customHeight="1" x14ac:dyDescent="0.25"/>
    <row r="136" s="6" customFormat="1" ht="36.75" hidden="1" customHeight="1" x14ac:dyDescent="0.25"/>
    <row r="137" s="6" customFormat="1" ht="36.75" hidden="1" customHeight="1" x14ac:dyDescent="0.25"/>
    <row r="138" s="6" customFormat="1" ht="36.75" hidden="1" customHeight="1" x14ac:dyDescent="0.25"/>
    <row r="139" s="6" customFormat="1" ht="36.75" hidden="1" customHeight="1" x14ac:dyDescent="0.25"/>
    <row r="140" s="6" customFormat="1" ht="36.75" hidden="1" customHeight="1" x14ac:dyDescent="0.25"/>
    <row r="141" s="6" customFormat="1" ht="36.75" hidden="1" customHeight="1" x14ac:dyDescent="0.25"/>
    <row r="142" s="6" customFormat="1" ht="36.75" hidden="1" customHeight="1" x14ac:dyDescent="0.25"/>
    <row r="143" s="6" customFormat="1" ht="36.75" hidden="1" customHeight="1" x14ac:dyDescent="0.25"/>
    <row r="144" s="6" customFormat="1" ht="36.75" hidden="1" customHeight="1" x14ac:dyDescent="0.25"/>
    <row r="145" s="6" customFormat="1" ht="36.75" hidden="1" customHeight="1" x14ac:dyDescent="0.25"/>
    <row r="146" s="6" customFormat="1" ht="36.75" hidden="1" customHeight="1" x14ac:dyDescent="0.25"/>
    <row r="147" s="6" customFormat="1" ht="36.75" hidden="1" customHeight="1" x14ac:dyDescent="0.25"/>
    <row r="148" s="6" customFormat="1" ht="36.75" hidden="1" customHeight="1" x14ac:dyDescent="0.25"/>
    <row r="149" s="6" customFormat="1" ht="36.75" hidden="1" customHeight="1" x14ac:dyDescent="0.25"/>
    <row r="150" s="6" customFormat="1" ht="36.75" hidden="1" customHeight="1" x14ac:dyDescent="0.25"/>
    <row r="151" s="6" customFormat="1" ht="36.75" hidden="1" customHeight="1" x14ac:dyDescent="0.25"/>
    <row r="152" s="6" customFormat="1" ht="36.75" hidden="1" customHeight="1" x14ac:dyDescent="0.25"/>
    <row r="153" s="6" customFormat="1" ht="36.75" hidden="1" customHeight="1" x14ac:dyDescent="0.25"/>
    <row r="154" s="6" customFormat="1" ht="36.75" hidden="1" customHeight="1" x14ac:dyDescent="0.25"/>
    <row r="155" s="6" customFormat="1" hidden="1" x14ac:dyDescent="0.25"/>
    <row r="156" s="6" customFormat="1" hidden="1" x14ac:dyDescent="0.25"/>
    <row r="157" s="6" customFormat="1" hidden="1" x14ac:dyDescent="0.25"/>
    <row r="158" s="6" customFormat="1" hidden="1" x14ac:dyDescent="0.25"/>
    <row r="159" s="6" customFormat="1" hidden="1" x14ac:dyDescent="0.25"/>
    <row r="160" s="6" customFormat="1" hidden="1" x14ac:dyDescent="0.25"/>
    <row r="161" s="6" customFormat="1" hidden="1" x14ac:dyDescent="0.25"/>
    <row r="162" s="6" customFormat="1" hidden="1" x14ac:dyDescent="0.25"/>
    <row r="163" s="6" customFormat="1" hidden="1" x14ac:dyDescent="0.25"/>
    <row r="164" s="6" customFormat="1" hidden="1" x14ac:dyDescent="0.25"/>
    <row r="165" s="6" customFormat="1" hidden="1" x14ac:dyDescent="0.25"/>
    <row r="166" s="6" customFormat="1" hidden="1" x14ac:dyDescent="0.25"/>
    <row r="167" s="6" customFormat="1" hidden="1" x14ac:dyDescent="0.25"/>
    <row r="168" s="6" customFormat="1" hidden="1" x14ac:dyDescent="0.25"/>
    <row r="169" s="6" customFormat="1" hidden="1" x14ac:dyDescent="0.25"/>
    <row r="170" s="6" customFormat="1" hidden="1" x14ac:dyDescent="0.25"/>
    <row r="171" s="6" customFormat="1" hidden="1" x14ac:dyDescent="0.25"/>
    <row r="172" s="6" customFormat="1" hidden="1" x14ac:dyDescent="0.25"/>
    <row r="173" s="6" customFormat="1" hidden="1" x14ac:dyDescent="0.25"/>
    <row r="174" s="6" customFormat="1" hidden="1" x14ac:dyDescent="0.25"/>
    <row r="175" s="6" customFormat="1" hidden="1" x14ac:dyDescent="0.25"/>
    <row r="176" s="6" customFormat="1" hidden="1" x14ac:dyDescent="0.25"/>
    <row r="177" s="6" customFormat="1" hidden="1" x14ac:dyDescent="0.25"/>
    <row r="178" s="6" customFormat="1" hidden="1" x14ac:dyDescent="0.25"/>
    <row r="179" s="6" customFormat="1" hidden="1" x14ac:dyDescent="0.25"/>
    <row r="180" s="6" customFormat="1" hidden="1" x14ac:dyDescent="0.25"/>
    <row r="181" s="6" customFormat="1" hidden="1" x14ac:dyDescent="0.25"/>
    <row r="182" s="6" customFormat="1" hidden="1" x14ac:dyDescent="0.25"/>
    <row r="183" s="6" customFormat="1" hidden="1" x14ac:dyDescent="0.25"/>
    <row r="184" s="6" customFormat="1" hidden="1" x14ac:dyDescent="0.25"/>
    <row r="185" s="6" customFormat="1" hidden="1" x14ac:dyDescent="0.25"/>
    <row r="186" s="6" customFormat="1" hidden="1" x14ac:dyDescent="0.25"/>
    <row r="187" s="6" customFormat="1" hidden="1" x14ac:dyDescent="0.25"/>
    <row r="188" s="6" customFormat="1" hidden="1" x14ac:dyDescent="0.25"/>
    <row r="189" s="6" customFormat="1" hidden="1" x14ac:dyDescent="0.25"/>
    <row r="190" s="6" customFormat="1" hidden="1" x14ac:dyDescent="0.25"/>
    <row r="191" s="6" customFormat="1" hidden="1" x14ac:dyDescent="0.25"/>
    <row r="192" s="6" customFormat="1" hidden="1" x14ac:dyDescent="0.25"/>
    <row r="193" s="6" customFormat="1" hidden="1" x14ac:dyDescent="0.25"/>
    <row r="194" s="6" customFormat="1" hidden="1" x14ac:dyDescent="0.25"/>
    <row r="195" s="6" customFormat="1" hidden="1" x14ac:dyDescent="0.25"/>
    <row r="196" s="6" customFormat="1" hidden="1" x14ac:dyDescent="0.25"/>
    <row r="197" s="6" customFormat="1" hidden="1" x14ac:dyDescent="0.25"/>
    <row r="198" s="6" customFormat="1" hidden="1" x14ac:dyDescent="0.25"/>
    <row r="199" s="6" customFormat="1" hidden="1" x14ac:dyDescent="0.25"/>
    <row r="200" s="6" customFormat="1" hidden="1" x14ac:dyDescent="0.25"/>
    <row r="201" s="6" customFormat="1" hidden="1" x14ac:dyDescent="0.25"/>
    <row r="202" s="6" customFormat="1" hidden="1" x14ac:dyDescent="0.25"/>
  </sheetData>
  <mergeCells count="54">
    <mergeCell ref="AB26:AE28"/>
    <mergeCell ref="AB23:AE23"/>
    <mergeCell ref="C14:D14"/>
    <mergeCell ref="AD12:AE13"/>
    <mergeCell ref="C26:D26"/>
    <mergeCell ref="C20:D20"/>
    <mergeCell ref="C21:D21"/>
    <mergeCell ref="C22:D22"/>
    <mergeCell ref="C23:D23"/>
    <mergeCell ref="C24:D24"/>
    <mergeCell ref="C25:D25"/>
    <mergeCell ref="C19:D19"/>
    <mergeCell ref="C15:D15"/>
    <mergeCell ref="C16:D16"/>
    <mergeCell ref="C17:D17"/>
    <mergeCell ref="C18:D18"/>
    <mergeCell ref="AB16:AE17"/>
    <mergeCell ref="AB20:AE20"/>
    <mergeCell ref="C9:D9"/>
    <mergeCell ref="AB10:AC11"/>
    <mergeCell ref="AD10:AE11"/>
    <mergeCell ref="AB12:AC13"/>
    <mergeCell ref="AD8:AE9"/>
    <mergeCell ref="C10:D10"/>
    <mergeCell ref="C11:D11"/>
    <mergeCell ref="C12:D12"/>
    <mergeCell ref="C13:D13"/>
    <mergeCell ref="U5:U6"/>
    <mergeCell ref="V5:V6"/>
    <mergeCell ref="W5:W6"/>
    <mergeCell ref="X5:X6"/>
    <mergeCell ref="AB8:AC9"/>
    <mergeCell ref="AB4:AD5"/>
    <mergeCell ref="T5:T6"/>
    <mergeCell ref="M5:M6"/>
    <mergeCell ref="N5:N6"/>
    <mergeCell ref="O5:O6"/>
    <mergeCell ref="C8:D8"/>
    <mergeCell ref="AB25:AE25"/>
    <mergeCell ref="P5:P6"/>
    <mergeCell ref="Q5:Q6"/>
    <mergeCell ref="R5:R6"/>
    <mergeCell ref="B1:N1"/>
    <mergeCell ref="B2:X2"/>
    <mergeCell ref="C5:D5"/>
    <mergeCell ref="F5:F6"/>
    <mergeCell ref="G5:G6"/>
    <mergeCell ref="H5:H6"/>
    <mergeCell ref="I5:I6"/>
    <mergeCell ref="J5:J6"/>
    <mergeCell ref="K5:K6"/>
    <mergeCell ref="L5:L6"/>
    <mergeCell ref="C6:D6"/>
    <mergeCell ref="S5:S6"/>
  </mergeCells>
  <conditionalFormatting sqref="F8:X26">
    <cfRule type="cellIs" dxfId="9" priority="7" operator="equal">
      <formula>0</formula>
    </cfRule>
    <cfRule type="cellIs" dxfId="8" priority="8" operator="equal">
      <formula>2</formula>
    </cfRule>
    <cfRule type="cellIs" dxfId="7" priority="9" operator="equal">
      <formula>0.5</formula>
    </cfRule>
    <cfRule type="cellIs" dxfId="6" priority="10" operator="equal">
      <formula>1</formula>
    </cfRule>
  </conditionalFormatting>
  <conditionalFormatting sqref="AB16:AE17">
    <cfRule type="containsText" dxfId="5" priority="1" operator="containsText" text="100%">
      <formula>NOT(ISERROR(SEARCH("100%",AB16)))</formula>
    </cfRule>
    <cfRule type="containsText" dxfId="4" priority="2" operator="containsText" text="50%">
      <formula>NOT(ISERROR(SEARCH("50%",AB16)))</formula>
    </cfRule>
    <cfRule type="containsText" dxfId="3" priority="3" operator="containsText" text="25%">
      <formula>NOT(ISERROR(SEARCH("25%",AB16)))</formula>
    </cfRule>
    <cfRule type="containsText" dxfId="2" priority="4" operator="containsText" text="200%">
      <formula>NOT(ISERROR(SEARCH("200%",AB16)))</formula>
    </cfRule>
    <cfRule type="containsText" dxfId="1" priority="5" operator="containsText" text="400%">
      <formula>NOT(ISERROR(SEARCH("400%",AB16)))</formula>
    </cfRule>
    <cfRule type="containsText" dxfId="0" priority="6" operator="containsText" text="0%">
      <formula>NOT(ISERROR(SEARCH("0%",AB16)))</formula>
    </cfRule>
  </conditionalFormatting>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DC5A13D-4C9F-47D2-B55F-8767596DECB0}">
          <x14:formula1>
            <xm:f>Lists!$A$2:$A$30</xm:f>
          </x14:formula1>
          <xm:sqref>AD8:AE13</xm:sqref>
        </x14:dataValidation>
        <x14:dataValidation type="list" allowBlank="1" showInputMessage="1" showErrorMessage="1" xr:uid="{F5BE2709-65BF-4793-9D59-B13511119820}">
          <x14:formula1>
            <xm:f>Lists!$B$2:$B$2000</xm:f>
          </x14:formula1>
          <xm:sqref>AB20:AE20</xm:sqref>
        </x14:dataValidation>
        <x14:dataValidation type="list" allowBlank="1" showInputMessage="1" showErrorMessage="1" xr:uid="{4CA6A7A6-B06A-4235-A953-9675A8053FE8}">
          <x14:formula1>
            <xm:f>Lists!$C$2:$C$2000</xm:f>
          </x14:formula1>
          <xm:sqref>AB23:AE23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7490D-EC94-49FF-A20F-AA24AB2477F4}">
  <sheetPr codeName="Lists">
    <tabColor theme="1"/>
  </sheetPr>
  <dimension ref="A1:F2000"/>
  <sheetViews>
    <sheetView workbookViewId="0">
      <selection activeCell="D2" sqref="D2"/>
    </sheetView>
  </sheetViews>
  <sheetFormatPr defaultRowHeight="15" x14ac:dyDescent="0.25"/>
  <cols>
    <col min="2" max="2" width="10.42578125" bestFit="1" customWidth="1"/>
    <col min="3" max="3" width="10.28515625" customWidth="1"/>
    <col min="4" max="4" width="14.7109375" customWidth="1"/>
  </cols>
  <sheetData>
    <row r="1" spans="1:6" x14ac:dyDescent="0.25">
      <c r="A1" s="10" t="s">
        <v>5</v>
      </c>
      <c r="B1" s="10" t="s">
        <v>4</v>
      </c>
      <c r="C1" s="10" t="s">
        <v>6</v>
      </c>
      <c r="D1" s="10" t="s">
        <v>50</v>
      </c>
      <c r="E1" s="10" t="s">
        <v>25</v>
      </c>
      <c r="F1" s="10" t="s">
        <v>49</v>
      </c>
    </row>
    <row r="2" spans="1:6" x14ac:dyDescent="0.25">
      <c r="A2" s="11" t="str">
        <f>[1]TypeChart!A2</f>
        <v>Normal</v>
      </c>
      <c r="B2" s="11" t="str">
        <f>[1]Pokemon!C2</f>
        <v>Bulbasaur</v>
      </c>
      <c r="C2" s="11" t="str">
        <f>[1]Moves!B2</f>
        <v>10 000 000 Volt Thunderbolt</v>
      </c>
      <c r="D2" t="s">
        <v>19</v>
      </c>
      <c r="E2" t="s">
        <v>42</v>
      </c>
      <c r="F2" t="s">
        <v>40</v>
      </c>
    </row>
    <row r="3" spans="1:6" x14ac:dyDescent="0.25">
      <c r="A3" s="11" t="str">
        <f>[1]TypeChart!A3</f>
        <v>Fire</v>
      </c>
      <c r="B3" s="11" t="str">
        <f>[1]Pokemon!C3</f>
        <v>Ivysaur</v>
      </c>
      <c r="C3" s="11" t="str">
        <f>[1]Moves!B3</f>
        <v>Absorb</v>
      </c>
      <c r="D3" t="s">
        <v>18</v>
      </c>
      <c r="E3" t="s">
        <v>43</v>
      </c>
      <c r="F3" t="s">
        <v>41</v>
      </c>
    </row>
    <row r="4" spans="1:6" x14ac:dyDescent="0.25">
      <c r="A4" s="11" t="str">
        <f>[1]TypeChart!A4</f>
        <v>Water</v>
      </c>
      <c r="B4" s="11" t="str">
        <f>[1]Pokemon!C4</f>
        <v>Venusaur</v>
      </c>
      <c r="C4" s="11" t="str">
        <f>[1]Moves!B4</f>
        <v>Accelerock</v>
      </c>
      <c r="F4" t="s">
        <v>48</v>
      </c>
    </row>
    <row r="5" spans="1:6" x14ac:dyDescent="0.25">
      <c r="A5" s="11" t="str">
        <f>[1]TypeChart!A5</f>
        <v>Grass</v>
      </c>
      <c r="B5" s="11" t="str">
        <f>[1]Pokemon!C5</f>
        <v>Venusaur Gmax</v>
      </c>
      <c r="C5" s="11" t="str">
        <f>[1]Moves!B5</f>
        <v>Acid</v>
      </c>
    </row>
    <row r="6" spans="1:6" x14ac:dyDescent="0.25">
      <c r="A6" s="11" t="str">
        <f>[1]TypeChart!A6</f>
        <v>Electric</v>
      </c>
      <c r="B6" s="11" t="str">
        <f>[1]Pokemon!C6</f>
        <v>Venusaur Mega</v>
      </c>
      <c r="C6" s="11" t="str">
        <f>[1]Moves!B6</f>
        <v>Acid Armor</v>
      </c>
    </row>
    <row r="7" spans="1:6" x14ac:dyDescent="0.25">
      <c r="A7" s="11" t="str">
        <f>[1]TypeChart!A7</f>
        <v>Ice</v>
      </c>
      <c r="B7" s="11" t="str">
        <f>[1]Pokemon!C7</f>
        <v>Charmander</v>
      </c>
      <c r="C7" s="11" t="str">
        <f>[1]Moves!B7</f>
        <v>Acid Downpour Physical</v>
      </c>
    </row>
    <row r="8" spans="1:6" x14ac:dyDescent="0.25">
      <c r="A8" s="11" t="str">
        <f>[1]TypeChart!A8</f>
        <v>Fighting</v>
      </c>
      <c r="B8" s="11" t="str">
        <f>[1]Pokemon!C8</f>
        <v>Charmeleon</v>
      </c>
      <c r="C8" s="11" t="str">
        <f>[1]Moves!B8</f>
        <v>Acid Downpour Special</v>
      </c>
    </row>
    <row r="9" spans="1:6" x14ac:dyDescent="0.25">
      <c r="A9" s="11" t="str">
        <f>[1]TypeChart!A9</f>
        <v>Poison</v>
      </c>
      <c r="B9" s="11" t="str">
        <f>[1]Pokemon!C9</f>
        <v>Charizard</v>
      </c>
      <c r="C9" s="11" t="str">
        <f>[1]Moves!B9</f>
        <v>Acid Spray</v>
      </c>
    </row>
    <row r="10" spans="1:6" x14ac:dyDescent="0.25">
      <c r="A10" s="11" t="str">
        <f>[1]TypeChart!A10</f>
        <v>Ground</v>
      </c>
      <c r="B10" s="11" t="str">
        <f>[1]Pokemon!C10</f>
        <v>Charizard Gmax</v>
      </c>
      <c r="C10" s="11" t="str">
        <f>[1]Moves!B10</f>
        <v>Acrobatics</v>
      </c>
    </row>
    <row r="11" spans="1:6" x14ac:dyDescent="0.25">
      <c r="A11" s="11" t="str">
        <f>[1]TypeChart!A11</f>
        <v>Flying</v>
      </c>
      <c r="B11" s="11" t="str">
        <f>[1]Pokemon!C11</f>
        <v>Charizard Mega X</v>
      </c>
      <c r="C11" s="11" t="str">
        <f>[1]Moves!B11</f>
        <v>Acupressure</v>
      </c>
    </row>
    <row r="12" spans="1:6" x14ac:dyDescent="0.25">
      <c r="A12" s="11" t="str">
        <f>[1]TypeChart!A12</f>
        <v>Psychic</v>
      </c>
      <c r="B12" s="11" t="str">
        <f>[1]Pokemon!C12</f>
        <v>Charizard Mega Y</v>
      </c>
      <c r="C12" s="11" t="str">
        <f>[1]Moves!B12</f>
        <v>Aerial Ace</v>
      </c>
    </row>
    <row r="13" spans="1:6" x14ac:dyDescent="0.25">
      <c r="A13" s="11" t="str">
        <f>[1]TypeChart!A13</f>
        <v>Bug</v>
      </c>
      <c r="B13" s="11" t="str">
        <f>[1]Pokemon!C13</f>
        <v>Squirtle</v>
      </c>
      <c r="C13" s="11" t="str">
        <f>[1]Moves!B13</f>
        <v>Aeroblast</v>
      </c>
    </row>
    <row r="14" spans="1:6" x14ac:dyDescent="0.25">
      <c r="A14" s="11" t="str">
        <f>[1]TypeChart!A14</f>
        <v>Rock</v>
      </c>
      <c r="B14" s="11" t="str">
        <f>[1]Pokemon!C14</f>
        <v>Wartortle</v>
      </c>
      <c r="C14" s="11" t="str">
        <f>[1]Moves!B14</f>
        <v>After You</v>
      </c>
    </row>
    <row r="15" spans="1:6" x14ac:dyDescent="0.25">
      <c r="A15" s="11" t="str">
        <f>[1]TypeChart!A15</f>
        <v>Ghost</v>
      </c>
      <c r="B15" s="11" t="str">
        <f>[1]Pokemon!C15</f>
        <v>Blastoise</v>
      </c>
      <c r="C15" s="11" t="str">
        <f>[1]Moves!B15</f>
        <v>Agility</v>
      </c>
    </row>
    <row r="16" spans="1:6" x14ac:dyDescent="0.25">
      <c r="A16" s="11" t="str">
        <f>[1]TypeChart!A16</f>
        <v>Dragon</v>
      </c>
      <c r="B16" s="11" t="str">
        <f>[1]Pokemon!C16</f>
        <v>Blastoise Gmax</v>
      </c>
      <c r="C16" s="11" t="str">
        <f>[1]Moves!B16</f>
        <v>Air Cutter</v>
      </c>
    </row>
    <row r="17" spans="1:3" x14ac:dyDescent="0.25">
      <c r="A17" s="11" t="str">
        <f>[1]TypeChart!A17</f>
        <v>Dark</v>
      </c>
      <c r="B17" s="11" t="str">
        <f>[1]Pokemon!C17</f>
        <v>Blastoise Mega</v>
      </c>
      <c r="C17" s="11" t="str">
        <f>[1]Moves!B17</f>
        <v>Air Slash</v>
      </c>
    </row>
    <row r="18" spans="1:3" x14ac:dyDescent="0.25">
      <c r="A18" s="11" t="str">
        <f>[1]TypeChart!A18</f>
        <v>Steel</v>
      </c>
      <c r="B18" s="11" t="str">
        <f>[1]Pokemon!C18</f>
        <v>Caterpie</v>
      </c>
      <c r="C18" s="11" t="str">
        <f>[1]Moves!B18</f>
        <v>All Out Pummeling Physical</v>
      </c>
    </row>
    <row r="19" spans="1:3" x14ac:dyDescent="0.25">
      <c r="A19" s="11" t="str">
        <f>[1]TypeChart!A19</f>
        <v>Fairy</v>
      </c>
      <c r="B19" s="11" t="str">
        <f>[1]Pokemon!C19</f>
        <v>Metapod</v>
      </c>
      <c r="C19" s="11" t="str">
        <f>[1]Moves!B19</f>
        <v>All Out Pummeling Special</v>
      </c>
    </row>
    <row r="20" spans="1:3" x14ac:dyDescent="0.25">
      <c r="A20" s="11" t="str">
        <f>[1]TypeChart!A20</f>
        <v>Stellar</v>
      </c>
      <c r="B20" s="11" t="str">
        <f>[1]Pokemon!C20</f>
        <v>Butterfree</v>
      </c>
      <c r="C20" s="11" t="str">
        <f>[1]Moves!B20</f>
        <v>Alluring Voice</v>
      </c>
    </row>
    <row r="21" spans="1:3" x14ac:dyDescent="0.25">
      <c r="A21" s="11">
        <f>[1]TypeChart!A21</f>
        <v>0</v>
      </c>
      <c r="B21" s="11" t="str">
        <f>[1]Pokemon!C21</f>
        <v>Butterfree Gmax</v>
      </c>
      <c r="C21" s="11" t="str">
        <f>[1]Moves!B21</f>
        <v>Ally Switch</v>
      </c>
    </row>
    <row r="22" spans="1:3" x14ac:dyDescent="0.25">
      <c r="A22" s="11">
        <f>[1]TypeChart!A22</f>
        <v>0</v>
      </c>
      <c r="B22" s="11" t="str">
        <f>[1]Pokemon!C22</f>
        <v>Weedle</v>
      </c>
      <c r="C22" s="11" t="str">
        <f>[1]Moves!B22</f>
        <v>Amnesia</v>
      </c>
    </row>
    <row r="23" spans="1:3" x14ac:dyDescent="0.25">
      <c r="A23" s="11">
        <f>[1]TypeChart!A23</f>
        <v>0</v>
      </c>
      <c r="B23" s="11" t="str">
        <f>[1]Pokemon!C23</f>
        <v>Kakuna</v>
      </c>
      <c r="C23" s="11" t="str">
        <f>[1]Moves!B23</f>
        <v>Anchor Shot</v>
      </c>
    </row>
    <row r="24" spans="1:3" x14ac:dyDescent="0.25">
      <c r="A24" s="11">
        <f>[1]TypeChart!A24</f>
        <v>0</v>
      </c>
      <c r="B24" s="11" t="str">
        <f>[1]Pokemon!C24</f>
        <v>Beedrill</v>
      </c>
      <c r="C24" s="11" t="str">
        <f>[1]Moves!B24</f>
        <v>Ancient Power</v>
      </c>
    </row>
    <row r="25" spans="1:3" x14ac:dyDescent="0.25">
      <c r="A25" s="11">
        <f>[1]TypeChart!A25</f>
        <v>0</v>
      </c>
      <c r="B25" s="11" t="str">
        <f>[1]Pokemon!C25</f>
        <v>Beedrill Mega</v>
      </c>
      <c r="C25" s="11" t="str">
        <f>[1]Moves!B25</f>
        <v>Apple Acid</v>
      </c>
    </row>
    <row r="26" spans="1:3" x14ac:dyDescent="0.25">
      <c r="A26" s="11">
        <f>[1]TypeChart!A26</f>
        <v>0</v>
      </c>
      <c r="B26" s="11" t="str">
        <f>[1]Pokemon!C26</f>
        <v>Pidgey</v>
      </c>
      <c r="C26" s="11" t="str">
        <f>[1]Moves!B26</f>
        <v>Aqua Cutter</v>
      </c>
    </row>
    <row r="27" spans="1:3" x14ac:dyDescent="0.25">
      <c r="A27" s="11">
        <f>[1]TypeChart!A27</f>
        <v>0</v>
      </c>
      <c r="B27" s="11" t="str">
        <f>[1]Pokemon!C27</f>
        <v>Pidgeotto</v>
      </c>
      <c r="C27" s="11" t="str">
        <f>[1]Moves!B27</f>
        <v>Aqua Jet</v>
      </c>
    </row>
    <row r="28" spans="1:3" x14ac:dyDescent="0.25">
      <c r="A28" s="11">
        <f>[1]TypeChart!A28</f>
        <v>0</v>
      </c>
      <c r="B28" s="11" t="str">
        <f>[1]Pokemon!C28</f>
        <v>Pidgeot</v>
      </c>
      <c r="C28" s="11" t="str">
        <f>[1]Moves!B28</f>
        <v>Aqua Ring</v>
      </c>
    </row>
    <row r="29" spans="1:3" x14ac:dyDescent="0.25">
      <c r="A29" s="11">
        <f>[1]TypeChart!A29</f>
        <v>0</v>
      </c>
      <c r="B29" s="11" t="str">
        <f>[1]Pokemon!C29</f>
        <v>Pidgeot Mega</v>
      </c>
      <c r="C29" s="11" t="str">
        <f>[1]Moves!B29</f>
        <v>Aqua Step</v>
      </c>
    </row>
    <row r="30" spans="1:3" x14ac:dyDescent="0.25">
      <c r="A30" s="11">
        <f>[1]TypeChart!A30</f>
        <v>0</v>
      </c>
      <c r="B30" s="11" t="str">
        <f>[1]Pokemon!C30</f>
        <v>Rattata</v>
      </c>
      <c r="C30" s="11" t="str">
        <f>[1]Moves!B30</f>
        <v>Aqua Tail</v>
      </c>
    </row>
    <row r="31" spans="1:3" x14ac:dyDescent="0.25">
      <c r="B31" s="11" t="str">
        <f>[1]Pokemon!C31</f>
        <v>Rattata Alola</v>
      </c>
      <c r="C31" s="11" t="str">
        <f>[1]Moves!B31</f>
        <v>Arm Thrust</v>
      </c>
    </row>
    <row r="32" spans="1:3" x14ac:dyDescent="0.25">
      <c r="B32" s="11" t="str">
        <f>[1]Pokemon!C32</f>
        <v>Raticate</v>
      </c>
      <c r="C32" s="11" t="str">
        <f>[1]Moves!B32</f>
        <v>Armor Cannon</v>
      </c>
    </row>
    <row r="33" spans="2:3" x14ac:dyDescent="0.25">
      <c r="B33" s="11" t="str">
        <f>[1]Pokemon!C33</f>
        <v>Raticate Alola</v>
      </c>
      <c r="C33" s="11" t="str">
        <f>[1]Moves!B33</f>
        <v>Aromatherapy</v>
      </c>
    </row>
    <row r="34" spans="2:3" x14ac:dyDescent="0.25">
      <c r="B34" s="11" t="str">
        <f>[1]Pokemon!C34</f>
        <v>Raticate Totem Alola</v>
      </c>
      <c r="C34" s="11" t="str">
        <f>[1]Moves!B34</f>
        <v>Aromatic Mist</v>
      </c>
    </row>
    <row r="35" spans="2:3" x14ac:dyDescent="0.25">
      <c r="B35" s="11" t="str">
        <f>[1]Pokemon!C35</f>
        <v>Spearow</v>
      </c>
      <c r="C35" s="11" t="str">
        <f>[1]Moves!B35</f>
        <v>Assist</v>
      </c>
    </row>
    <row r="36" spans="2:3" x14ac:dyDescent="0.25">
      <c r="B36" s="11" t="str">
        <f>[1]Pokemon!C36</f>
        <v>Fearow</v>
      </c>
      <c r="C36" s="11" t="str">
        <f>[1]Moves!B36</f>
        <v>Assurance</v>
      </c>
    </row>
    <row r="37" spans="2:3" x14ac:dyDescent="0.25">
      <c r="B37" s="11" t="str">
        <f>[1]Pokemon!C37</f>
        <v>Ekans</v>
      </c>
      <c r="C37" s="11" t="str">
        <f>[1]Moves!B37</f>
        <v>Astonish</v>
      </c>
    </row>
    <row r="38" spans="2:3" x14ac:dyDescent="0.25">
      <c r="B38" s="11" t="str">
        <f>[1]Pokemon!C38</f>
        <v>Arbok</v>
      </c>
      <c r="C38" s="11" t="str">
        <f>[1]Moves!B38</f>
        <v>Astral Barrage</v>
      </c>
    </row>
    <row r="39" spans="2:3" x14ac:dyDescent="0.25">
      <c r="B39" s="11" t="str">
        <f>[1]Pokemon!C39</f>
        <v>Pikachu</v>
      </c>
      <c r="C39" s="11" t="str">
        <f>[1]Moves!B39</f>
        <v>Attack Order</v>
      </c>
    </row>
    <row r="40" spans="2:3" x14ac:dyDescent="0.25">
      <c r="B40" s="11" t="str">
        <f>[1]Pokemon!C40</f>
        <v>Pikachu Alola Cap</v>
      </c>
      <c r="C40" s="11" t="str">
        <f>[1]Moves!B40</f>
        <v>Attract</v>
      </c>
    </row>
    <row r="41" spans="2:3" x14ac:dyDescent="0.25">
      <c r="B41" s="11" t="str">
        <f>[1]Pokemon!C41</f>
        <v>Pikachu Belle</v>
      </c>
      <c r="C41" s="11" t="str">
        <f>[1]Moves!B41</f>
        <v>Aura Sphere</v>
      </c>
    </row>
    <row r="42" spans="2:3" x14ac:dyDescent="0.25">
      <c r="B42" s="11" t="str">
        <f>[1]Pokemon!C42</f>
        <v>Pikachu Cosplay</v>
      </c>
      <c r="C42" s="11" t="str">
        <f>[1]Moves!B42</f>
        <v>Aura Wheel</v>
      </c>
    </row>
    <row r="43" spans="2:3" x14ac:dyDescent="0.25">
      <c r="B43" s="11" t="str">
        <f>[1]Pokemon!C43</f>
        <v>Pikachu Gmax</v>
      </c>
      <c r="C43" s="11" t="str">
        <f>[1]Moves!B43</f>
        <v>Aurora Beam</v>
      </c>
    </row>
    <row r="44" spans="2:3" x14ac:dyDescent="0.25">
      <c r="B44" s="11" t="str">
        <f>[1]Pokemon!C44</f>
        <v>Pikachu Hoenn Cap</v>
      </c>
      <c r="C44" s="11" t="str">
        <f>[1]Moves!B44</f>
        <v>Aurora Veil</v>
      </c>
    </row>
    <row r="45" spans="2:3" x14ac:dyDescent="0.25">
      <c r="B45" s="11" t="str">
        <f>[1]Pokemon!C45</f>
        <v>Pikachu Kalos Cap</v>
      </c>
      <c r="C45" s="11" t="str">
        <f>[1]Moves!B45</f>
        <v>Autotomize</v>
      </c>
    </row>
    <row r="46" spans="2:3" x14ac:dyDescent="0.25">
      <c r="B46" s="11" t="str">
        <f>[1]Pokemon!C46</f>
        <v>Pikachu Libre</v>
      </c>
      <c r="C46" s="11" t="str">
        <f>[1]Moves!B46</f>
        <v>Avalanche</v>
      </c>
    </row>
    <row r="47" spans="2:3" x14ac:dyDescent="0.25">
      <c r="B47" s="11" t="str">
        <f>[1]Pokemon!C47</f>
        <v>Pikachu Original Cap</v>
      </c>
      <c r="C47" s="11" t="str">
        <f>[1]Moves!B47</f>
        <v>Axe Kick</v>
      </c>
    </row>
    <row r="48" spans="2:3" x14ac:dyDescent="0.25">
      <c r="B48" s="11" t="str">
        <f>[1]Pokemon!C48</f>
        <v>Pikachu Partner Cap</v>
      </c>
      <c r="C48" s="11" t="str">
        <f>[1]Moves!B48</f>
        <v>Baby Doll Eyes</v>
      </c>
    </row>
    <row r="49" spans="2:3" x14ac:dyDescent="0.25">
      <c r="B49" s="11" t="str">
        <f>[1]Pokemon!C49</f>
        <v>Pikachu Phd</v>
      </c>
      <c r="C49" s="11" t="str">
        <f>[1]Moves!B49</f>
        <v>Baddy Bad</v>
      </c>
    </row>
    <row r="50" spans="2:3" x14ac:dyDescent="0.25">
      <c r="B50" s="11" t="str">
        <f>[1]Pokemon!C50</f>
        <v>Pikachu Pop Star</v>
      </c>
      <c r="C50" s="11" t="str">
        <f>[1]Moves!B50</f>
        <v>Baneful Bunker</v>
      </c>
    </row>
    <row r="51" spans="2:3" x14ac:dyDescent="0.25">
      <c r="B51" s="11" t="str">
        <f>[1]Pokemon!C51</f>
        <v>Pikachu Rock Star</v>
      </c>
      <c r="C51" s="11" t="str">
        <f>[1]Moves!B51</f>
        <v>Barb Barrage</v>
      </c>
    </row>
    <row r="52" spans="2:3" x14ac:dyDescent="0.25">
      <c r="B52" s="11" t="str">
        <f>[1]Pokemon!C52</f>
        <v>Pikachu Sinnoh Cap</v>
      </c>
      <c r="C52" s="11" t="str">
        <f>[1]Moves!B52</f>
        <v>Barrage</v>
      </c>
    </row>
    <row r="53" spans="2:3" x14ac:dyDescent="0.25">
      <c r="B53" s="11" t="str">
        <f>[1]Pokemon!C53</f>
        <v>Pikachu Starter</v>
      </c>
      <c r="C53" s="11" t="str">
        <f>[1]Moves!B53</f>
        <v>Barrier</v>
      </c>
    </row>
    <row r="54" spans="2:3" x14ac:dyDescent="0.25">
      <c r="B54" s="11" t="str">
        <f>[1]Pokemon!C54</f>
        <v>Pikachu Unova Cap</v>
      </c>
      <c r="C54" s="11" t="str">
        <f>[1]Moves!B54</f>
        <v>Baton Pass</v>
      </c>
    </row>
    <row r="55" spans="2:3" x14ac:dyDescent="0.25">
      <c r="B55" s="11" t="str">
        <f>[1]Pokemon!C55</f>
        <v>Pikachu World Cap</v>
      </c>
      <c r="C55" s="11" t="str">
        <f>[1]Moves!B55</f>
        <v>Beak Blast</v>
      </c>
    </row>
    <row r="56" spans="2:3" x14ac:dyDescent="0.25">
      <c r="B56" s="11" t="str">
        <f>[1]Pokemon!C56</f>
        <v>Raichu</v>
      </c>
      <c r="C56" s="11" t="str">
        <f>[1]Moves!B56</f>
        <v>Beat Up</v>
      </c>
    </row>
    <row r="57" spans="2:3" x14ac:dyDescent="0.25">
      <c r="B57" s="11" t="str">
        <f>[1]Pokemon!C57</f>
        <v>Raichu Alola</v>
      </c>
      <c r="C57" s="11" t="str">
        <f>[1]Moves!B57</f>
        <v>Behemoth Bash</v>
      </c>
    </row>
    <row r="58" spans="2:3" x14ac:dyDescent="0.25">
      <c r="B58" s="11" t="str">
        <f>[1]Pokemon!C58</f>
        <v>Raichu Mega X</v>
      </c>
      <c r="C58" s="11" t="str">
        <f>[1]Moves!B58</f>
        <v>Behemoth Blade</v>
      </c>
    </row>
    <row r="59" spans="2:3" x14ac:dyDescent="0.25">
      <c r="B59" s="11" t="str">
        <f>[1]Pokemon!C59</f>
        <v>Raichu Mega Y</v>
      </c>
      <c r="C59" s="11" t="str">
        <f>[1]Moves!B59</f>
        <v>Belch</v>
      </c>
    </row>
    <row r="60" spans="2:3" x14ac:dyDescent="0.25">
      <c r="B60" s="11" t="str">
        <f>[1]Pokemon!C60</f>
        <v>Sandshrew</v>
      </c>
      <c r="C60" s="11" t="str">
        <f>[1]Moves!B60</f>
        <v>Belly Drum</v>
      </c>
    </row>
    <row r="61" spans="2:3" x14ac:dyDescent="0.25">
      <c r="B61" s="11" t="str">
        <f>[1]Pokemon!C61</f>
        <v>Sandshrew Alola</v>
      </c>
      <c r="C61" s="11" t="str">
        <f>[1]Moves!B61</f>
        <v>Bestow</v>
      </c>
    </row>
    <row r="62" spans="2:3" x14ac:dyDescent="0.25">
      <c r="B62" s="11" t="str">
        <f>[1]Pokemon!C62</f>
        <v>Sandslash</v>
      </c>
      <c r="C62" s="11" t="str">
        <f>[1]Moves!B62</f>
        <v>Bide</v>
      </c>
    </row>
    <row r="63" spans="2:3" x14ac:dyDescent="0.25">
      <c r="B63" s="11" t="str">
        <f>[1]Pokemon!C63</f>
        <v>Sandslash Alola</v>
      </c>
      <c r="C63" s="11" t="str">
        <f>[1]Moves!B63</f>
        <v>Bind</v>
      </c>
    </row>
    <row r="64" spans="2:3" x14ac:dyDescent="0.25">
      <c r="B64" s="11" t="str">
        <f>[1]Pokemon!C64</f>
        <v>Nidoran F</v>
      </c>
      <c r="C64" s="11" t="str">
        <f>[1]Moves!B64</f>
        <v>Bite</v>
      </c>
    </row>
    <row r="65" spans="2:3" x14ac:dyDescent="0.25">
      <c r="B65" s="11" t="str">
        <f>[1]Pokemon!C65</f>
        <v>Nidorina</v>
      </c>
      <c r="C65" s="11" t="str">
        <f>[1]Moves!B65</f>
        <v>Bitter Blade</v>
      </c>
    </row>
    <row r="66" spans="2:3" x14ac:dyDescent="0.25">
      <c r="B66" s="11" t="str">
        <f>[1]Pokemon!C66</f>
        <v>Nidoqueen</v>
      </c>
      <c r="C66" s="11" t="str">
        <f>[1]Moves!B66</f>
        <v>Bitter Malice</v>
      </c>
    </row>
    <row r="67" spans="2:3" x14ac:dyDescent="0.25">
      <c r="B67" s="11" t="str">
        <f>[1]Pokemon!C67</f>
        <v>Nidoran M</v>
      </c>
      <c r="C67" s="11" t="str">
        <f>[1]Moves!B67</f>
        <v>Black Hole Eclipse Physical</v>
      </c>
    </row>
    <row r="68" spans="2:3" x14ac:dyDescent="0.25">
      <c r="B68" s="11" t="str">
        <f>[1]Pokemon!C68</f>
        <v>Nidorino</v>
      </c>
      <c r="C68" s="11" t="str">
        <f>[1]Moves!B68</f>
        <v>Black Hole Eclipse Special</v>
      </c>
    </row>
    <row r="69" spans="2:3" x14ac:dyDescent="0.25">
      <c r="B69" s="11" t="str">
        <f>[1]Pokemon!C69</f>
        <v>Nidoking</v>
      </c>
      <c r="C69" s="11" t="str">
        <f>[1]Moves!B69</f>
        <v>Blast Burn</v>
      </c>
    </row>
    <row r="70" spans="2:3" x14ac:dyDescent="0.25">
      <c r="B70" s="11" t="str">
        <f>[1]Pokemon!C70</f>
        <v>Clefairy</v>
      </c>
      <c r="C70" s="11" t="str">
        <f>[1]Moves!B70</f>
        <v>Blaze Kick</v>
      </c>
    </row>
    <row r="71" spans="2:3" x14ac:dyDescent="0.25">
      <c r="B71" s="11" t="str">
        <f>[1]Pokemon!C71</f>
        <v>Clefable</v>
      </c>
      <c r="C71" s="11" t="str">
        <f>[1]Moves!B71</f>
        <v>Blazing Torque</v>
      </c>
    </row>
    <row r="72" spans="2:3" x14ac:dyDescent="0.25">
      <c r="B72" s="11" t="str">
        <f>[1]Pokemon!C72</f>
        <v>Clefable Mega</v>
      </c>
      <c r="C72" s="11" t="str">
        <f>[1]Moves!B72</f>
        <v>Bleakwind Storm</v>
      </c>
    </row>
    <row r="73" spans="2:3" x14ac:dyDescent="0.25">
      <c r="B73" s="11" t="str">
        <f>[1]Pokemon!C73</f>
        <v>Vulpix</v>
      </c>
      <c r="C73" s="11" t="str">
        <f>[1]Moves!B73</f>
        <v>Blizzard</v>
      </c>
    </row>
    <row r="74" spans="2:3" x14ac:dyDescent="0.25">
      <c r="B74" s="11" t="str">
        <f>[1]Pokemon!C74</f>
        <v>Vulpix Alola</v>
      </c>
      <c r="C74" s="11" t="str">
        <f>[1]Moves!B74</f>
        <v>Block</v>
      </c>
    </row>
    <row r="75" spans="2:3" x14ac:dyDescent="0.25">
      <c r="B75" s="11" t="str">
        <f>[1]Pokemon!C75</f>
        <v>Ninetales</v>
      </c>
      <c r="C75" s="11" t="str">
        <f>[1]Moves!B75</f>
        <v>Blood Moon</v>
      </c>
    </row>
    <row r="76" spans="2:3" x14ac:dyDescent="0.25">
      <c r="B76" s="11" t="str">
        <f>[1]Pokemon!C76</f>
        <v>Ninetales Alola</v>
      </c>
      <c r="C76" s="11" t="str">
        <f>[1]Moves!B76</f>
        <v>Bloom Doom Physical</v>
      </c>
    </row>
    <row r="77" spans="2:3" x14ac:dyDescent="0.25">
      <c r="B77" s="11" t="str">
        <f>[1]Pokemon!C77</f>
        <v>Jigglypuff</v>
      </c>
      <c r="C77" s="11" t="str">
        <f>[1]Moves!B77</f>
        <v>Bloom Doom Special</v>
      </c>
    </row>
    <row r="78" spans="2:3" x14ac:dyDescent="0.25">
      <c r="B78" s="11" t="str">
        <f>[1]Pokemon!C78</f>
        <v>Wigglytuff</v>
      </c>
      <c r="C78" s="11" t="str">
        <f>[1]Moves!B78</f>
        <v>Blue Flare</v>
      </c>
    </row>
    <row r="79" spans="2:3" x14ac:dyDescent="0.25">
      <c r="B79" s="11" t="str">
        <f>[1]Pokemon!C79</f>
        <v>Zubat</v>
      </c>
      <c r="C79" s="11" t="str">
        <f>[1]Moves!B79</f>
        <v>Body Press</v>
      </c>
    </row>
    <row r="80" spans="2:3" x14ac:dyDescent="0.25">
      <c r="B80" s="11" t="str">
        <f>[1]Pokemon!C80</f>
        <v>Golbat</v>
      </c>
      <c r="C80" s="11" t="str">
        <f>[1]Moves!B80</f>
        <v>Body Slam</v>
      </c>
    </row>
    <row r="81" spans="2:3" x14ac:dyDescent="0.25">
      <c r="B81" s="11" t="str">
        <f>[1]Pokemon!C81</f>
        <v>Oddish</v>
      </c>
      <c r="C81" s="11" t="str">
        <f>[1]Moves!B81</f>
        <v>Bolt Beak</v>
      </c>
    </row>
    <row r="82" spans="2:3" x14ac:dyDescent="0.25">
      <c r="B82" s="11" t="str">
        <f>[1]Pokemon!C82</f>
        <v>Gloom</v>
      </c>
      <c r="C82" s="11" t="str">
        <f>[1]Moves!B82</f>
        <v>Bolt Strike</v>
      </c>
    </row>
    <row r="83" spans="2:3" x14ac:dyDescent="0.25">
      <c r="B83" s="11" t="str">
        <f>[1]Pokemon!C83</f>
        <v>Vileplume</v>
      </c>
      <c r="C83" s="11" t="str">
        <f>[1]Moves!B83</f>
        <v>Bone Club</v>
      </c>
    </row>
    <row r="84" spans="2:3" x14ac:dyDescent="0.25">
      <c r="B84" s="11" t="str">
        <f>[1]Pokemon!C84</f>
        <v>Paras</v>
      </c>
      <c r="C84" s="11" t="str">
        <f>[1]Moves!B84</f>
        <v>Bone Rush</v>
      </c>
    </row>
    <row r="85" spans="2:3" x14ac:dyDescent="0.25">
      <c r="B85" s="11" t="str">
        <f>[1]Pokemon!C85</f>
        <v>Parasect</v>
      </c>
      <c r="C85" s="11" t="str">
        <f>[1]Moves!B85</f>
        <v>Bonemerang</v>
      </c>
    </row>
    <row r="86" spans="2:3" x14ac:dyDescent="0.25">
      <c r="B86" s="11" t="str">
        <f>[1]Pokemon!C86</f>
        <v>Venonat</v>
      </c>
      <c r="C86" s="11" t="str">
        <f>[1]Moves!B86</f>
        <v>Boomburst</v>
      </c>
    </row>
    <row r="87" spans="2:3" x14ac:dyDescent="0.25">
      <c r="B87" s="11" t="str">
        <f>[1]Pokemon!C87</f>
        <v>Venomoth</v>
      </c>
      <c r="C87" s="11" t="str">
        <f>[1]Moves!B87</f>
        <v>Bounce</v>
      </c>
    </row>
    <row r="88" spans="2:3" x14ac:dyDescent="0.25">
      <c r="B88" s="11" t="str">
        <f>[1]Pokemon!C88</f>
        <v>Diglett</v>
      </c>
      <c r="C88" s="11" t="str">
        <f>[1]Moves!B88</f>
        <v>Bouncy Bubble</v>
      </c>
    </row>
    <row r="89" spans="2:3" x14ac:dyDescent="0.25">
      <c r="B89" s="11" t="str">
        <f>[1]Pokemon!C89</f>
        <v>Diglett Alola</v>
      </c>
      <c r="C89" s="11" t="str">
        <f>[1]Moves!B89</f>
        <v>Branch Poke</v>
      </c>
    </row>
    <row r="90" spans="2:3" x14ac:dyDescent="0.25">
      <c r="B90" s="11" t="str">
        <f>[1]Pokemon!C90</f>
        <v>Dugtrio</v>
      </c>
      <c r="C90" s="11" t="str">
        <f>[1]Moves!B90</f>
        <v>Brave Bird</v>
      </c>
    </row>
    <row r="91" spans="2:3" x14ac:dyDescent="0.25">
      <c r="B91" s="11" t="str">
        <f>[1]Pokemon!C91</f>
        <v>Dugtrio Alola</v>
      </c>
      <c r="C91" s="11" t="str">
        <f>[1]Moves!B91</f>
        <v>Breaking Swipe</v>
      </c>
    </row>
    <row r="92" spans="2:3" x14ac:dyDescent="0.25">
      <c r="B92" s="11" t="str">
        <f>[1]Pokemon!C92</f>
        <v>Meowth</v>
      </c>
      <c r="C92" s="11" t="str">
        <f>[1]Moves!B92</f>
        <v>Breakneck Blitz Physical</v>
      </c>
    </row>
    <row r="93" spans="2:3" x14ac:dyDescent="0.25">
      <c r="B93" s="11" t="str">
        <f>[1]Pokemon!C93</f>
        <v>Meowth Alola</v>
      </c>
      <c r="C93" s="11" t="str">
        <f>[1]Moves!B93</f>
        <v>Breakneck Blitz Special</v>
      </c>
    </row>
    <row r="94" spans="2:3" x14ac:dyDescent="0.25">
      <c r="B94" s="11" t="str">
        <f>[1]Pokemon!C94</f>
        <v>Meowth Galar</v>
      </c>
      <c r="C94" s="11" t="str">
        <f>[1]Moves!B94</f>
        <v>Brick Break</v>
      </c>
    </row>
    <row r="95" spans="2:3" x14ac:dyDescent="0.25">
      <c r="B95" s="11" t="str">
        <f>[1]Pokemon!C95</f>
        <v>Meowth Gmax</v>
      </c>
      <c r="C95" s="11" t="str">
        <f>[1]Moves!B95</f>
        <v>Brine</v>
      </c>
    </row>
    <row r="96" spans="2:3" x14ac:dyDescent="0.25">
      <c r="B96" s="11" t="str">
        <f>[1]Pokemon!C96</f>
        <v>Persian</v>
      </c>
      <c r="C96" s="11" t="str">
        <f>[1]Moves!B96</f>
        <v>Brutal Swing</v>
      </c>
    </row>
    <row r="97" spans="2:3" x14ac:dyDescent="0.25">
      <c r="B97" s="11" t="str">
        <f>[1]Pokemon!C97</f>
        <v>Persian Alola</v>
      </c>
      <c r="C97" s="11" t="str">
        <f>[1]Moves!B97</f>
        <v>Bubble</v>
      </c>
    </row>
    <row r="98" spans="2:3" x14ac:dyDescent="0.25">
      <c r="B98" s="11" t="str">
        <f>[1]Pokemon!C98</f>
        <v>Psyduck</v>
      </c>
      <c r="C98" s="11" t="str">
        <f>[1]Moves!B98</f>
        <v>Bubble Beam</v>
      </c>
    </row>
    <row r="99" spans="2:3" x14ac:dyDescent="0.25">
      <c r="B99" s="11" t="str">
        <f>[1]Pokemon!C99</f>
        <v>Golduck</v>
      </c>
      <c r="C99" s="11" t="str">
        <f>[1]Moves!B99</f>
        <v>Bug Bite</v>
      </c>
    </row>
    <row r="100" spans="2:3" x14ac:dyDescent="0.25">
      <c r="B100" s="11" t="str">
        <f>[1]Pokemon!C100</f>
        <v>Mankey</v>
      </c>
      <c r="C100" s="11" t="str">
        <f>[1]Moves!B100</f>
        <v>Bug Buzz</v>
      </c>
    </row>
    <row r="101" spans="2:3" x14ac:dyDescent="0.25">
      <c r="B101" s="11" t="str">
        <f>[1]Pokemon!C101</f>
        <v>Primeape</v>
      </c>
      <c r="C101" s="11" t="str">
        <f>[1]Moves!B101</f>
        <v>Bulk Up</v>
      </c>
    </row>
    <row r="102" spans="2:3" x14ac:dyDescent="0.25">
      <c r="B102" s="11" t="str">
        <f>[1]Pokemon!C102</f>
        <v>Growlithe</v>
      </c>
      <c r="C102" s="11" t="str">
        <f>[1]Moves!B102</f>
        <v>Bulldoze</v>
      </c>
    </row>
    <row r="103" spans="2:3" x14ac:dyDescent="0.25">
      <c r="B103" s="11" t="str">
        <f>[1]Pokemon!C103</f>
        <v>Growlithe Hisui</v>
      </c>
      <c r="C103" s="11" t="str">
        <f>[1]Moves!B103</f>
        <v>Bullet Punch</v>
      </c>
    </row>
    <row r="104" spans="2:3" x14ac:dyDescent="0.25">
      <c r="B104" s="11" t="str">
        <f>[1]Pokemon!C104</f>
        <v>Arcanine</v>
      </c>
      <c r="C104" s="11" t="str">
        <f>[1]Moves!B104</f>
        <v>Bullet Seed</v>
      </c>
    </row>
    <row r="105" spans="2:3" x14ac:dyDescent="0.25">
      <c r="B105" s="11" t="str">
        <f>[1]Pokemon!C105</f>
        <v>Arcanine Hisui</v>
      </c>
      <c r="C105" s="11" t="str">
        <f>[1]Moves!B105</f>
        <v>Burn Up</v>
      </c>
    </row>
    <row r="106" spans="2:3" x14ac:dyDescent="0.25">
      <c r="B106" s="11" t="str">
        <f>[1]Pokemon!C106</f>
        <v>Poliwag</v>
      </c>
      <c r="C106" s="11" t="str">
        <f>[1]Moves!B106</f>
        <v>Burning Bulwark</v>
      </c>
    </row>
    <row r="107" spans="2:3" x14ac:dyDescent="0.25">
      <c r="B107" s="11" t="str">
        <f>[1]Pokemon!C107</f>
        <v>Poliwhirl</v>
      </c>
      <c r="C107" s="11" t="str">
        <f>[1]Moves!B107</f>
        <v>Burning Jealousy</v>
      </c>
    </row>
    <row r="108" spans="2:3" x14ac:dyDescent="0.25">
      <c r="B108" s="11" t="str">
        <f>[1]Pokemon!C108</f>
        <v>Poliwrath</v>
      </c>
      <c r="C108" s="11" t="str">
        <f>[1]Moves!B108</f>
        <v>Buzzy Buzz</v>
      </c>
    </row>
    <row r="109" spans="2:3" x14ac:dyDescent="0.25">
      <c r="B109" s="11" t="str">
        <f>[1]Pokemon!C109</f>
        <v>Abra</v>
      </c>
      <c r="C109" s="11" t="str">
        <f>[1]Moves!B109</f>
        <v>Calm Mind</v>
      </c>
    </row>
    <row r="110" spans="2:3" x14ac:dyDescent="0.25">
      <c r="B110" s="11" t="str">
        <f>[1]Pokemon!C110</f>
        <v>Kadabra</v>
      </c>
      <c r="C110" s="11" t="str">
        <f>[1]Moves!B110</f>
        <v>Camouflage</v>
      </c>
    </row>
    <row r="111" spans="2:3" x14ac:dyDescent="0.25">
      <c r="B111" s="11" t="str">
        <f>[1]Pokemon!C111</f>
        <v>Alakazam</v>
      </c>
      <c r="C111" s="11" t="str">
        <f>[1]Moves!B111</f>
        <v>Captivate</v>
      </c>
    </row>
    <row r="112" spans="2:3" x14ac:dyDescent="0.25">
      <c r="B112" s="11" t="str">
        <f>[1]Pokemon!C112</f>
        <v>Alakazam Mega</v>
      </c>
      <c r="C112" s="11" t="str">
        <f>[1]Moves!B112</f>
        <v>Catastropika</v>
      </c>
    </row>
    <row r="113" spans="2:3" x14ac:dyDescent="0.25">
      <c r="B113" s="11" t="str">
        <f>[1]Pokemon!C113</f>
        <v>Machop</v>
      </c>
      <c r="C113" s="11" t="str">
        <f>[1]Moves!B113</f>
        <v>Ceaseless Edge</v>
      </c>
    </row>
    <row r="114" spans="2:3" x14ac:dyDescent="0.25">
      <c r="B114" s="11" t="str">
        <f>[1]Pokemon!C114</f>
        <v>Machoke</v>
      </c>
      <c r="C114" s="11" t="str">
        <f>[1]Moves!B114</f>
        <v>Celebrate</v>
      </c>
    </row>
    <row r="115" spans="2:3" x14ac:dyDescent="0.25">
      <c r="B115" s="11" t="str">
        <f>[1]Pokemon!C115</f>
        <v>Machamp</v>
      </c>
      <c r="C115" s="11" t="str">
        <f>[1]Moves!B115</f>
        <v>Charge</v>
      </c>
    </row>
    <row r="116" spans="2:3" x14ac:dyDescent="0.25">
      <c r="B116" s="11" t="str">
        <f>[1]Pokemon!C116</f>
        <v>Machamp Gmax</v>
      </c>
      <c r="C116" s="11" t="str">
        <f>[1]Moves!B116</f>
        <v>Charge Beam</v>
      </c>
    </row>
    <row r="117" spans="2:3" x14ac:dyDescent="0.25">
      <c r="B117" s="11" t="str">
        <f>[1]Pokemon!C117</f>
        <v>Bellsprout</v>
      </c>
      <c r="C117" s="11" t="str">
        <f>[1]Moves!B117</f>
        <v>Charm</v>
      </c>
    </row>
    <row r="118" spans="2:3" x14ac:dyDescent="0.25">
      <c r="B118" s="11" t="str">
        <f>[1]Pokemon!C118</f>
        <v>Weepinbell</v>
      </c>
      <c r="C118" s="11" t="str">
        <f>[1]Moves!B118</f>
        <v>Chatter</v>
      </c>
    </row>
    <row r="119" spans="2:3" x14ac:dyDescent="0.25">
      <c r="B119" s="11" t="str">
        <f>[1]Pokemon!C119</f>
        <v>Victreebel</v>
      </c>
      <c r="C119" s="11" t="str">
        <f>[1]Moves!B119</f>
        <v>Chilling Water</v>
      </c>
    </row>
    <row r="120" spans="2:3" x14ac:dyDescent="0.25">
      <c r="B120" s="11" t="str">
        <f>[1]Pokemon!C120</f>
        <v>Victreebel Mega</v>
      </c>
      <c r="C120" s="11" t="str">
        <f>[1]Moves!B120</f>
        <v>Chilly Reception</v>
      </c>
    </row>
    <row r="121" spans="2:3" x14ac:dyDescent="0.25">
      <c r="B121" s="11" t="str">
        <f>[1]Pokemon!C121</f>
        <v>Tentacool</v>
      </c>
      <c r="C121" s="11" t="str">
        <f>[1]Moves!B121</f>
        <v>Chip Away</v>
      </c>
    </row>
    <row r="122" spans="2:3" x14ac:dyDescent="0.25">
      <c r="B122" s="11" t="str">
        <f>[1]Pokemon!C122</f>
        <v>Tentacruel</v>
      </c>
      <c r="C122" s="11" t="str">
        <f>[1]Moves!B122</f>
        <v>Chloroblast</v>
      </c>
    </row>
    <row r="123" spans="2:3" x14ac:dyDescent="0.25">
      <c r="B123" s="11" t="str">
        <f>[1]Pokemon!C123</f>
        <v>Geodude</v>
      </c>
      <c r="C123" s="11" t="str">
        <f>[1]Moves!B123</f>
        <v>Circle Throw</v>
      </c>
    </row>
    <row r="124" spans="2:3" x14ac:dyDescent="0.25">
      <c r="B124" s="11" t="str">
        <f>[1]Pokemon!C124</f>
        <v>Geodude Alola</v>
      </c>
      <c r="C124" s="11" t="str">
        <f>[1]Moves!B124</f>
        <v>Clamp</v>
      </c>
    </row>
    <row r="125" spans="2:3" x14ac:dyDescent="0.25">
      <c r="B125" s="11" t="str">
        <f>[1]Pokemon!C125</f>
        <v>Graveler</v>
      </c>
      <c r="C125" s="11" t="str">
        <f>[1]Moves!B125</f>
        <v>Clanging Scales</v>
      </c>
    </row>
    <row r="126" spans="2:3" x14ac:dyDescent="0.25">
      <c r="B126" s="11" t="str">
        <f>[1]Pokemon!C126</f>
        <v>Graveler Alola</v>
      </c>
      <c r="C126" s="11" t="str">
        <f>[1]Moves!B126</f>
        <v>Clangorous Soul</v>
      </c>
    </row>
    <row r="127" spans="2:3" x14ac:dyDescent="0.25">
      <c r="B127" s="11" t="str">
        <f>[1]Pokemon!C127</f>
        <v>Golem</v>
      </c>
      <c r="C127" s="11" t="str">
        <f>[1]Moves!B127</f>
        <v>Clangorous Soulblaze</v>
      </c>
    </row>
    <row r="128" spans="2:3" x14ac:dyDescent="0.25">
      <c r="B128" s="11" t="str">
        <f>[1]Pokemon!C128</f>
        <v>Golem Alola</v>
      </c>
      <c r="C128" s="11" t="str">
        <f>[1]Moves!B128</f>
        <v>Clear Smog</v>
      </c>
    </row>
    <row r="129" spans="2:3" x14ac:dyDescent="0.25">
      <c r="B129" s="11" t="str">
        <f>[1]Pokemon!C129</f>
        <v>Ponyta</v>
      </c>
      <c r="C129" s="11" t="str">
        <f>[1]Moves!B129</f>
        <v>Close Combat</v>
      </c>
    </row>
    <row r="130" spans="2:3" x14ac:dyDescent="0.25">
      <c r="B130" s="11" t="str">
        <f>[1]Pokemon!C130</f>
        <v>Ponyta Galar</v>
      </c>
      <c r="C130" s="11" t="str">
        <f>[1]Moves!B130</f>
        <v>Coaching</v>
      </c>
    </row>
    <row r="131" spans="2:3" x14ac:dyDescent="0.25">
      <c r="B131" s="11" t="str">
        <f>[1]Pokemon!C131</f>
        <v>Rapidash</v>
      </c>
      <c r="C131" s="11" t="str">
        <f>[1]Moves!B131</f>
        <v>Coil</v>
      </c>
    </row>
    <row r="132" spans="2:3" x14ac:dyDescent="0.25">
      <c r="B132" s="11" t="str">
        <f>[1]Pokemon!C132</f>
        <v>Rapidash Galar</v>
      </c>
      <c r="C132" s="11" t="str">
        <f>[1]Moves!B132</f>
        <v>Collision Course</v>
      </c>
    </row>
    <row r="133" spans="2:3" x14ac:dyDescent="0.25">
      <c r="B133" s="11" t="str">
        <f>[1]Pokemon!C133</f>
        <v>Slowpoke</v>
      </c>
      <c r="C133" s="11" t="str">
        <f>[1]Moves!B133</f>
        <v>Combat Torque</v>
      </c>
    </row>
    <row r="134" spans="2:3" x14ac:dyDescent="0.25">
      <c r="B134" s="11" t="str">
        <f>[1]Pokemon!C134</f>
        <v>Slowpoke Galar</v>
      </c>
      <c r="C134" s="11" t="str">
        <f>[1]Moves!B134</f>
        <v>Comet Punch</v>
      </c>
    </row>
    <row r="135" spans="2:3" x14ac:dyDescent="0.25">
      <c r="B135" s="11" t="str">
        <f>[1]Pokemon!C135</f>
        <v>Slowbro</v>
      </c>
      <c r="C135" s="11" t="str">
        <f>[1]Moves!B135</f>
        <v>Comeuppance</v>
      </c>
    </row>
    <row r="136" spans="2:3" x14ac:dyDescent="0.25">
      <c r="B136" s="11" t="str">
        <f>[1]Pokemon!C136</f>
        <v>Slowbro Galar</v>
      </c>
      <c r="C136" s="11" t="str">
        <f>[1]Moves!B136</f>
        <v>Confide</v>
      </c>
    </row>
    <row r="137" spans="2:3" x14ac:dyDescent="0.25">
      <c r="B137" s="11" t="str">
        <f>[1]Pokemon!C137</f>
        <v>Slowbro Mega</v>
      </c>
      <c r="C137" s="11" t="str">
        <f>[1]Moves!B137</f>
        <v>Confuse Ray</v>
      </c>
    </row>
    <row r="138" spans="2:3" x14ac:dyDescent="0.25">
      <c r="B138" s="11" t="str">
        <f>[1]Pokemon!C138</f>
        <v>Magnemite</v>
      </c>
      <c r="C138" s="11" t="str">
        <f>[1]Moves!B138</f>
        <v>Confusion</v>
      </c>
    </row>
    <row r="139" spans="2:3" x14ac:dyDescent="0.25">
      <c r="B139" s="11" t="str">
        <f>[1]Pokemon!C139</f>
        <v>Magneton</v>
      </c>
      <c r="C139" s="11" t="str">
        <f>[1]Moves!B139</f>
        <v>Constrict</v>
      </c>
    </row>
    <row r="140" spans="2:3" x14ac:dyDescent="0.25">
      <c r="B140" s="11" t="str">
        <f>[1]Pokemon!C140</f>
        <v>Farfetchd</v>
      </c>
      <c r="C140" s="11" t="str">
        <f>[1]Moves!B140</f>
        <v>Continental Crush Physical</v>
      </c>
    </row>
    <row r="141" spans="2:3" x14ac:dyDescent="0.25">
      <c r="B141" s="11" t="str">
        <f>[1]Pokemon!C141</f>
        <v>Farfetchd Galar</v>
      </c>
      <c r="C141" s="11" t="str">
        <f>[1]Moves!B141</f>
        <v>Continental Crush Special</v>
      </c>
    </row>
    <row r="142" spans="2:3" x14ac:dyDescent="0.25">
      <c r="B142" s="11" t="str">
        <f>[1]Pokemon!C142</f>
        <v>Doduo</v>
      </c>
      <c r="C142" s="11" t="str">
        <f>[1]Moves!B142</f>
        <v>Conversion</v>
      </c>
    </row>
    <row r="143" spans="2:3" x14ac:dyDescent="0.25">
      <c r="B143" s="11" t="str">
        <f>[1]Pokemon!C143</f>
        <v>Dodrio</v>
      </c>
      <c r="C143" s="11" t="str">
        <f>[1]Moves!B143</f>
        <v>Conversion 2</v>
      </c>
    </row>
    <row r="144" spans="2:3" x14ac:dyDescent="0.25">
      <c r="B144" s="11" t="str">
        <f>[1]Pokemon!C144</f>
        <v>Seel</v>
      </c>
      <c r="C144" s="11" t="str">
        <f>[1]Moves!B144</f>
        <v>Copycat</v>
      </c>
    </row>
    <row r="145" spans="2:3" x14ac:dyDescent="0.25">
      <c r="B145" s="11" t="str">
        <f>[1]Pokemon!C145</f>
        <v>Dewgong</v>
      </c>
      <c r="C145" s="11" t="str">
        <f>[1]Moves!B145</f>
        <v>Core Enforcer</v>
      </c>
    </row>
    <row r="146" spans="2:3" x14ac:dyDescent="0.25">
      <c r="B146" s="11" t="str">
        <f>[1]Pokemon!C146</f>
        <v>Grimer</v>
      </c>
      <c r="C146" s="11" t="str">
        <f>[1]Moves!B146</f>
        <v>Corkscrew Crash Physical</v>
      </c>
    </row>
    <row r="147" spans="2:3" x14ac:dyDescent="0.25">
      <c r="B147" s="11" t="str">
        <f>[1]Pokemon!C147</f>
        <v>Grimer Alola</v>
      </c>
      <c r="C147" s="11" t="str">
        <f>[1]Moves!B147</f>
        <v>Corkscrew Crash Special</v>
      </c>
    </row>
    <row r="148" spans="2:3" x14ac:dyDescent="0.25">
      <c r="B148" s="11" t="str">
        <f>[1]Pokemon!C148</f>
        <v>Muk</v>
      </c>
      <c r="C148" s="11" t="str">
        <f>[1]Moves!B148</f>
        <v>Corrosive Gas</v>
      </c>
    </row>
    <row r="149" spans="2:3" x14ac:dyDescent="0.25">
      <c r="B149" s="11" t="str">
        <f>[1]Pokemon!C149</f>
        <v>Muk Alola</v>
      </c>
      <c r="C149" s="11" t="str">
        <f>[1]Moves!B149</f>
        <v>Cosmic Power</v>
      </c>
    </row>
    <row r="150" spans="2:3" x14ac:dyDescent="0.25">
      <c r="B150" s="11" t="str">
        <f>[1]Pokemon!C150</f>
        <v>Shellder</v>
      </c>
      <c r="C150" s="11" t="str">
        <f>[1]Moves!B150</f>
        <v>Cotton Guard</v>
      </c>
    </row>
    <row r="151" spans="2:3" x14ac:dyDescent="0.25">
      <c r="B151" s="11" t="str">
        <f>[1]Pokemon!C151</f>
        <v>Cloyster</v>
      </c>
      <c r="C151" s="11" t="str">
        <f>[1]Moves!B151</f>
        <v>Cotton Spore</v>
      </c>
    </row>
    <row r="152" spans="2:3" x14ac:dyDescent="0.25">
      <c r="B152" s="11" t="str">
        <f>[1]Pokemon!C152</f>
        <v>Gastly</v>
      </c>
      <c r="C152" s="11" t="str">
        <f>[1]Moves!B152</f>
        <v>Counter</v>
      </c>
    </row>
    <row r="153" spans="2:3" x14ac:dyDescent="0.25">
      <c r="B153" s="11" t="str">
        <f>[1]Pokemon!C153</f>
        <v>Haunter</v>
      </c>
      <c r="C153" s="11" t="str">
        <f>[1]Moves!B153</f>
        <v>Court Change</v>
      </c>
    </row>
    <row r="154" spans="2:3" x14ac:dyDescent="0.25">
      <c r="B154" s="11" t="str">
        <f>[1]Pokemon!C154</f>
        <v>Gengar</v>
      </c>
      <c r="C154" s="11" t="str">
        <f>[1]Moves!B154</f>
        <v>Covet</v>
      </c>
    </row>
    <row r="155" spans="2:3" x14ac:dyDescent="0.25">
      <c r="B155" s="11" t="str">
        <f>[1]Pokemon!C155</f>
        <v>Gengar Gmax</v>
      </c>
      <c r="C155" s="11" t="str">
        <f>[1]Moves!B155</f>
        <v>Crabhammer</v>
      </c>
    </row>
    <row r="156" spans="2:3" x14ac:dyDescent="0.25">
      <c r="B156" s="11" t="str">
        <f>[1]Pokemon!C156</f>
        <v>Gengar Mega</v>
      </c>
      <c r="C156" s="11" t="str">
        <f>[1]Moves!B156</f>
        <v>Crafty Shield</v>
      </c>
    </row>
    <row r="157" spans="2:3" x14ac:dyDescent="0.25">
      <c r="B157" s="11" t="str">
        <f>[1]Pokemon!C157</f>
        <v>Onix</v>
      </c>
      <c r="C157" s="11" t="str">
        <f>[1]Moves!B157</f>
        <v>Cross Chop</v>
      </c>
    </row>
    <row r="158" spans="2:3" x14ac:dyDescent="0.25">
      <c r="B158" s="11" t="str">
        <f>[1]Pokemon!C158</f>
        <v>Drowzee</v>
      </c>
      <c r="C158" s="11" t="str">
        <f>[1]Moves!B158</f>
        <v>Cross Poison</v>
      </c>
    </row>
    <row r="159" spans="2:3" x14ac:dyDescent="0.25">
      <c r="B159" s="11" t="str">
        <f>[1]Pokemon!C159</f>
        <v>Hypno</v>
      </c>
      <c r="C159" s="11" t="str">
        <f>[1]Moves!B159</f>
        <v>Crunch</v>
      </c>
    </row>
    <row r="160" spans="2:3" x14ac:dyDescent="0.25">
      <c r="B160" s="11" t="str">
        <f>[1]Pokemon!C160</f>
        <v>Krabby</v>
      </c>
      <c r="C160" s="11" t="str">
        <f>[1]Moves!B160</f>
        <v>Crush Claw</v>
      </c>
    </row>
    <row r="161" spans="2:3" x14ac:dyDescent="0.25">
      <c r="B161" s="11" t="str">
        <f>[1]Pokemon!C161</f>
        <v>Kingler</v>
      </c>
      <c r="C161" s="11" t="str">
        <f>[1]Moves!B161</f>
        <v>Crush Grip</v>
      </c>
    </row>
    <row r="162" spans="2:3" x14ac:dyDescent="0.25">
      <c r="B162" s="11" t="str">
        <f>[1]Pokemon!C162</f>
        <v>Kingler Gmax</v>
      </c>
      <c r="C162" s="11" t="str">
        <f>[1]Moves!B162</f>
        <v>Curse</v>
      </c>
    </row>
    <row r="163" spans="2:3" x14ac:dyDescent="0.25">
      <c r="B163" s="11" t="str">
        <f>[1]Pokemon!C163</f>
        <v>Voltorb</v>
      </c>
      <c r="C163" s="11" t="str">
        <f>[1]Moves!B163</f>
        <v>Cut</v>
      </c>
    </row>
    <row r="164" spans="2:3" x14ac:dyDescent="0.25">
      <c r="B164" s="11" t="str">
        <f>[1]Pokemon!C164</f>
        <v>Voltorb Hisui</v>
      </c>
      <c r="C164" s="11" t="str">
        <f>[1]Moves!B164</f>
        <v>Dark Pulse</v>
      </c>
    </row>
    <row r="165" spans="2:3" x14ac:dyDescent="0.25">
      <c r="B165" s="11" t="str">
        <f>[1]Pokemon!C165</f>
        <v>Electrode</v>
      </c>
      <c r="C165" s="11" t="str">
        <f>[1]Moves!B165</f>
        <v>Dark Void</v>
      </c>
    </row>
    <row r="166" spans="2:3" x14ac:dyDescent="0.25">
      <c r="B166" s="11" t="str">
        <f>[1]Pokemon!C166</f>
        <v>Electrode Hisui</v>
      </c>
      <c r="C166" s="11" t="str">
        <f>[1]Moves!B166</f>
        <v>Darkest Lariat</v>
      </c>
    </row>
    <row r="167" spans="2:3" x14ac:dyDescent="0.25">
      <c r="B167" s="11" t="str">
        <f>[1]Pokemon!C167</f>
        <v>Exeggcute</v>
      </c>
      <c r="C167" s="11" t="str">
        <f>[1]Moves!B167</f>
        <v>Dazzling Gleam</v>
      </c>
    </row>
    <row r="168" spans="2:3" x14ac:dyDescent="0.25">
      <c r="B168" s="11" t="str">
        <f>[1]Pokemon!C168</f>
        <v>Exeggutor</v>
      </c>
      <c r="C168" s="11" t="str">
        <f>[1]Moves!B168</f>
        <v>Decorate</v>
      </c>
    </row>
    <row r="169" spans="2:3" x14ac:dyDescent="0.25">
      <c r="B169" s="11" t="str">
        <f>[1]Pokemon!C169</f>
        <v>Exeggutor Alola</v>
      </c>
      <c r="C169" s="11" t="str">
        <f>[1]Moves!B169</f>
        <v>Defend Order</v>
      </c>
    </row>
    <row r="170" spans="2:3" x14ac:dyDescent="0.25">
      <c r="B170" s="11" t="str">
        <f>[1]Pokemon!C170</f>
        <v>Cubone</v>
      </c>
      <c r="C170" s="11" t="str">
        <f>[1]Moves!B170</f>
        <v>Defense Curl</v>
      </c>
    </row>
    <row r="171" spans="2:3" x14ac:dyDescent="0.25">
      <c r="B171" s="11" t="str">
        <f>[1]Pokemon!C171</f>
        <v>Marowak</v>
      </c>
      <c r="C171" s="11" t="str">
        <f>[1]Moves!B171</f>
        <v>Defog</v>
      </c>
    </row>
    <row r="172" spans="2:3" x14ac:dyDescent="0.25">
      <c r="B172" s="11" t="str">
        <f>[1]Pokemon!C172</f>
        <v>Marowak Alola</v>
      </c>
      <c r="C172" s="11" t="str">
        <f>[1]Moves!B172</f>
        <v>Destiny Bond</v>
      </c>
    </row>
    <row r="173" spans="2:3" x14ac:dyDescent="0.25">
      <c r="B173" s="11" t="str">
        <f>[1]Pokemon!C173</f>
        <v>Marowak Totem</v>
      </c>
      <c r="C173" s="11" t="str">
        <f>[1]Moves!B173</f>
        <v>Detect</v>
      </c>
    </row>
    <row r="174" spans="2:3" x14ac:dyDescent="0.25">
      <c r="B174" s="11" t="str">
        <f>[1]Pokemon!C174</f>
        <v>Hitmonlee</v>
      </c>
      <c r="C174" s="11" t="str">
        <f>[1]Moves!B174</f>
        <v>Devastating Drake Physical</v>
      </c>
    </row>
    <row r="175" spans="2:3" x14ac:dyDescent="0.25">
      <c r="B175" s="11" t="str">
        <f>[1]Pokemon!C175</f>
        <v>Hitmonchan</v>
      </c>
      <c r="C175" s="11" t="str">
        <f>[1]Moves!B175</f>
        <v>Devastating Drake Special</v>
      </c>
    </row>
    <row r="176" spans="2:3" x14ac:dyDescent="0.25">
      <c r="B176" s="11" t="str">
        <f>[1]Pokemon!C176</f>
        <v>Lickitung</v>
      </c>
      <c r="C176" s="11" t="str">
        <f>[1]Moves!B176</f>
        <v>Diamond Storm</v>
      </c>
    </row>
    <row r="177" spans="2:3" x14ac:dyDescent="0.25">
      <c r="B177" s="11" t="str">
        <f>[1]Pokemon!C177</f>
        <v>Koffing</v>
      </c>
      <c r="C177" s="11" t="str">
        <f>[1]Moves!B177</f>
        <v>Dig</v>
      </c>
    </row>
    <row r="178" spans="2:3" x14ac:dyDescent="0.25">
      <c r="B178" s="11" t="str">
        <f>[1]Pokemon!C178</f>
        <v>Weezing</v>
      </c>
      <c r="C178" s="11" t="str">
        <f>[1]Moves!B178</f>
        <v>Dire Claw</v>
      </c>
    </row>
    <row r="179" spans="2:3" x14ac:dyDescent="0.25">
      <c r="B179" s="11" t="str">
        <f>[1]Pokemon!C179</f>
        <v>Weezing Galar</v>
      </c>
      <c r="C179" s="11" t="str">
        <f>[1]Moves!B179</f>
        <v>Disable</v>
      </c>
    </row>
    <row r="180" spans="2:3" x14ac:dyDescent="0.25">
      <c r="B180" s="11" t="str">
        <f>[1]Pokemon!C180</f>
        <v>Rhyhorn</v>
      </c>
      <c r="C180" s="11" t="str">
        <f>[1]Moves!B180</f>
        <v>Disarming Voice</v>
      </c>
    </row>
    <row r="181" spans="2:3" x14ac:dyDescent="0.25">
      <c r="B181" s="11" t="str">
        <f>[1]Pokemon!C181</f>
        <v>Rhydon</v>
      </c>
      <c r="C181" s="11" t="str">
        <f>[1]Moves!B181</f>
        <v>Discharge</v>
      </c>
    </row>
    <row r="182" spans="2:3" x14ac:dyDescent="0.25">
      <c r="B182" s="11" t="str">
        <f>[1]Pokemon!C182</f>
        <v>Chansey</v>
      </c>
      <c r="C182" s="11" t="str">
        <f>[1]Moves!B182</f>
        <v>Dive</v>
      </c>
    </row>
    <row r="183" spans="2:3" x14ac:dyDescent="0.25">
      <c r="B183" s="11" t="str">
        <f>[1]Pokemon!C183</f>
        <v>Tangela</v>
      </c>
      <c r="C183" s="11" t="str">
        <f>[1]Moves!B183</f>
        <v>Dizzy Punch</v>
      </c>
    </row>
    <row r="184" spans="2:3" x14ac:dyDescent="0.25">
      <c r="B184" s="11" t="str">
        <f>[1]Pokemon!C184</f>
        <v>Kangaskhan</v>
      </c>
      <c r="C184" s="11" t="str">
        <f>[1]Moves!B184</f>
        <v>Doodle</v>
      </c>
    </row>
    <row r="185" spans="2:3" x14ac:dyDescent="0.25">
      <c r="B185" s="11" t="str">
        <f>[1]Pokemon!C185</f>
        <v>Kangaskhan Mega</v>
      </c>
      <c r="C185" s="11" t="str">
        <f>[1]Moves!B185</f>
        <v>Doom Desire</v>
      </c>
    </row>
    <row r="186" spans="2:3" x14ac:dyDescent="0.25">
      <c r="B186" s="11" t="str">
        <f>[1]Pokemon!C186</f>
        <v>Horsea</v>
      </c>
      <c r="C186" s="11" t="str">
        <f>[1]Moves!B186</f>
        <v>Double Edge</v>
      </c>
    </row>
    <row r="187" spans="2:3" x14ac:dyDescent="0.25">
      <c r="B187" s="11" t="str">
        <f>[1]Pokemon!C187</f>
        <v>Seadra</v>
      </c>
      <c r="C187" s="11" t="str">
        <f>[1]Moves!B187</f>
        <v>Double Hit</v>
      </c>
    </row>
    <row r="188" spans="2:3" x14ac:dyDescent="0.25">
      <c r="B188" s="11" t="str">
        <f>[1]Pokemon!C188</f>
        <v>Goldeen</v>
      </c>
      <c r="C188" s="11" t="str">
        <f>[1]Moves!B188</f>
        <v>Double Iron Bash</v>
      </c>
    </row>
    <row r="189" spans="2:3" x14ac:dyDescent="0.25">
      <c r="B189" s="11" t="str">
        <f>[1]Pokemon!C189</f>
        <v>Seaking</v>
      </c>
      <c r="C189" s="11" t="str">
        <f>[1]Moves!B189</f>
        <v>Double Kick</v>
      </c>
    </row>
    <row r="190" spans="2:3" x14ac:dyDescent="0.25">
      <c r="B190" s="11" t="str">
        <f>[1]Pokemon!C190</f>
        <v>Staryu</v>
      </c>
      <c r="C190" s="11" t="str">
        <f>[1]Moves!B190</f>
        <v>Double Shock</v>
      </c>
    </row>
    <row r="191" spans="2:3" x14ac:dyDescent="0.25">
      <c r="B191" s="11" t="str">
        <f>[1]Pokemon!C191</f>
        <v>Starmie</v>
      </c>
      <c r="C191" s="11" t="str">
        <f>[1]Moves!B191</f>
        <v>Double Slap</v>
      </c>
    </row>
    <row r="192" spans="2:3" x14ac:dyDescent="0.25">
      <c r="B192" s="11" t="str">
        <f>[1]Pokemon!C192</f>
        <v>Starmie Mega</v>
      </c>
      <c r="C192" s="11" t="str">
        <f>[1]Moves!B192</f>
        <v>Double Team</v>
      </c>
    </row>
    <row r="193" spans="2:3" x14ac:dyDescent="0.25">
      <c r="B193" s="11" t="str">
        <f>[1]Pokemon!C193</f>
        <v>Mr Mime</v>
      </c>
      <c r="C193" s="11" t="str">
        <f>[1]Moves!B193</f>
        <v>Draco Meteor</v>
      </c>
    </row>
    <row r="194" spans="2:3" x14ac:dyDescent="0.25">
      <c r="B194" s="11" t="str">
        <f>[1]Pokemon!C194</f>
        <v>Mr Mime Galar</v>
      </c>
      <c r="C194" s="11" t="str">
        <f>[1]Moves!B194</f>
        <v>Dragon Ascent</v>
      </c>
    </row>
    <row r="195" spans="2:3" x14ac:dyDescent="0.25">
      <c r="B195" s="11" t="str">
        <f>[1]Pokemon!C195</f>
        <v>Scyther</v>
      </c>
      <c r="C195" s="11" t="str">
        <f>[1]Moves!B195</f>
        <v>Dragon Breath</v>
      </c>
    </row>
    <row r="196" spans="2:3" x14ac:dyDescent="0.25">
      <c r="B196" s="11" t="str">
        <f>[1]Pokemon!C196</f>
        <v>Jynx</v>
      </c>
      <c r="C196" s="11" t="str">
        <f>[1]Moves!B196</f>
        <v>Dragon Cheer</v>
      </c>
    </row>
    <row r="197" spans="2:3" x14ac:dyDescent="0.25">
      <c r="B197" s="11" t="str">
        <f>[1]Pokemon!C197</f>
        <v>Electabuzz</v>
      </c>
      <c r="C197" s="11" t="str">
        <f>[1]Moves!B197</f>
        <v>Dragon Claw</v>
      </c>
    </row>
    <row r="198" spans="2:3" x14ac:dyDescent="0.25">
      <c r="B198" s="11" t="str">
        <f>[1]Pokemon!C198</f>
        <v>Magmar</v>
      </c>
      <c r="C198" s="11" t="str">
        <f>[1]Moves!B198</f>
        <v>Dragon Dance</v>
      </c>
    </row>
    <row r="199" spans="2:3" x14ac:dyDescent="0.25">
      <c r="B199" s="11" t="str">
        <f>[1]Pokemon!C199</f>
        <v>Pinsir</v>
      </c>
      <c r="C199" s="11" t="str">
        <f>[1]Moves!B199</f>
        <v>Dragon Darts</v>
      </c>
    </row>
    <row r="200" spans="2:3" x14ac:dyDescent="0.25">
      <c r="B200" s="11" t="str">
        <f>[1]Pokemon!C200</f>
        <v>Pinsir Mega</v>
      </c>
      <c r="C200" s="11" t="str">
        <f>[1]Moves!B200</f>
        <v>Dragon Energy</v>
      </c>
    </row>
    <row r="201" spans="2:3" x14ac:dyDescent="0.25">
      <c r="B201" s="11" t="str">
        <f>[1]Pokemon!C201</f>
        <v>Tauros</v>
      </c>
      <c r="C201" s="11" t="str">
        <f>[1]Moves!B201</f>
        <v>Dragon Hammer</v>
      </c>
    </row>
    <row r="202" spans="2:3" x14ac:dyDescent="0.25">
      <c r="B202" s="11" t="str">
        <f>[1]Pokemon!C202</f>
        <v>Tauros Paldea Aqua Breed</v>
      </c>
      <c r="C202" s="11" t="str">
        <f>[1]Moves!B202</f>
        <v>Dragon Pulse</v>
      </c>
    </row>
    <row r="203" spans="2:3" x14ac:dyDescent="0.25">
      <c r="B203" s="11" t="str">
        <f>[1]Pokemon!C203</f>
        <v>Tauros Paldea Blaze Breed</v>
      </c>
      <c r="C203" s="11" t="str">
        <f>[1]Moves!B203</f>
        <v>Dragon Rage</v>
      </c>
    </row>
    <row r="204" spans="2:3" x14ac:dyDescent="0.25">
      <c r="B204" s="11" t="str">
        <f>[1]Pokemon!C204</f>
        <v>Tauros Paldea Combat Breed</v>
      </c>
      <c r="C204" s="11" t="str">
        <f>[1]Moves!B204</f>
        <v>Dragon Rush</v>
      </c>
    </row>
    <row r="205" spans="2:3" x14ac:dyDescent="0.25">
      <c r="B205" s="11" t="str">
        <f>[1]Pokemon!C205</f>
        <v>Magikarp</v>
      </c>
      <c r="C205" s="11" t="str">
        <f>[1]Moves!B205</f>
        <v>Dragon Tail</v>
      </c>
    </row>
    <row r="206" spans="2:3" x14ac:dyDescent="0.25">
      <c r="B206" s="11" t="str">
        <f>[1]Pokemon!C206</f>
        <v>Gyarados</v>
      </c>
      <c r="C206" s="11" t="str">
        <f>[1]Moves!B206</f>
        <v>Drain Punch</v>
      </c>
    </row>
    <row r="207" spans="2:3" x14ac:dyDescent="0.25">
      <c r="B207" s="11" t="str">
        <f>[1]Pokemon!C207</f>
        <v>Gyarados Mega</v>
      </c>
      <c r="C207" s="11" t="str">
        <f>[1]Moves!B207</f>
        <v>Draining Kiss</v>
      </c>
    </row>
    <row r="208" spans="2:3" x14ac:dyDescent="0.25">
      <c r="B208" s="11" t="str">
        <f>[1]Pokemon!C208</f>
        <v>Lapras</v>
      </c>
      <c r="C208" s="11" t="str">
        <f>[1]Moves!B208</f>
        <v>Dream Eater</v>
      </c>
    </row>
    <row r="209" spans="2:3" x14ac:dyDescent="0.25">
      <c r="B209" s="11" t="str">
        <f>[1]Pokemon!C209</f>
        <v>Lapras Gmax</v>
      </c>
      <c r="C209" s="11" t="str">
        <f>[1]Moves!B209</f>
        <v>Drill Peck</v>
      </c>
    </row>
    <row r="210" spans="2:3" x14ac:dyDescent="0.25">
      <c r="B210" s="11" t="str">
        <f>[1]Pokemon!C210</f>
        <v>Ditto</v>
      </c>
      <c r="C210" s="11" t="str">
        <f>[1]Moves!B210</f>
        <v>Drill Run</v>
      </c>
    </row>
    <row r="211" spans="2:3" x14ac:dyDescent="0.25">
      <c r="B211" s="11" t="str">
        <f>[1]Pokemon!C211</f>
        <v>Eevee</v>
      </c>
      <c r="C211" s="11" t="str">
        <f>[1]Moves!B211</f>
        <v>Drum Beating</v>
      </c>
    </row>
    <row r="212" spans="2:3" x14ac:dyDescent="0.25">
      <c r="B212" s="11" t="str">
        <f>[1]Pokemon!C212</f>
        <v>Eevee Gmax</v>
      </c>
      <c r="C212" s="11" t="str">
        <f>[1]Moves!B212</f>
        <v>Dual Chop</v>
      </c>
    </row>
    <row r="213" spans="2:3" x14ac:dyDescent="0.25">
      <c r="B213" s="11" t="str">
        <f>[1]Pokemon!C213</f>
        <v>Eevee Starter</v>
      </c>
      <c r="C213" s="11" t="str">
        <f>[1]Moves!B213</f>
        <v>Dual Wingbeat</v>
      </c>
    </row>
    <row r="214" spans="2:3" x14ac:dyDescent="0.25">
      <c r="B214" s="11" t="str">
        <f>[1]Pokemon!C214</f>
        <v>Vaporeon</v>
      </c>
      <c r="C214" s="11" t="str">
        <f>[1]Moves!B214</f>
        <v>Dynamax Cannon</v>
      </c>
    </row>
    <row r="215" spans="2:3" x14ac:dyDescent="0.25">
      <c r="B215" s="11" t="str">
        <f>[1]Pokemon!C215</f>
        <v>Jolteon</v>
      </c>
      <c r="C215" s="11" t="str">
        <f>[1]Moves!B215</f>
        <v>Dynamic Punch</v>
      </c>
    </row>
    <row r="216" spans="2:3" x14ac:dyDescent="0.25">
      <c r="B216" s="11" t="str">
        <f>[1]Pokemon!C216</f>
        <v>Flareon</v>
      </c>
      <c r="C216" s="11" t="str">
        <f>[1]Moves!B216</f>
        <v>Earth Power</v>
      </c>
    </row>
    <row r="217" spans="2:3" x14ac:dyDescent="0.25">
      <c r="B217" s="11" t="str">
        <f>[1]Pokemon!C217</f>
        <v>Porygon</v>
      </c>
      <c r="C217" s="11" t="str">
        <f>[1]Moves!B217</f>
        <v>Earthquake</v>
      </c>
    </row>
    <row r="218" spans="2:3" x14ac:dyDescent="0.25">
      <c r="B218" s="11" t="str">
        <f>[1]Pokemon!C218</f>
        <v>Omanyte</v>
      </c>
      <c r="C218" s="11" t="str">
        <f>[1]Moves!B218</f>
        <v>Echoed Voice</v>
      </c>
    </row>
    <row r="219" spans="2:3" x14ac:dyDescent="0.25">
      <c r="B219" s="11" t="str">
        <f>[1]Pokemon!C219</f>
        <v>Omastar</v>
      </c>
      <c r="C219" s="11" t="str">
        <f>[1]Moves!B219</f>
        <v>Eerie Impulse</v>
      </c>
    </row>
    <row r="220" spans="2:3" x14ac:dyDescent="0.25">
      <c r="B220" s="11" t="str">
        <f>[1]Pokemon!C220</f>
        <v>Kabuto</v>
      </c>
      <c r="C220" s="11" t="str">
        <f>[1]Moves!B220</f>
        <v>Eerie Spell</v>
      </c>
    </row>
    <row r="221" spans="2:3" x14ac:dyDescent="0.25">
      <c r="B221" s="11" t="str">
        <f>[1]Pokemon!C221</f>
        <v>Kabutops</v>
      </c>
      <c r="C221" s="11" t="str">
        <f>[1]Moves!B221</f>
        <v>Egg Bomb</v>
      </c>
    </row>
    <row r="222" spans="2:3" x14ac:dyDescent="0.25">
      <c r="B222" s="11" t="str">
        <f>[1]Pokemon!C222</f>
        <v>Aerodactyl</v>
      </c>
      <c r="C222" s="11" t="str">
        <f>[1]Moves!B222</f>
        <v>Electric Terrain</v>
      </c>
    </row>
    <row r="223" spans="2:3" x14ac:dyDescent="0.25">
      <c r="B223" s="11" t="str">
        <f>[1]Pokemon!C223</f>
        <v>Aerodactyl Mega</v>
      </c>
      <c r="C223" s="11" t="str">
        <f>[1]Moves!B223</f>
        <v>Electrify</v>
      </c>
    </row>
    <row r="224" spans="2:3" x14ac:dyDescent="0.25">
      <c r="B224" s="11" t="str">
        <f>[1]Pokemon!C224</f>
        <v>Snorlax</v>
      </c>
      <c r="C224" s="11" t="str">
        <f>[1]Moves!B224</f>
        <v>Electro Ball</v>
      </c>
    </row>
    <row r="225" spans="2:3" x14ac:dyDescent="0.25">
      <c r="B225" s="11" t="str">
        <f>[1]Pokemon!C225</f>
        <v>Snorlax Gmax</v>
      </c>
      <c r="C225" s="11" t="str">
        <f>[1]Moves!B225</f>
        <v>Electro Drift</v>
      </c>
    </row>
    <row r="226" spans="2:3" x14ac:dyDescent="0.25">
      <c r="B226" s="11" t="str">
        <f>[1]Pokemon!C226</f>
        <v>Articuno</v>
      </c>
      <c r="C226" s="11" t="str">
        <f>[1]Moves!B226</f>
        <v>Electro Shot</v>
      </c>
    </row>
    <row r="227" spans="2:3" x14ac:dyDescent="0.25">
      <c r="B227" s="11" t="str">
        <f>[1]Pokemon!C227</f>
        <v>Articuno Galar</v>
      </c>
      <c r="C227" s="11" t="str">
        <f>[1]Moves!B227</f>
        <v>Electroweb</v>
      </c>
    </row>
    <row r="228" spans="2:3" x14ac:dyDescent="0.25">
      <c r="B228" s="11" t="str">
        <f>[1]Pokemon!C228</f>
        <v>Zapdos</v>
      </c>
      <c r="C228" s="11" t="str">
        <f>[1]Moves!B228</f>
        <v>Embargo</v>
      </c>
    </row>
    <row r="229" spans="2:3" x14ac:dyDescent="0.25">
      <c r="B229" s="11" t="str">
        <f>[1]Pokemon!C229</f>
        <v>Zapdos Galar</v>
      </c>
      <c r="C229" s="11" t="str">
        <f>[1]Moves!B229</f>
        <v>Ember</v>
      </c>
    </row>
    <row r="230" spans="2:3" x14ac:dyDescent="0.25">
      <c r="B230" s="11" t="str">
        <f>[1]Pokemon!C230</f>
        <v>Moltres</v>
      </c>
      <c r="C230" s="11" t="str">
        <f>[1]Moves!B230</f>
        <v>Encore</v>
      </c>
    </row>
    <row r="231" spans="2:3" x14ac:dyDescent="0.25">
      <c r="B231" s="11" t="str">
        <f>[1]Pokemon!C231</f>
        <v>Moltres Galar</v>
      </c>
      <c r="C231" s="11" t="str">
        <f>[1]Moves!B231</f>
        <v>Endeavor</v>
      </c>
    </row>
    <row r="232" spans="2:3" x14ac:dyDescent="0.25">
      <c r="B232" s="11" t="str">
        <f>[1]Pokemon!C232</f>
        <v>Dratini</v>
      </c>
      <c r="C232" s="11" t="str">
        <f>[1]Moves!B232</f>
        <v>Endure</v>
      </c>
    </row>
    <row r="233" spans="2:3" x14ac:dyDescent="0.25">
      <c r="B233" s="11" t="str">
        <f>[1]Pokemon!C233</f>
        <v>Dragonair</v>
      </c>
      <c r="C233" s="11" t="str">
        <f>[1]Moves!B233</f>
        <v>Energy Ball</v>
      </c>
    </row>
    <row r="234" spans="2:3" x14ac:dyDescent="0.25">
      <c r="B234" s="11" t="str">
        <f>[1]Pokemon!C234</f>
        <v>Dragonite</v>
      </c>
      <c r="C234" s="11" t="str">
        <f>[1]Moves!B234</f>
        <v>Entrainment</v>
      </c>
    </row>
    <row r="235" spans="2:3" x14ac:dyDescent="0.25">
      <c r="B235" s="11" t="str">
        <f>[1]Pokemon!C235</f>
        <v>Dragonite Mega</v>
      </c>
      <c r="C235" s="11" t="str">
        <f>[1]Moves!B235</f>
        <v>Eruption</v>
      </c>
    </row>
    <row r="236" spans="2:3" x14ac:dyDescent="0.25">
      <c r="B236" s="11" t="str">
        <f>[1]Pokemon!C236</f>
        <v>Mewtwo</v>
      </c>
      <c r="C236" s="11" t="str">
        <f>[1]Moves!B236</f>
        <v>Esper Wing</v>
      </c>
    </row>
    <row r="237" spans="2:3" x14ac:dyDescent="0.25">
      <c r="B237" s="11" t="str">
        <f>[1]Pokemon!C237</f>
        <v>Mewtwo Mega X</v>
      </c>
      <c r="C237" s="11" t="str">
        <f>[1]Moves!B237</f>
        <v>Eternabeam</v>
      </c>
    </row>
    <row r="238" spans="2:3" x14ac:dyDescent="0.25">
      <c r="B238" s="11" t="str">
        <f>[1]Pokemon!C238</f>
        <v>Mewtwo Mega Y</v>
      </c>
      <c r="C238" s="11" t="str">
        <f>[1]Moves!B238</f>
        <v>Expanding Force</v>
      </c>
    </row>
    <row r="239" spans="2:3" x14ac:dyDescent="0.25">
      <c r="B239" s="11" t="str">
        <f>[1]Pokemon!C239</f>
        <v>Mew</v>
      </c>
      <c r="C239" s="11" t="str">
        <f>[1]Moves!B239</f>
        <v>Explosion</v>
      </c>
    </row>
    <row r="240" spans="2:3" x14ac:dyDescent="0.25">
      <c r="B240" s="11" t="str">
        <f>[1]Pokemon!C240</f>
        <v>Chikorita</v>
      </c>
      <c r="C240" s="11" t="str">
        <f>[1]Moves!B240</f>
        <v>Extrasensory</v>
      </c>
    </row>
    <row r="241" spans="2:3" x14ac:dyDescent="0.25">
      <c r="B241" s="11" t="str">
        <f>[1]Pokemon!C241</f>
        <v>Bayleef</v>
      </c>
      <c r="C241" s="11" t="str">
        <f>[1]Moves!B241</f>
        <v>Extreme Evoboost</v>
      </c>
    </row>
    <row r="242" spans="2:3" x14ac:dyDescent="0.25">
      <c r="B242" s="11" t="str">
        <f>[1]Pokemon!C242</f>
        <v>Meganium</v>
      </c>
      <c r="C242" s="11" t="str">
        <f>[1]Moves!B242</f>
        <v>Extreme Speed</v>
      </c>
    </row>
    <row r="243" spans="2:3" x14ac:dyDescent="0.25">
      <c r="B243" s="11" t="str">
        <f>[1]Pokemon!C243</f>
        <v>Meganium Mega</v>
      </c>
      <c r="C243" s="11" t="str">
        <f>[1]Moves!B243</f>
        <v>Facade</v>
      </c>
    </row>
    <row r="244" spans="2:3" x14ac:dyDescent="0.25">
      <c r="B244" s="11" t="str">
        <f>[1]Pokemon!C244</f>
        <v>Cyndaquil</v>
      </c>
      <c r="C244" s="11" t="str">
        <f>[1]Moves!B244</f>
        <v>Fairy Lock</v>
      </c>
    </row>
    <row r="245" spans="2:3" x14ac:dyDescent="0.25">
      <c r="B245" s="11" t="str">
        <f>[1]Pokemon!C245</f>
        <v>Quilava</v>
      </c>
      <c r="C245" s="11" t="str">
        <f>[1]Moves!B245</f>
        <v>Fairy Wind</v>
      </c>
    </row>
    <row r="246" spans="2:3" x14ac:dyDescent="0.25">
      <c r="B246" s="11" t="str">
        <f>[1]Pokemon!C246</f>
        <v>Typhlosion</v>
      </c>
      <c r="C246" s="11" t="str">
        <f>[1]Moves!B246</f>
        <v>Fake Out</v>
      </c>
    </row>
    <row r="247" spans="2:3" x14ac:dyDescent="0.25">
      <c r="B247" s="11" t="str">
        <f>[1]Pokemon!C247</f>
        <v>Typhlosion Hisui</v>
      </c>
      <c r="C247" s="11" t="str">
        <f>[1]Moves!B247</f>
        <v>Fake Tears</v>
      </c>
    </row>
    <row r="248" spans="2:3" x14ac:dyDescent="0.25">
      <c r="B248" s="11" t="str">
        <f>[1]Pokemon!C248</f>
        <v>Totodile</v>
      </c>
      <c r="C248" s="11" t="str">
        <f>[1]Moves!B248</f>
        <v>False Surrender</v>
      </c>
    </row>
    <row r="249" spans="2:3" x14ac:dyDescent="0.25">
      <c r="B249" s="11" t="str">
        <f>[1]Pokemon!C249</f>
        <v>Croconaw</v>
      </c>
      <c r="C249" s="11" t="str">
        <f>[1]Moves!B249</f>
        <v>False Swipe</v>
      </c>
    </row>
    <row r="250" spans="2:3" x14ac:dyDescent="0.25">
      <c r="B250" s="11" t="str">
        <f>[1]Pokemon!C250</f>
        <v>Feraligatr</v>
      </c>
      <c r="C250" s="11" t="str">
        <f>[1]Moves!B250</f>
        <v>Feather Dance</v>
      </c>
    </row>
    <row r="251" spans="2:3" x14ac:dyDescent="0.25">
      <c r="B251" s="11" t="str">
        <f>[1]Pokemon!C251</f>
        <v>Feraligatr Mega</v>
      </c>
      <c r="C251" s="11" t="str">
        <f>[1]Moves!B251</f>
        <v>Feint</v>
      </c>
    </row>
    <row r="252" spans="2:3" x14ac:dyDescent="0.25">
      <c r="B252" s="11" t="str">
        <f>[1]Pokemon!C252</f>
        <v>Sentret</v>
      </c>
      <c r="C252" s="11" t="str">
        <f>[1]Moves!B252</f>
        <v>Feint Attack</v>
      </c>
    </row>
    <row r="253" spans="2:3" x14ac:dyDescent="0.25">
      <c r="B253" s="11" t="str">
        <f>[1]Pokemon!C253</f>
        <v>Furret</v>
      </c>
      <c r="C253" s="11" t="str">
        <f>[1]Moves!B253</f>
        <v>Fell Stinger</v>
      </c>
    </row>
    <row r="254" spans="2:3" x14ac:dyDescent="0.25">
      <c r="B254" s="11" t="str">
        <f>[1]Pokemon!C254</f>
        <v>Hoothoot</v>
      </c>
      <c r="C254" s="11" t="str">
        <f>[1]Moves!B254</f>
        <v>Fickle Beam</v>
      </c>
    </row>
    <row r="255" spans="2:3" x14ac:dyDescent="0.25">
      <c r="B255" s="11" t="str">
        <f>[1]Pokemon!C255</f>
        <v>Noctowl</v>
      </c>
      <c r="C255" s="11" t="str">
        <f>[1]Moves!B255</f>
        <v>Fiery Dance</v>
      </c>
    </row>
    <row r="256" spans="2:3" x14ac:dyDescent="0.25">
      <c r="B256" s="11" t="str">
        <f>[1]Pokemon!C256</f>
        <v>Ledyba</v>
      </c>
      <c r="C256" s="11" t="str">
        <f>[1]Moves!B256</f>
        <v>Fiery Wrath</v>
      </c>
    </row>
    <row r="257" spans="2:3" x14ac:dyDescent="0.25">
      <c r="B257" s="11" t="str">
        <f>[1]Pokemon!C257</f>
        <v>Ledian</v>
      </c>
      <c r="C257" s="11" t="str">
        <f>[1]Moves!B257</f>
        <v>Fillet Away</v>
      </c>
    </row>
    <row r="258" spans="2:3" x14ac:dyDescent="0.25">
      <c r="B258" s="11" t="str">
        <f>[1]Pokemon!C258</f>
        <v>Spinarak</v>
      </c>
      <c r="C258" s="11" t="str">
        <f>[1]Moves!B258</f>
        <v>Final Gambit</v>
      </c>
    </row>
    <row r="259" spans="2:3" x14ac:dyDescent="0.25">
      <c r="B259" s="11" t="str">
        <f>[1]Pokemon!C259</f>
        <v>Ariados</v>
      </c>
      <c r="C259" s="11" t="str">
        <f>[1]Moves!B259</f>
        <v>Fire Blast</v>
      </c>
    </row>
    <row r="260" spans="2:3" x14ac:dyDescent="0.25">
      <c r="B260" s="11" t="str">
        <f>[1]Pokemon!C260</f>
        <v>Crobat</v>
      </c>
      <c r="C260" s="11" t="str">
        <f>[1]Moves!B260</f>
        <v>Fire Fang</v>
      </c>
    </row>
    <row r="261" spans="2:3" x14ac:dyDescent="0.25">
      <c r="B261" s="11" t="str">
        <f>[1]Pokemon!C261</f>
        <v>Chinchou</v>
      </c>
      <c r="C261" s="11" t="str">
        <f>[1]Moves!B261</f>
        <v>Fire Lash</v>
      </c>
    </row>
    <row r="262" spans="2:3" x14ac:dyDescent="0.25">
      <c r="B262" s="11" t="str">
        <f>[1]Pokemon!C262</f>
        <v>Lanturn</v>
      </c>
      <c r="C262" s="11" t="str">
        <f>[1]Moves!B262</f>
        <v>Fire Pledge</v>
      </c>
    </row>
    <row r="263" spans="2:3" x14ac:dyDescent="0.25">
      <c r="B263" s="11" t="str">
        <f>[1]Pokemon!C263</f>
        <v>Pichu</v>
      </c>
      <c r="C263" s="11" t="str">
        <f>[1]Moves!B263</f>
        <v>Fire Punch</v>
      </c>
    </row>
    <row r="264" spans="2:3" x14ac:dyDescent="0.25">
      <c r="B264" s="11" t="str">
        <f>[1]Pokemon!C264</f>
        <v>Cleffa</v>
      </c>
      <c r="C264" s="11" t="str">
        <f>[1]Moves!B264</f>
        <v>Fire Spin</v>
      </c>
    </row>
    <row r="265" spans="2:3" x14ac:dyDescent="0.25">
      <c r="B265" s="11" t="str">
        <f>[1]Pokemon!C265</f>
        <v>Igglybuff</v>
      </c>
      <c r="C265" s="11" t="str">
        <f>[1]Moves!B265</f>
        <v>First Impression</v>
      </c>
    </row>
    <row r="266" spans="2:3" x14ac:dyDescent="0.25">
      <c r="B266" s="11" t="str">
        <f>[1]Pokemon!C266</f>
        <v>Togepi</v>
      </c>
      <c r="C266" s="11" t="str">
        <f>[1]Moves!B266</f>
        <v>Fishious Rend</v>
      </c>
    </row>
    <row r="267" spans="2:3" x14ac:dyDescent="0.25">
      <c r="B267" s="11" t="str">
        <f>[1]Pokemon!C267</f>
        <v>Togetic</v>
      </c>
      <c r="C267" s="11" t="str">
        <f>[1]Moves!B267</f>
        <v>Fissure</v>
      </c>
    </row>
    <row r="268" spans="2:3" x14ac:dyDescent="0.25">
      <c r="B268" s="11" t="str">
        <f>[1]Pokemon!C268</f>
        <v>Natu</v>
      </c>
      <c r="C268" s="11" t="str">
        <f>[1]Moves!B268</f>
        <v>Flail</v>
      </c>
    </row>
    <row r="269" spans="2:3" x14ac:dyDescent="0.25">
      <c r="B269" s="11" t="str">
        <f>[1]Pokemon!C269</f>
        <v>Xatu</v>
      </c>
      <c r="C269" s="11" t="str">
        <f>[1]Moves!B269</f>
        <v>Flame Burst</v>
      </c>
    </row>
    <row r="270" spans="2:3" x14ac:dyDescent="0.25">
      <c r="B270" s="11" t="str">
        <f>[1]Pokemon!C270</f>
        <v>Mareep</v>
      </c>
      <c r="C270" s="11" t="str">
        <f>[1]Moves!B270</f>
        <v>Flame Charge</v>
      </c>
    </row>
    <row r="271" spans="2:3" x14ac:dyDescent="0.25">
      <c r="B271" s="11" t="str">
        <f>[1]Pokemon!C271</f>
        <v>Flaaffy</v>
      </c>
      <c r="C271" s="11" t="str">
        <f>[1]Moves!B271</f>
        <v>Flame Wheel</v>
      </c>
    </row>
    <row r="272" spans="2:3" x14ac:dyDescent="0.25">
      <c r="B272" s="11" t="str">
        <f>[1]Pokemon!C272</f>
        <v>Ampharos</v>
      </c>
      <c r="C272" s="11" t="str">
        <f>[1]Moves!B272</f>
        <v>Flamethrower</v>
      </c>
    </row>
    <row r="273" spans="2:3" x14ac:dyDescent="0.25">
      <c r="B273" s="11" t="str">
        <f>[1]Pokemon!C273</f>
        <v>Ampharos Mega</v>
      </c>
      <c r="C273" s="11" t="str">
        <f>[1]Moves!B273</f>
        <v>Flare Blitz</v>
      </c>
    </row>
    <row r="274" spans="2:3" x14ac:dyDescent="0.25">
      <c r="B274" s="11" t="str">
        <f>[1]Pokemon!C274</f>
        <v>Bellossom</v>
      </c>
      <c r="C274" s="11" t="str">
        <f>[1]Moves!B274</f>
        <v>Flash</v>
      </c>
    </row>
    <row r="275" spans="2:3" x14ac:dyDescent="0.25">
      <c r="B275" s="11" t="str">
        <f>[1]Pokemon!C275</f>
        <v>Marill</v>
      </c>
      <c r="C275" s="11" t="str">
        <f>[1]Moves!B275</f>
        <v>Flash Cannon</v>
      </c>
    </row>
    <row r="276" spans="2:3" x14ac:dyDescent="0.25">
      <c r="B276" s="11" t="str">
        <f>[1]Pokemon!C276</f>
        <v>Azumarill</v>
      </c>
      <c r="C276" s="11" t="str">
        <f>[1]Moves!B276</f>
        <v>Flatter</v>
      </c>
    </row>
    <row r="277" spans="2:3" x14ac:dyDescent="0.25">
      <c r="B277" s="11" t="str">
        <f>[1]Pokemon!C277</f>
        <v>Sudowoodo</v>
      </c>
      <c r="C277" s="11" t="str">
        <f>[1]Moves!B277</f>
        <v>Fleur Cannon</v>
      </c>
    </row>
    <row r="278" spans="2:3" x14ac:dyDescent="0.25">
      <c r="B278" s="11" t="str">
        <f>[1]Pokemon!C278</f>
        <v>Politoed</v>
      </c>
      <c r="C278" s="11" t="str">
        <f>[1]Moves!B278</f>
        <v>Fling</v>
      </c>
    </row>
    <row r="279" spans="2:3" x14ac:dyDescent="0.25">
      <c r="B279" s="11" t="str">
        <f>[1]Pokemon!C279</f>
        <v>Hoppip</v>
      </c>
      <c r="C279" s="11" t="str">
        <f>[1]Moves!B279</f>
        <v>Flip Turn</v>
      </c>
    </row>
    <row r="280" spans="2:3" x14ac:dyDescent="0.25">
      <c r="B280" s="11" t="str">
        <f>[1]Pokemon!C280</f>
        <v>Skiploom</v>
      </c>
      <c r="C280" s="11" t="str">
        <f>[1]Moves!B280</f>
        <v>Floaty Fall</v>
      </c>
    </row>
    <row r="281" spans="2:3" x14ac:dyDescent="0.25">
      <c r="B281" s="11" t="str">
        <f>[1]Pokemon!C281</f>
        <v>Jumpluff</v>
      </c>
      <c r="C281" s="11" t="str">
        <f>[1]Moves!B281</f>
        <v>Floral Healing</v>
      </c>
    </row>
    <row r="282" spans="2:3" x14ac:dyDescent="0.25">
      <c r="B282" s="11" t="str">
        <f>[1]Pokemon!C282</f>
        <v>Aipom</v>
      </c>
      <c r="C282" s="11" t="str">
        <f>[1]Moves!B282</f>
        <v>Flower Shield</v>
      </c>
    </row>
    <row r="283" spans="2:3" x14ac:dyDescent="0.25">
      <c r="B283" s="11" t="str">
        <f>[1]Pokemon!C283</f>
        <v>Sunkern</v>
      </c>
      <c r="C283" s="11" t="str">
        <f>[1]Moves!B283</f>
        <v>Flower Trick</v>
      </c>
    </row>
    <row r="284" spans="2:3" x14ac:dyDescent="0.25">
      <c r="B284" s="11" t="str">
        <f>[1]Pokemon!C284</f>
        <v>Sunflora</v>
      </c>
      <c r="C284" s="11" t="str">
        <f>[1]Moves!B284</f>
        <v>Fly</v>
      </c>
    </row>
    <row r="285" spans="2:3" x14ac:dyDescent="0.25">
      <c r="B285" s="11" t="str">
        <f>[1]Pokemon!C285</f>
        <v>Yanma</v>
      </c>
      <c r="C285" s="11" t="str">
        <f>[1]Moves!B285</f>
        <v>Flying Press</v>
      </c>
    </row>
    <row r="286" spans="2:3" x14ac:dyDescent="0.25">
      <c r="B286" s="11" t="str">
        <f>[1]Pokemon!C286</f>
        <v>Wooper</v>
      </c>
      <c r="C286" s="11" t="str">
        <f>[1]Moves!B286</f>
        <v>Focus Blast</v>
      </c>
    </row>
    <row r="287" spans="2:3" x14ac:dyDescent="0.25">
      <c r="B287" s="11" t="str">
        <f>[1]Pokemon!C287</f>
        <v>Wooper Paldea</v>
      </c>
      <c r="C287" s="11" t="str">
        <f>[1]Moves!B287</f>
        <v>Focus Energy</v>
      </c>
    </row>
    <row r="288" spans="2:3" x14ac:dyDescent="0.25">
      <c r="B288" s="11" t="str">
        <f>[1]Pokemon!C288</f>
        <v>Quagsire</v>
      </c>
      <c r="C288" s="11" t="str">
        <f>[1]Moves!B288</f>
        <v>Focus Punch</v>
      </c>
    </row>
    <row r="289" spans="2:3" x14ac:dyDescent="0.25">
      <c r="B289" s="11" t="str">
        <f>[1]Pokemon!C289</f>
        <v>Espeon</v>
      </c>
      <c r="C289" s="11" t="str">
        <f>[1]Moves!B289</f>
        <v>Follow Me</v>
      </c>
    </row>
    <row r="290" spans="2:3" x14ac:dyDescent="0.25">
      <c r="B290" s="11" t="str">
        <f>[1]Pokemon!C290</f>
        <v>Umbreon</v>
      </c>
      <c r="C290" s="11" t="str">
        <f>[1]Moves!B290</f>
        <v>Force Palm</v>
      </c>
    </row>
    <row r="291" spans="2:3" x14ac:dyDescent="0.25">
      <c r="B291" s="11" t="str">
        <f>[1]Pokemon!C291</f>
        <v>Murkrow</v>
      </c>
      <c r="C291" s="11" t="str">
        <f>[1]Moves!B291</f>
        <v>Foresight</v>
      </c>
    </row>
    <row r="292" spans="2:3" x14ac:dyDescent="0.25">
      <c r="B292" s="11" t="str">
        <f>[1]Pokemon!C292</f>
        <v>Slowking</v>
      </c>
      <c r="C292" s="11" t="str">
        <f>[1]Moves!B292</f>
        <v>Forests Curse</v>
      </c>
    </row>
    <row r="293" spans="2:3" x14ac:dyDescent="0.25">
      <c r="B293" s="11" t="str">
        <f>[1]Pokemon!C293</f>
        <v>Slowking Galar</v>
      </c>
      <c r="C293" s="11" t="str">
        <f>[1]Moves!B293</f>
        <v>Foul Play</v>
      </c>
    </row>
    <row r="294" spans="2:3" x14ac:dyDescent="0.25">
      <c r="B294" s="11" t="str">
        <f>[1]Pokemon!C294</f>
        <v>Misdreavus</v>
      </c>
      <c r="C294" s="11" t="str">
        <f>[1]Moves!B294</f>
        <v>Freeze Dry</v>
      </c>
    </row>
    <row r="295" spans="2:3" x14ac:dyDescent="0.25">
      <c r="B295" s="11" t="str">
        <f>[1]Pokemon!C295</f>
        <v>Unown</v>
      </c>
      <c r="C295" s="11" t="str">
        <f>[1]Moves!B295</f>
        <v>Freeze Shock</v>
      </c>
    </row>
    <row r="296" spans="2:3" x14ac:dyDescent="0.25">
      <c r="B296" s="11" t="str">
        <f>[1]Pokemon!C296</f>
        <v>Wobbuffet</v>
      </c>
      <c r="C296" s="11" t="str">
        <f>[1]Moves!B296</f>
        <v>Freezing Glare</v>
      </c>
    </row>
    <row r="297" spans="2:3" x14ac:dyDescent="0.25">
      <c r="B297" s="11" t="str">
        <f>[1]Pokemon!C297</f>
        <v>Girafarig</v>
      </c>
      <c r="C297" s="11" t="str">
        <f>[1]Moves!B297</f>
        <v>Freezy Frost</v>
      </c>
    </row>
    <row r="298" spans="2:3" x14ac:dyDescent="0.25">
      <c r="B298" s="11" t="str">
        <f>[1]Pokemon!C298</f>
        <v>Pineco</v>
      </c>
      <c r="C298" s="11" t="str">
        <f>[1]Moves!B298</f>
        <v>Frenzy Plant</v>
      </c>
    </row>
    <row r="299" spans="2:3" x14ac:dyDescent="0.25">
      <c r="B299" s="11" t="str">
        <f>[1]Pokemon!C299</f>
        <v>Forretress</v>
      </c>
      <c r="C299" s="11" t="str">
        <f>[1]Moves!B299</f>
        <v>Frost Breath</v>
      </c>
    </row>
    <row r="300" spans="2:3" x14ac:dyDescent="0.25">
      <c r="B300" s="11" t="str">
        <f>[1]Pokemon!C300</f>
        <v>Dunsparce</v>
      </c>
      <c r="C300" s="11" t="str">
        <f>[1]Moves!B300</f>
        <v>Frustration</v>
      </c>
    </row>
    <row r="301" spans="2:3" x14ac:dyDescent="0.25">
      <c r="B301" s="11" t="str">
        <f>[1]Pokemon!C301</f>
        <v>Gligar</v>
      </c>
      <c r="C301" s="11" t="str">
        <f>[1]Moves!B301</f>
        <v>Fury Attack</v>
      </c>
    </row>
    <row r="302" spans="2:3" x14ac:dyDescent="0.25">
      <c r="B302" s="11" t="str">
        <f>[1]Pokemon!C302</f>
        <v>Steelix</v>
      </c>
      <c r="C302" s="11" t="str">
        <f>[1]Moves!B302</f>
        <v>Fury Cutter</v>
      </c>
    </row>
    <row r="303" spans="2:3" x14ac:dyDescent="0.25">
      <c r="B303" s="11" t="str">
        <f>[1]Pokemon!C303</f>
        <v>Steelix Mega</v>
      </c>
      <c r="C303" s="11" t="str">
        <f>[1]Moves!B303</f>
        <v>Fury Swipes</v>
      </c>
    </row>
    <row r="304" spans="2:3" x14ac:dyDescent="0.25">
      <c r="B304" s="11" t="str">
        <f>[1]Pokemon!C304</f>
        <v>Snubbull</v>
      </c>
      <c r="C304" s="11" t="str">
        <f>[1]Moves!B304</f>
        <v>Fusion Bolt</v>
      </c>
    </row>
    <row r="305" spans="2:3" x14ac:dyDescent="0.25">
      <c r="B305" s="11" t="str">
        <f>[1]Pokemon!C305</f>
        <v>Granbull</v>
      </c>
      <c r="C305" s="11" t="str">
        <f>[1]Moves!B305</f>
        <v>Fusion Flare</v>
      </c>
    </row>
    <row r="306" spans="2:3" x14ac:dyDescent="0.25">
      <c r="B306" s="11" t="str">
        <f>[1]Pokemon!C306</f>
        <v>Qwilfish</v>
      </c>
      <c r="C306" s="11" t="str">
        <f>[1]Moves!B306</f>
        <v>Future Sight</v>
      </c>
    </row>
    <row r="307" spans="2:3" x14ac:dyDescent="0.25">
      <c r="B307" s="11" t="str">
        <f>[1]Pokemon!C307</f>
        <v>Qwilfish Hisui</v>
      </c>
      <c r="C307" s="11" t="str">
        <f>[1]Moves!B307</f>
        <v>Gastro Acid</v>
      </c>
    </row>
    <row r="308" spans="2:3" x14ac:dyDescent="0.25">
      <c r="B308" s="11" t="str">
        <f>[1]Pokemon!C308</f>
        <v>Scizor</v>
      </c>
      <c r="C308" s="11" t="str">
        <f>[1]Moves!B308</f>
        <v>Gear Grind</v>
      </c>
    </row>
    <row r="309" spans="2:3" x14ac:dyDescent="0.25">
      <c r="B309" s="11" t="str">
        <f>[1]Pokemon!C309</f>
        <v>Scizor Mega</v>
      </c>
      <c r="C309" s="11" t="str">
        <f>[1]Moves!B309</f>
        <v>Gear Up</v>
      </c>
    </row>
    <row r="310" spans="2:3" x14ac:dyDescent="0.25">
      <c r="B310" s="11" t="str">
        <f>[1]Pokemon!C310</f>
        <v>Shuckle</v>
      </c>
      <c r="C310" s="11" t="str">
        <f>[1]Moves!B310</f>
        <v>Genesis Supernova</v>
      </c>
    </row>
    <row r="311" spans="2:3" x14ac:dyDescent="0.25">
      <c r="B311" s="11" t="str">
        <f>[1]Pokemon!C311</f>
        <v>Heracross</v>
      </c>
      <c r="C311" s="11" t="str">
        <f>[1]Moves!B311</f>
        <v>Geomancy</v>
      </c>
    </row>
    <row r="312" spans="2:3" x14ac:dyDescent="0.25">
      <c r="B312" s="11" t="str">
        <f>[1]Pokemon!C312</f>
        <v>Heracross Mega</v>
      </c>
      <c r="C312" s="11" t="str">
        <f>[1]Moves!B312</f>
        <v>Giga Drain</v>
      </c>
    </row>
    <row r="313" spans="2:3" x14ac:dyDescent="0.25">
      <c r="B313" s="11" t="str">
        <f>[1]Pokemon!C313</f>
        <v>Sneasel</v>
      </c>
      <c r="C313" s="11" t="str">
        <f>[1]Moves!B313</f>
        <v>Giga Impact</v>
      </c>
    </row>
    <row r="314" spans="2:3" x14ac:dyDescent="0.25">
      <c r="B314" s="11" t="str">
        <f>[1]Pokemon!C314</f>
        <v>Sneasel Hisui</v>
      </c>
      <c r="C314" s="11" t="str">
        <f>[1]Moves!B314</f>
        <v>Gigaton Hammer</v>
      </c>
    </row>
    <row r="315" spans="2:3" x14ac:dyDescent="0.25">
      <c r="B315" s="11" t="str">
        <f>[1]Pokemon!C315</f>
        <v>Teddiursa</v>
      </c>
      <c r="C315" s="11" t="str">
        <f>[1]Moves!B315</f>
        <v>Gigavolt Havoc Physical</v>
      </c>
    </row>
    <row r="316" spans="2:3" x14ac:dyDescent="0.25">
      <c r="B316" s="11" t="str">
        <f>[1]Pokemon!C316</f>
        <v>Ursaring</v>
      </c>
      <c r="C316" s="11" t="str">
        <f>[1]Moves!B316</f>
        <v>Gigavolt Havoc Special</v>
      </c>
    </row>
    <row r="317" spans="2:3" x14ac:dyDescent="0.25">
      <c r="B317" s="11" t="str">
        <f>[1]Pokemon!C317</f>
        <v>Slugma</v>
      </c>
      <c r="C317" s="11" t="str">
        <f>[1]Moves!B317</f>
        <v>Glacial Lance</v>
      </c>
    </row>
    <row r="318" spans="2:3" x14ac:dyDescent="0.25">
      <c r="B318" s="11" t="str">
        <f>[1]Pokemon!C318</f>
        <v>Magcargo</v>
      </c>
      <c r="C318" s="11" t="str">
        <f>[1]Moves!B318</f>
        <v>Glaciate</v>
      </c>
    </row>
    <row r="319" spans="2:3" x14ac:dyDescent="0.25">
      <c r="B319" s="11" t="str">
        <f>[1]Pokemon!C319</f>
        <v>Swinub</v>
      </c>
      <c r="C319" s="11" t="str">
        <f>[1]Moves!B319</f>
        <v>Glaive Rush</v>
      </c>
    </row>
    <row r="320" spans="2:3" x14ac:dyDescent="0.25">
      <c r="B320" s="11" t="str">
        <f>[1]Pokemon!C320</f>
        <v>Piloswine</v>
      </c>
      <c r="C320" s="11" t="str">
        <f>[1]Moves!B320</f>
        <v>Glare</v>
      </c>
    </row>
    <row r="321" spans="2:3" x14ac:dyDescent="0.25">
      <c r="B321" s="11" t="str">
        <f>[1]Pokemon!C321</f>
        <v>Corsola</v>
      </c>
      <c r="C321" s="11" t="str">
        <f>[1]Moves!B321</f>
        <v>Glitzy Glow</v>
      </c>
    </row>
    <row r="322" spans="2:3" x14ac:dyDescent="0.25">
      <c r="B322" s="11" t="str">
        <f>[1]Pokemon!C322</f>
        <v>Corsola Galar</v>
      </c>
      <c r="C322" s="11" t="str">
        <f>[1]Moves!B322</f>
        <v>Grass Knot</v>
      </c>
    </row>
    <row r="323" spans="2:3" x14ac:dyDescent="0.25">
      <c r="B323" s="11" t="str">
        <f>[1]Pokemon!C323</f>
        <v>Remoraid</v>
      </c>
      <c r="C323" s="11" t="str">
        <f>[1]Moves!B323</f>
        <v>Grass Pledge</v>
      </c>
    </row>
    <row r="324" spans="2:3" x14ac:dyDescent="0.25">
      <c r="B324" s="11" t="str">
        <f>[1]Pokemon!C324</f>
        <v>Octillery</v>
      </c>
      <c r="C324" s="11" t="str">
        <f>[1]Moves!B324</f>
        <v>Grass Whistle</v>
      </c>
    </row>
    <row r="325" spans="2:3" x14ac:dyDescent="0.25">
      <c r="B325" s="11" t="str">
        <f>[1]Pokemon!C325</f>
        <v>Delibird</v>
      </c>
      <c r="C325" s="11" t="str">
        <f>[1]Moves!B325</f>
        <v>Grassy Glide</v>
      </c>
    </row>
    <row r="326" spans="2:3" x14ac:dyDescent="0.25">
      <c r="B326" s="11" t="str">
        <f>[1]Pokemon!C326</f>
        <v>Mantine</v>
      </c>
      <c r="C326" s="11" t="str">
        <f>[1]Moves!B326</f>
        <v>Grassy Terrain</v>
      </c>
    </row>
    <row r="327" spans="2:3" x14ac:dyDescent="0.25">
      <c r="B327" s="11" t="str">
        <f>[1]Pokemon!C327</f>
        <v>Skarmory</v>
      </c>
      <c r="C327" s="11" t="str">
        <f>[1]Moves!B327</f>
        <v>Grav Apple</v>
      </c>
    </row>
    <row r="328" spans="2:3" x14ac:dyDescent="0.25">
      <c r="B328" s="11" t="str">
        <f>[1]Pokemon!C328</f>
        <v>Skarmory Mega</v>
      </c>
      <c r="C328" s="11" t="str">
        <f>[1]Moves!B328</f>
        <v>Gravity</v>
      </c>
    </row>
    <row r="329" spans="2:3" x14ac:dyDescent="0.25">
      <c r="B329" s="11" t="str">
        <f>[1]Pokemon!C329</f>
        <v>Houndour</v>
      </c>
      <c r="C329" s="11" t="str">
        <f>[1]Moves!B329</f>
        <v>Growl</v>
      </c>
    </row>
    <row r="330" spans="2:3" x14ac:dyDescent="0.25">
      <c r="B330" s="11" t="str">
        <f>[1]Pokemon!C330</f>
        <v>Houndoom</v>
      </c>
      <c r="C330" s="11" t="str">
        <f>[1]Moves!B330</f>
        <v>Growth</v>
      </c>
    </row>
    <row r="331" spans="2:3" x14ac:dyDescent="0.25">
      <c r="B331" s="11" t="str">
        <f>[1]Pokemon!C331</f>
        <v>Houndoom Mega</v>
      </c>
      <c r="C331" s="11" t="str">
        <f>[1]Moves!B331</f>
        <v>Grudge</v>
      </c>
    </row>
    <row r="332" spans="2:3" x14ac:dyDescent="0.25">
      <c r="B332" s="11" t="str">
        <f>[1]Pokemon!C332</f>
        <v>Kingdra</v>
      </c>
      <c r="C332" s="11" t="str">
        <f>[1]Moves!B332</f>
        <v>Guard Split</v>
      </c>
    </row>
    <row r="333" spans="2:3" x14ac:dyDescent="0.25">
      <c r="B333" s="11" t="str">
        <f>[1]Pokemon!C333</f>
        <v>Phanpy</v>
      </c>
      <c r="C333" s="11" t="str">
        <f>[1]Moves!B333</f>
        <v>Guard Swap</v>
      </c>
    </row>
    <row r="334" spans="2:3" x14ac:dyDescent="0.25">
      <c r="B334" s="11" t="str">
        <f>[1]Pokemon!C334</f>
        <v>Donphan</v>
      </c>
      <c r="C334" s="11" t="str">
        <f>[1]Moves!B334</f>
        <v>Guardian Of Alola</v>
      </c>
    </row>
    <row r="335" spans="2:3" x14ac:dyDescent="0.25">
      <c r="B335" s="11" t="str">
        <f>[1]Pokemon!C335</f>
        <v>Porygon2</v>
      </c>
      <c r="C335" s="11" t="str">
        <f>[1]Moves!B335</f>
        <v>Guillotine</v>
      </c>
    </row>
    <row r="336" spans="2:3" x14ac:dyDescent="0.25">
      <c r="B336" s="11" t="str">
        <f>[1]Pokemon!C336</f>
        <v>Stantler</v>
      </c>
      <c r="C336" s="11" t="str">
        <f>[1]Moves!B336</f>
        <v>Gunk Shot</v>
      </c>
    </row>
    <row r="337" spans="2:3" x14ac:dyDescent="0.25">
      <c r="B337" s="11" t="str">
        <f>[1]Pokemon!C337</f>
        <v>Smeargle</v>
      </c>
      <c r="C337" s="11" t="str">
        <f>[1]Moves!B337</f>
        <v>Gust</v>
      </c>
    </row>
    <row r="338" spans="2:3" x14ac:dyDescent="0.25">
      <c r="B338" s="11" t="str">
        <f>[1]Pokemon!C338</f>
        <v>Tyrogue</v>
      </c>
      <c r="C338" s="11" t="str">
        <f>[1]Moves!B338</f>
        <v>Gyro Ball</v>
      </c>
    </row>
    <row r="339" spans="2:3" x14ac:dyDescent="0.25">
      <c r="B339" s="11" t="str">
        <f>[1]Pokemon!C339</f>
        <v>Hitmontop</v>
      </c>
      <c r="C339" s="11" t="str">
        <f>[1]Moves!B339</f>
        <v>Hail</v>
      </c>
    </row>
    <row r="340" spans="2:3" x14ac:dyDescent="0.25">
      <c r="B340" s="11" t="str">
        <f>[1]Pokemon!C340</f>
        <v>Smoochum</v>
      </c>
      <c r="C340" s="11" t="str">
        <f>[1]Moves!B340</f>
        <v>Hammer Arm</v>
      </c>
    </row>
    <row r="341" spans="2:3" x14ac:dyDescent="0.25">
      <c r="B341" s="11" t="str">
        <f>[1]Pokemon!C341</f>
        <v>Elekid</v>
      </c>
      <c r="C341" s="11" t="str">
        <f>[1]Moves!B341</f>
        <v>Happy Hour</v>
      </c>
    </row>
    <row r="342" spans="2:3" x14ac:dyDescent="0.25">
      <c r="B342" s="11" t="str">
        <f>[1]Pokemon!C342</f>
        <v>Magby</v>
      </c>
      <c r="C342" s="11" t="str">
        <f>[1]Moves!B342</f>
        <v>Hard Press</v>
      </c>
    </row>
    <row r="343" spans="2:3" x14ac:dyDescent="0.25">
      <c r="B343" s="11" t="str">
        <f>[1]Pokemon!C343</f>
        <v>Miltank</v>
      </c>
      <c r="C343" s="11" t="str">
        <f>[1]Moves!B343</f>
        <v>Harden</v>
      </c>
    </row>
    <row r="344" spans="2:3" x14ac:dyDescent="0.25">
      <c r="B344" s="11" t="str">
        <f>[1]Pokemon!C344</f>
        <v>Blissey</v>
      </c>
      <c r="C344" s="11" t="str">
        <f>[1]Moves!B344</f>
        <v>Haze</v>
      </c>
    </row>
    <row r="345" spans="2:3" x14ac:dyDescent="0.25">
      <c r="B345" s="11" t="str">
        <f>[1]Pokemon!C345</f>
        <v>Raikou</v>
      </c>
      <c r="C345" s="11" t="str">
        <f>[1]Moves!B345</f>
        <v>Head Charge</v>
      </c>
    </row>
    <row r="346" spans="2:3" x14ac:dyDescent="0.25">
      <c r="B346" s="11" t="str">
        <f>[1]Pokemon!C346</f>
        <v>Entei</v>
      </c>
      <c r="C346" s="11" t="str">
        <f>[1]Moves!B346</f>
        <v>Head Smash</v>
      </c>
    </row>
    <row r="347" spans="2:3" x14ac:dyDescent="0.25">
      <c r="B347" s="11" t="str">
        <f>[1]Pokemon!C347</f>
        <v>Suicune</v>
      </c>
      <c r="C347" s="11" t="str">
        <f>[1]Moves!B347</f>
        <v>Headbutt</v>
      </c>
    </row>
    <row r="348" spans="2:3" x14ac:dyDescent="0.25">
      <c r="B348" s="11" t="str">
        <f>[1]Pokemon!C348</f>
        <v>Larvitar</v>
      </c>
      <c r="C348" s="11" t="str">
        <f>[1]Moves!B348</f>
        <v>Headlong Rush</v>
      </c>
    </row>
    <row r="349" spans="2:3" x14ac:dyDescent="0.25">
      <c r="B349" s="11" t="str">
        <f>[1]Pokemon!C349</f>
        <v>Pupitar</v>
      </c>
      <c r="C349" s="11" t="str">
        <f>[1]Moves!B349</f>
        <v>Heal Bell</v>
      </c>
    </row>
    <row r="350" spans="2:3" x14ac:dyDescent="0.25">
      <c r="B350" s="11" t="str">
        <f>[1]Pokemon!C350</f>
        <v>Tyranitar</v>
      </c>
      <c r="C350" s="11" t="str">
        <f>[1]Moves!B350</f>
        <v>Heal Block</v>
      </c>
    </row>
    <row r="351" spans="2:3" x14ac:dyDescent="0.25">
      <c r="B351" s="11" t="str">
        <f>[1]Pokemon!C351</f>
        <v>Tyranitar Mega</v>
      </c>
      <c r="C351" s="11" t="str">
        <f>[1]Moves!B351</f>
        <v>Heal Order</v>
      </c>
    </row>
    <row r="352" spans="2:3" x14ac:dyDescent="0.25">
      <c r="B352" s="11" t="str">
        <f>[1]Pokemon!C352</f>
        <v>Lugia</v>
      </c>
      <c r="C352" s="11" t="str">
        <f>[1]Moves!B352</f>
        <v>Heal Pulse</v>
      </c>
    </row>
    <row r="353" spans="2:3" x14ac:dyDescent="0.25">
      <c r="B353" s="11" t="str">
        <f>[1]Pokemon!C353</f>
        <v>Ho Oh</v>
      </c>
      <c r="C353" s="11" t="str">
        <f>[1]Moves!B353</f>
        <v>Healing Wish</v>
      </c>
    </row>
    <row r="354" spans="2:3" x14ac:dyDescent="0.25">
      <c r="B354" s="11" t="str">
        <f>[1]Pokemon!C354</f>
        <v>Celebi</v>
      </c>
      <c r="C354" s="11" t="str">
        <f>[1]Moves!B354</f>
        <v>Heart Stamp</v>
      </c>
    </row>
    <row r="355" spans="2:3" x14ac:dyDescent="0.25">
      <c r="B355" s="11" t="str">
        <f>[1]Pokemon!C355</f>
        <v>Treecko</v>
      </c>
      <c r="C355" s="11" t="str">
        <f>[1]Moves!B355</f>
        <v>Heart Swap</v>
      </c>
    </row>
    <row r="356" spans="2:3" x14ac:dyDescent="0.25">
      <c r="B356" s="11" t="str">
        <f>[1]Pokemon!C356</f>
        <v>Grovyle</v>
      </c>
      <c r="C356" s="11" t="str">
        <f>[1]Moves!B356</f>
        <v>Heat Crash</v>
      </c>
    </row>
    <row r="357" spans="2:3" x14ac:dyDescent="0.25">
      <c r="B357" s="11" t="str">
        <f>[1]Pokemon!C357</f>
        <v>Sceptile</v>
      </c>
      <c r="C357" s="11" t="str">
        <f>[1]Moves!B357</f>
        <v>Heat Wave</v>
      </c>
    </row>
    <row r="358" spans="2:3" x14ac:dyDescent="0.25">
      <c r="B358" s="11" t="str">
        <f>[1]Pokemon!C358</f>
        <v>Sceptile Mega</v>
      </c>
      <c r="C358" s="11" t="str">
        <f>[1]Moves!B358</f>
        <v>Heavy Slam</v>
      </c>
    </row>
    <row r="359" spans="2:3" x14ac:dyDescent="0.25">
      <c r="B359" s="11" t="str">
        <f>[1]Pokemon!C359</f>
        <v>Torchic</v>
      </c>
      <c r="C359" s="11" t="str">
        <f>[1]Moves!B359</f>
        <v>Helping Hand</v>
      </c>
    </row>
    <row r="360" spans="2:3" x14ac:dyDescent="0.25">
      <c r="B360" s="11" t="str">
        <f>[1]Pokemon!C360</f>
        <v>Combusken</v>
      </c>
      <c r="C360" s="11" t="str">
        <f>[1]Moves!B360</f>
        <v>Hex</v>
      </c>
    </row>
    <row r="361" spans="2:3" x14ac:dyDescent="0.25">
      <c r="B361" s="11" t="str">
        <f>[1]Pokemon!C361</f>
        <v>Blaziken</v>
      </c>
      <c r="C361" s="11" t="str">
        <f>[1]Moves!B361</f>
        <v>Hidden Power</v>
      </c>
    </row>
    <row r="362" spans="2:3" x14ac:dyDescent="0.25">
      <c r="B362" s="11" t="str">
        <f>[1]Pokemon!C362</f>
        <v>Blaziken Mega</v>
      </c>
      <c r="C362" s="11" t="str">
        <f>[1]Moves!B362</f>
        <v>High Horsepower</v>
      </c>
    </row>
    <row r="363" spans="2:3" x14ac:dyDescent="0.25">
      <c r="B363" s="11" t="str">
        <f>[1]Pokemon!C363</f>
        <v>Mudkip</v>
      </c>
      <c r="C363" s="11" t="str">
        <f>[1]Moves!B363</f>
        <v>High Jump Kick</v>
      </c>
    </row>
    <row r="364" spans="2:3" x14ac:dyDescent="0.25">
      <c r="B364" s="11" t="str">
        <f>[1]Pokemon!C364</f>
        <v>Marshtomp</v>
      </c>
      <c r="C364" s="11" t="str">
        <f>[1]Moves!B364</f>
        <v>Hold Back</v>
      </c>
    </row>
    <row r="365" spans="2:3" x14ac:dyDescent="0.25">
      <c r="B365" s="11" t="str">
        <f>[1]Pokemon!C365</f>
        <v>Swampert</v>
      </c>
      <c r="C365" s="11" t="str">
        <f>[1]Moves!B365</f>
        <v>Hold Hands</v>
      </c>
    </row>
    <row r="366" spans="2:3" x14ac:dyDescent="0.25">
      <c r="B366" s="11" t="str">
        <f>[1]Pokemon!C366</f>
        <v>Swampert Mega</v>
      </c>
      <c r="C366" s="11" t="str">
        <f>[1]Moves!B366</f>
        <v>Hone Claws</v>
      </c>
    </row>
    <row r="367" spans="2:3" x14ac:dyDescent="0.25">
      <c r="B367" s="11" t="str">
        <f>[1]Pokemon!C367</f>
        <v>Poochyena</v>
      </c>
      <c r="C367" s="11" t="str">
        <f>[1]Moves!B367</f>
        <v>Horn Attack</v>
      </c>
    </row>
    <row r="368" spans="2:3" x14ac:dyDescent="0.25">
      <c r="B368" s="11" t="str">
        <f>[1]Pokemon!C368</f>
        <v>Mightyena</v>
      </c>
      <c r="C368" s="11" t="str">
        <f>[1]Moves!B368</f>
        <v>Horn Drill</v>
      </c>
    </row>
    <row r="369" spans="2:3" x14ac:dyDescent="0.25">
      <c r="B369" s="11" t="str">
        <f>[1]Pokemon!C369</f>
        <v>Zigzagoon</v>
      </c>
      <c r="C369" s="11" t="str">
        <f>[1]Moves!B369</f>
        <v>Horn Leech</v>
      </c>
    </row>
    <row r="370" spans="2:3" x14ac:dyDescent="0.25">
      <c r="B370" s="11" t="str">
        <f>[1]Pokemon!C370</f>
        <v>Zigzagoon Galar</v>
      </c>
      <c r="C370" s="11" t="str">
        <f>[1]Moves!B370</f>
        <v>Howl</v>
      </c>
    </row>
    <row r="371" spans="2:3" x14ac:dyDescent="0.25">
      <c r="B371" s="11" t="str">
        <f>[1]Pokemon!C371</f>
        <v>Linoone</v>
      </c>
      <c r="C371" s="11" t="str">
        <f>[1]Moves!B371</f>
        <v>Hurricane</v>
      </c>
    </row>
    <row r="372" spans="2:3" x14ac:dyDescent="0.25">
      <c r="B372" s="11" t="str">
        <f>[1]Pokemon!C372</f>
        <v>Linoone Galar</v>
      </c>
      <c r="C372" s="11" t="str">
        <f>[1]Moves!B372</f>
        <v>Hydro Cannon</v>
      </c>
    </row>
    <row r="373" spans="2:3" x14ac:dyDescent="0.25">
      <c r="B373" s="11" t="str">
        <f>[1]Pokemon!C373</f>
        <v>Wurmple</v>
      </c>
      <c r="C373" s="11" t="str">
        <f>[1]Moves!B373</f>
        <v>Hydro Pump</v>
      </c>
    </row>
    <row r="374" spans="2:3" x14ac:dyDescent="0.25">
      <c r="B374" s="11" t="str">
        <f>[1]Pokemon!C374</f>
        <v>Silcoon</v>
      </c>
      <c r="C374" s="11" t="str">
        <f>[1]Moves!B374</f>
        <v>Hydro Steam</v>
      </c>
    </row>
    <row r="375" spans="2:3" x14ac:dyDescent="0.25">
      <c r="B375" s="11" t="str">
        <f>[1]Pokemon!C375</f>
        <v>Beautifly</v>
      </c>
      <c r="C375" s="11" t="str">
        <f>[1]Moves!B375</f>
        <v>Hydro Vortex Physical</v>
      </c>
    </row>
    <row r="376" spans="2:3" x14ac:dyDescent="0.25">
      <c r="B376" s="11" t="str">
        <f>[1]Pokemon!C376</f>
        <v>Cascoon</v>
      </c>
      <c r="C376" s="11" t="str">
        <f>[1]Moves!B376</f>
        <v>Hydro Vortex Special</v>
      </c>
    </row>
    <row r="377" spans="2:3" x14ac:dyDescent="0.25">
      <c r="B377" s="11" t="str">
        <f>[1]Pokemon!C377</f>
        <v>Dustox</v>
      </c>
      <c r="C377" s="11" t="str">
        <f>[1]Moves!B377</f>
        <v>Hyper Beam</v>
      </c>
    </row>
    <row r="378" spans="2:3" x14ac:dyDescent="0.25">
      <c r="B378" s="11" t="str">
        <f>[1]Pokemon!C378</f>
        <v>Lotad</v>
      </c>
      <c r="C378" s="11" t="str">
        <f>[1]Moves!B378</f>
        <v>Hyper Drill</v>
      </c>
    </row>
    <row r="379" spans="2:3" x14ac:dyDescent="0.25">
      <c r="B379" s="11" t="str">
        <f>[1]Pokemon!C379</f>
        <v>Lombre</v>
      </c>
      <c r="C379" s="11" t="str">
        <f>[1]Moves!B379</f>
        <v>Hyper Fang</v>
      </c>
    </row>
    <row r="380" spans="2:3" x14ac:dyDescent="0.25">
      <c r="B380" s="11" t="str">
        <f>[1]Pokemon!C380</f>
        <v>Ludicolo</v>
      </c>
      <c r="C380" s="11" t="str">
        <f>[1]Moves!B380</f>
        <v>Hyper Voice</v>
      </c>
    </row>
    <row r="381" spans="2:3" x14ac:dyDescent="0.25">
      <c r="B381" s="11" t="str">
        <f>[1]Pokemon!C381</f>
        <v>Seedot</v>
      </c>
      <c r="C381" s="11" t="str">
        <f>[1]Moves!B381</f>
        <v>Hyperspace Fury</v>
      </c>
    </row>
    <row r="382" spans="2:3" x14ac:dyDescent="0.25">
      <c r="B382" s="11" t="str">
        <f>[1]Pokemon!C382</f>
        <v>Nuzleaf</v>
      </c>
      <c r="C382" s="11" t="str">
        <f>[1]Moves!B382</f>
        <v>Hyperspace Hole</v>
      </c>
    </row>
    <row r="383" spans="2:3" x14ac:dyDescent="0.25">
      <c r="B383" s="11" t="str">
        <f>[1]Pokemon!C383</f>
        <v>Shiftry</v>
      </c>
      <c r="C383" s="11" t="str">
        <f>[1]Moves!B383</f>
        <v>Hypnosis</v>
      </c>
    </row>
    <row r="384" spans="2:3" x14ac:dyDescent="0.25">
      <c r="B384" s="11" t="str">
        <f>[1]Pokemon!C384</f>
        <v>Taillow</v>
      </c>
      <c r="C384" s="11" t="str">
        <f>[1]Moves!B384</f>
        <v>Ice Ball</v>
      </c>
    </row>
    <row r="385" spans="2:3" x14ac:dyDescent="0.25">
      <c r="B385" s="11" t="str">
        <f>[1]Pokemon!C385</f>
        <v>Swellow</v>
      </c>
      <c r="C385" s="11" t="str">
        <f>[1]Moves!B385</f>
        <v>Ice Beam</v>
      </c>
    </row>
    <row r="386" spans="2:3" x14ac:dyDescent="0.25">
      <c r="B386" s="11" t="str">
        <f>[1]Pokemon!C386</f>
        <v>Wingull</v>
      </c>
      <c r="C386" s="11" t="str">
        <f>[1]Moves!B386</f>
        <v>Ice Burn</v>
      </c>
    </row>
    <row r="387" spans="2:3" x14ac:dyDescent="0.25">
      <c r="B387" s="11" t="str">
        <f>[1]Pokemon!C387</f>
        <v>Pelipper</v>
      </c>
      <c r="C387" s="11" t="str">
        <f>[1]Moves!B387</f>
        <v>Ice Fang</v>
      </c>
    </row>
    <row r="388" spans="2:3" x14ac:dyDescent="0.25">
      <c r="B388" s="11" t="str">
        <f>[1]Pokemon!C388</f>
        <v>Ralts</v>
      </c>
      <c r="C388" s="11" t="str">
        <f>[1]Moves!B388</f>
        <v>Ice Hammer</v>
      </c>
    </row>
    <row r="389" spans="2:3" x14ac:dyDescent="0.25">
      <c r="B389" s="11" t="str">
        <f>[1]Pokemon!C389</f>
        <v>Kirlia</v>
      </c>
      <c r="C389" s="11" t="str">
        <f>[1]Moves!B389</f>
        <v>Ice Punch</v>
      </c>
    </row>
    <row r="390" spans="2:3" x14ac:dyDescent="0.25">
      <c r="B390" s="11" t="str">
        <f>[1]Pokemon!C390</f>
        <v>Gardevoir</v>
      </c>
      <c r="C390" s="11" t="str">
        <f>[1]Moves!B390</f>
        <v>Ice Shard</v>
      </c>
    </row>
    <row r="391" spans="2:3" x14ac:dyDescent="0.25">
      <c r="B391" s="11" t="str">
        <f>[1]Pokemon!C391</f>
        <v>Gardevoir Mega</v>
      </c>
      <c r="C391" s="11" t="str">
        <f>[1]Moves!B391</f>
        <v>Ice Spinner</v>
      </c>
    </row>
    <row r="392" spans="2:3" x14ac:dyDescent="0.25">
      <c r="B392" s="11" t="str">
        <f>[1]Pokemon!C392</f>
        <v>Surskit</v>
      </c>
      <c r="C392" s="11" t="str">
        <f>[1]Moves!B392</f>
        <v>Icicle Crash</v>
      </c>
    </row>
    <row r="393" spans="2:3" x14ac:dyDescent="0.25">
      <c r="B393" s="11" t="str">
        <f>[1]Pokemon!C393</f>
        <v>Masquerain</v>
      </c>
      <c r="C393" s="11" t="str">
        <f>[1]Moves!B393</f>
        <v>Icicle Spear</v>
      </c>
    </row>
    <row r="394" spans="2:3" x14ac:dyDescent="0.25">
      <c r="B394" s="11" t="str">
        <f>[1]Pokemon!C394</f>
        <v>Shroomish</v>
      </c>
      <c r="C394" s="11" t="str">
        <f>[1]Moves!B394</f>
        <v>Icy Wind</v>
      </c>
    </row>
    <row r="395" spans="2:3" x14ac:dyDescent="0.25">
      <c r="B395" s="11" t="str">
        <f>[1]Pokemon!C395</f>
        <v>Breloom</v>
      </c>
      <c r="C395" s="11" t="str">
        <f>[1]Moves!B395</f>
        <v>Imprison</v>
      </c>
    </row>
    <row r="396" spans="2:3" x14ac:dyDescent="0.25">
      <c r="B396" s="11" t="str">
        <f>[1]Pokemon!C396</f>
        <v>Slakoth</v>
      </c>
      <c r="C396" s="11" t="str">
        <f>[1]Moves!B396</f>
        <v>Incinerate</v>
      </c>
    </row>
    <row r="397" spans="2:3" x14ac:dyDescent="0.25">
      <c r="B397" s="11" t="str">
        <f>[1]Pokemon!C397</f>
        <v>Vigoroth</v>
      </c>
      <c r="C397" s="11" t="str">
        <f>[1]Moves!B397</f>
        <v>Infernal Parade</v>
      </c>
    </row>
    <row r="398" spans="2:3" x14ac:dyDescent="0.25">
      <c r="B398" s="11" t="str">
        <f>[1]Pokemon!C398</f>
        <v>Slaking</v>
      </c>
      <c r="C398" s="11" t="str">
        <f>[1]Moves!B398</f>
        <v>Inferno</v>
      </c>
    </row>
    <row r="399" spans="2:3" x14ac:dyDescent="0.25">
      <c r="B399" s="11" t="str">
        <f>[1]Pokemon!C399</f>
        <v>Nincada</v>
      </c>
      <c r="C399" s="11" t="str">
        <f>[1]Moves!B399</f>
        <v>Inferno Overdrive Physical</v>
      </c>
    </row>
    <row r="400" spans="2:3" x14ac:dyDescent="0.25">
      <c r="B400" s="11" t="str">
        <f>[1]Pokemon!C400</f>
        <v>Ninjask</v>
      </c>
      <c r="C400" s="11" t="str">
        <f>[1]Moves!B400</f>
        <v>Inferno Overdrive Special</v>
      </c>
    </row>
    <row r="401" spans="2:3" x14ac:dyDescent="0.25">
      <c r="B401" s="11" t="str">
        <f>[1]Pokemon!C401</f>
        <v>Shedinja</v>
      </c>
      <c r="C401" s="11" t="str">
        <f>[1]Moves!B401</f>
        <v>Infestation</v>
      </c>
    </row>
    <row r="402" spans="2:3" x14ac:dyDescent="0.25">
      <c r="B402" s="11" t="str">
        <f>[1]Pokemon!C402</f>
        <v>Whismur</v>
      </c>
      <c r="C402" s="11" t="str">
        <f>[1]Moves!B402</f>
        <v>Ingrain</v>
      </c>
    </row>
    <row r="403" spans="2:3" x14ac:dyDescent="0.25">
      <c r="B403" s="11" t="str">
        <f>[1]Pokemon!C403</f>
        <v>Loudred</v>
      </c>
      <c r="C403" s="11" t="str">
        <f>[1]Moves!B403</f>
        <v>Instruct</v>
      </c>
    </row>
    <row r="404" spans="2:3" x14ac:dyDescent="0.25">
      <c r="B404" s="11" t="str">
        <f>[1]Pokemon!C404</f>
        <v>Exploud</v>
      </c>
      <c r="C404" s="11" t="str">
        <f>[1]Moves!B404</f>
        <v>Ion Deluge</v>
      </c>
    </row>
    <row r="405" spans="2:3" x14ac:dyDescent="0.25">
      <c r="B405" s="11" t="str">
        <f>[1]Pokemon!C405</f>
        <v>Makuhita</v>
      </c>
      <c r="C405" s="11" t="str">
        <f>[1]Moves!B405</f>
        <v>Iron Defense</v>
      </c>
    </row>
    <row r="406" spans="2:3" x14ac:dyDescent="0.25">
      <c r="B406" s="11" t="str">
        <f>[1]Pokemon!C406</f>
        <v>Hariyama</v>
      </c>
      <c r="C406" s="11" t="str">
        <f>[1]Moves!B406</f>
        <v>Iron Head</v>
      </c>
    </row>
    <row r="407" spans="2:3" x14ac:dyDescent="0.25">
      <c r="B407" s="11" t="str">
        <f>[1]Pokemon!C407</f>
        <v>Azurill</v>
      </c>
      <c r="C407" s="11" t="str">
        <f>[1]Moves!B407</f>
        <v>Iron Tail</v>
      </c>
    </row>
    <row r="408" spans="2:3" x14ac:dyDescent="0.25">
      <c r="B408" s="11" t="str">
        <f>[1]Pokemon!C408</f>
        <v>Nosepass</v>
      </c>
      <c r="C408" s="11" t="str">
        <f>[1]Moves!B408</f>
        <v>Ivy Cudgel</v>
      </c>
    </row>
    <row r="409" spans="2:3" x14ac:dyDescent="0.25">
      <c r="B409" s="11" t="str">
        <f>[1]Pokemon!C409</f>
        <v>Skitty</v>
      </c>
      <c r="C409" s="11" t="str">
        <f>[1]Moves!B409</f>
        <v>Jaw Lock</v>
      </c>
    </row>
    <row r="410" spans="2:3" x14ac:dyDescent="0.25">
      <c r="B410" s="11" t="str">
        <f>[1]Pokemon!C410</f>
        <v>Delcatty</v>
      </c>
      <c r="C410" s="11" t="str">
        <f>[1]Moves!B410</f>
        <v>Jet Punch</v>
      </c>
    </row>
    <row r="411" spans="2:3" x14ac:dyDescent="0.25">
      <c r="B411" s="11" t="str">
        <f>[1]Pokemon!C411</f>
        <v>Sableye</v>
      </c>
      <c r="C411" s="11" t="str">
        <f>[1]Moves!B411</f>
        <v>Judgment</v>
      </c>
    </row>
    <row r="412" spans="2:3" x14ac:dyDescent="0.25">
      <c r="B412" s="11" t="str">
        <f>[1]Pokemon!C412</f>
        <v>Sableye Mega</v>
      </c>
      <c r="C412" s="11" t="str">
        <f>[1]Moves!B412</f>
        <v>Jump Kick</v>
      </c>
    </row>
    <row r="413" spans="2:3" x14ac:dyDescent="0.25">
      <c r="B413" s="11" t="str">
        <f>[1]Pokemon!C413</f>
        <v>Mawile</v>
      </c>
      <c r="C413" s="11" t="str">
        <f>[1]Moves!B413</f>
        <v>Jungle Healing</v>
      </c>
    </row>
    <row r="414" spans="2:3" x14ac:dyDescent="0.25">
      <c r="B414" s="11" t="str">
        <f>[1]Pokemon!C414</f>
        <v>Mawile Mega</v>
      </c>
      <c r="C414" s="11" t="str">
        <f>[1]Moves!B414</f>
        <v>Karate Chop</v>
      </c>
    </row>
    <row r="415" spans="2:3" x14ac:dyDescent="0.25">
      <c r="B415" s="11" t="str">
        <f>[1]Pokemon!C415</f>
        <v>Aron</v>
      </c>
      <c r="C415" s="11" t="str">
        <f>[1]Moves!B415</f>
        <v>Kinesis</v>
      </c>
    </row>
    <row r="416" spans="2:3" x14ac:dyDescent="0.25">
      <c r="B416" s="11" t="str">
        <f>[1]Pokemon!C416</f>
        <v>Lairon</v>
      </c>
      <c r="C416" s="11" t="str">
        <f>[1]Moves!B416</f>
        <v>Kings Shield</v>
      </c>
    </row>
    <row r="417" spans="2:3" x14ac:dyDescent="0.25">
      <c r="B417" s="11" t="str">
        <f>[1]Pokemon!C417</f>
        <v>Aggron</v>
      </c>
      <c r="C417" s="11" t="str">
        <f>[1]Moves!B417</f>
        <v>Knock Off</v>
      </c>
    </row>
    <row r="418" spans="2:3" x14ac:dyDescent="0.25">
      <c r="B418" s="11" t="str">
        <f>[1]Pokemon!C418</f>
        <v>Aggron Mega</v>
      </c>
      <c r="C418" s="11" t="str">
        <f>[1]Moves!B418</f>
        <v>Kowtow Cleave</v>
      </c>
    </row>
    <row r="419" spans="2:3" x14ac:dyDescent="0.25">
      <c r="B419" s="11" t="str">
        <f>[1]Pokemon!C419</f>
        <v>Meditite</v>
      </c>
      <c r="C419" s="11" t="str">
        <f>[1]Moves!B419</f>
        <v>Lands Wrath</v>
      </c>
    </row>
    <row r="420" spans="2:3" x14ac:dyDescent="0.25">
      <c r="B420" s="11" t="str">
        <f>[1]Pokemon!C420</f>
        <v>Medicham</v>
      </c>
      <c r="C420" s="11" t="str">
        <f>[1]Moves!B420</f>
        <v>Laser Focus</v>
      </c>
    </row>
    <row r="421" spans="2:3" x14ac:dyDescent="0.25">
      <c r="B421" s="11" t="str">
        <f>[1]Pokemon!C421</f>
        <v>Medicham Mega</v>
      </c>
      <c r="C421" s="11" t="str">
        <f>[1]Moves!B421</f>
        <v>Lash Out</v>
      </c>
    </row>
    <row r="422" spans="2:3" x14ac:dyDescent="0.25">
      <c r="B422" s="11" t="str">
        <f>[1]Pokemon!C422</f>
        <v>Electrike</v>
      </c>
      <c r="C422" s="11" t="str">
        <f>[1]Moves!B422</f>
        <v>Last Resort</v>
      </c>
    </row>
    <row r="423" spans="2:3" x14ac:dyDescent="0.25">
      <c r="B423" s="11" t="str">
        <f>[1]Pokemon!C423</f>
        <v>Manectric</v>
      </c>
      <c r="C423" s="11" t="str">
        <f>[1]Moves!B423</f>
        <v>Last Respects</v>
      </c>
    </row>
    <row r="424" spans="2:3" x14ac:dyDescent="0.25">
      <c r="B424" s="11" t="str">
        <f>[1]Pokemon!C424</f>
        <v>Manectric Mega</v>
      </c>
      <c r="C424" s="11" t="str">
        <f>[1]Moves!B424</f>
        <v>Lava Plume</v>
      </c>
    </row>
    <row r="425" spans="2:3" x14ac:dyDescent="0.25">
      <c r="B425" s="11" t="str">
        <f>[1]Pokemon!C425</f>
        <v>Plusle</v>
      </c>
      <c r="C425" s="11" t="str">
        <f>[1]Moves!B425</f>
        <v>Leaf Blade</v>
      </c>
    </row>
    <row r="426" spans="2:3" x14ac:dyDescent="0.25">
      <c r="B426" s="11" t="str">
        <f>[1]Pokemon!C426</f>
        <v>Minun</v>
      </c>
      <c r="C426" s="11" t="str">
        <f>[1]Moves!B426</f>
        <v>Leaf Storm</v>
      </c>
    </row>
    <row r="427" spans="2:3" x14ac:dyDescent="0.25">
      <c r="B427" s="11" t="str">
        <f>[1]Pokemon!C427</f>
        <v>Volbeat</v>
      </c>
      <c r="C427" s="11" t="str">
        <f>[1]Moves!B427</f>
        <v>Leaf Tornado</v>
      </c>
    </row>
    <row r="428" spans="2:3" x14ac:dyDescent="0.25">
      <c r="B428" s="11" t="str">
        <f>[1]Pokemon!C428</f>
        <v>Illumise</v>
      </c>
      <c r="C428" s="11" t="str">
        <f>[1]Moves!B428</f>
        <v>Leafage</v>
      </c>
    </row>
    <row r="429" spans="2:3" x14ac:dyDescent="0.25">
      <c r="B429" s="11" t="str">
        <f>[1]Pokemon!C429</f>
        <v>Roselia</v>
      </c>
      <c r="C429" s="11" t="str">
        <f>[1]Moves!B429</f>
        <v>Leech Life</v>
      </c>
    </row>
    <row r="430" spans="2:3" x14ac:dyDescent="0.25">
      <c r="B430" s="11" t="str">
        <f>[1]Pokemon!C430</f>
        <v>Gulpin</v>
      </c>
      <c r="C430" s="11" t="str">
        <f>[1]Moves!B430</f>
        <v>Leech Seed</v>
      </c>
    </row>
    <row r="431" spans="2:3" x14ac:dyDescent="0.25">
      <c r="B431" s="11" t="str">
        <f>[1]Pokemon!C431</f>
        <v>Swalot</v>
      </c>
      <c r="C431" s="11" t="str">
        <f>[1]Moves!B431</f>
        <v>Leer</v>
      </c>
    </row>
    <row r="432" spans="2:3" x14ac:dyDescent="0.25">
      <c r="B432" s="11" t="str">
        <f>[1]Pokemon!C432</f>
        <v>Carvanha</v>
      </c>
      <c r="C432" s="11" t="str">
        <f>[1]Moves!B432</f>
        <v>Lets Snuggle Forever</v>
      </c>
    </row>
    <row r="433" spans="2:3" x14ac:dyDescent="0.25">
      <c r="B433" s="11" t="str">
        <f>[1]Pokemon!C433</f>
        <v>Sharpedo</v>
      </c>
      <c r="C433" s="11" t="str">
        <f>[1]Moves!B433</f>
        <v>Lick</v>
      </c>
    </row>
    <row r="434" spans="2:3" x14ac:dyDescent="0.25">
      <c r="B434" s="11" t="str">
        <f>[1]Pokemon!C434</f>
        <v>Sharpedo Mega</v>
      </c>
      <c r="C434" s="11" t="str">
        <f>[1]Moves!B434</f>
        <v>Life Dew</v>
      </c>
    </row>
    <row r="435" spans="2:3" x14ac:dyDescent="0.25">
      <c r="B435" s="11" t="str">
        <f>[1]Pokemon!C435</f>
        <v>Wailmer</v>
      </c>
      <c r="C435" s="11" t="str">
        <f>[1]Moves!B435</f>
        <v>Light Of Ruin</v>
      </c>
    </row>
    <row r="436" spans="2:3" x14ac:dyDescent="0.25">
      <c r="B436" s="11" t="str">
        <f>[1]Pokemon!C436</f>
        <v>Wailord</v>
      </c>
      <c r="C436" s="11" t="str">
        <f>[1]Moves!B436</f>
        <v>Light Screen</v>
      </c>
    </row>
    <row r="437" spans="2:3" x14ac:dyDescent="0.25">
      <c r="B437" s="11" t="str">
        <f>[1]Pokemon!C437</f>
        <v>Numel</v>
      </c>
      <c r="C437" s="11" t="str">
        <f>[1]Moves!B437</f>
        <v>Light That Burns The Sky</v>
      </c>
    </row>
    <row r="438" spans="2:3" x14ac:dyDescent="0.25">
      <c r="B438" s="11" t="str">
        <f>[1]Pokemon!C438</f>
        <v>Camerupt</v>
      </c>
      <c r="C438" s="11" t="str">
        <f>[1]Moves!B438</f>
        <v>Liquidation</v>
      </c>
    </row>
    <row r="439" spans="2:3" x14ac:dyDescent="0.25">
      <c r="B439" s="11" t="str">
        <f>[1]Pokemon!C439</f>
        <v>Camerupt Mega</v>
      </c>
      <c r="C439" s="11" t="str">
        <f>[1]Moves!B439</f>
        <v>Lock On</v>
      </c>
    </row>
    <row r="440" spans="2:3" x14ac:dyDescent="0.25">
      <c r="B440" s="11" t="str">
        <f>[1]Pokemon!C440</f>
        <v>Torkoal</v>
      </c>
      <c r="C440" s="11" t="str">
        <f>[1]Moves!B440</f>
        <v>Lovely Kiss</v>
      </c>
    </row>
    <row r="441" spans="2:3" x14ac:dyDescent="0.25">
      <c r="B441" s="11" t="str">
        <f>[1]Pokemon!C441</f>
        <v>Spoink</v>
      </c>
      <c r="C441" s="11" t="str">
        <f>[1]Moves!B441</f>
        <v>Low Kick</v>
      </c>
    </row>
    <row r="442" spans="2:3" x14ac:dyDescent="0.25">
      <c r="B442" s="11" t="str">
        <f>[1]Pokemon!C442</f>
        <v>Grumpig</v>
      </c>
      <c r="C442" s="11" t="str">
        <f>[1]Moves!B442</f>
        <v>Low Sweep</v>
      </c>
    </row>
    <row r="443" spans="2:3" x14ac:dyDescent="0.25">
      <c r="B443" s="11" t="str">
        <f>[1]Pokemon!C443</f>
        <v>Spinda</v>
      </c>
      <c r="C443" s="11" t="str">
        <f>[1]Moves!B443</f>
        <v>Lucky Chant</v>
      </c>
    </row>
    <row r="444" spans="2:3" x14ac:dyDescent="0.25">
      <c r="B444" s="11" t="str">
        <f>[1]Pokemon!C444</f>
        <v>Trapinch</v>
      </c>
      <c r="C444" s="11" t="str">
        <f>[1]Moves!B444</f>
        <v>Lumina Crash</v>
      </c>
    </row>
    <row r="445" spans="2:3" x14ac:dyDescent="0.25">
      <c r="B445" s="11" t="str">
        <f>[1]Pokemon!C445</f>
        <v>Vibrava</v>
      </c>
      <c r="C445" s="11" t="str">
        <f>[1]Moves!B445</f>
        <v>Lunar Blessing</v>
      </c>
    </row>
    <row r="446" spans="2:3" x14ac:dyDescent="0.25">
      <c r="B446" s="11" t="str">
        <f>[1]Pokemon!C446</f>
        <v>Flygon</v>
      </c>
      <c r="C446" s="11" t="str">
        <f>[1]Moves!B446</f>
        <v>Lunar Dance</v>
      </c>
    </row>
    <row r="447" spans="2:3" x14ac:dyDescent="0.25">
      <c r="B447" s="11" t="str">
        <f>[1]Pokemon!C447</f>
        <v>Cacnea</v>
      </c>
      <c r="C447" s="11" t="str">
        <f>[1]Moves!B447</f>
        <v>Lunge</v>
      </c>
    </row>
    <row r="448" spans="2:3" x14ac:dyDescent="0.25">
      <c r="B448" s="11" t="str">
        <f>[1]Pokemon!C448</f>
        <v>Cacturne</v>
      </c>
      <c r="C448" s="11" t="str">
        <f>[1]Moves!B448</f>
        <v>Luster Purge</v>
      </c>
    </row>
    <row r="449" spans="2:3" x14ac:dyDescent="0.25">
      <c r="B449" s="11" t="str">
        <f>[1]Pokemon!C449</f>
        <v>Swablu</v>
      </c>
      <c r="C449" s="11" t="str">
        <f>[1]Moves!B449</f>
        <v>Mach Punch</v>
      </c>
    </row>
    <row r="450" spans="2:3" x14ac:dyDescent="0.25">
      <c r="B450" s="11" t="str">
        <f>[1]Pokemon!C450</f>
        <v>Altaria</v>
      </c>
      <c r="C450" s="11" t="str">
        <f>[1]Moves!B450</f>
        <v>Magic Coat</v>
      </c>
    </row>
    <row r="451" spans="2:3" x14ac:dyDescent="0.25">
      <c r="B451" s="11" t="str">
        <f>[1]Pokemon!C451</f>
        <v>Altaria Mega</v>
      </c>
      <c r="C451" s="11" t="str">
        <f>[1]Moves!B451</f>
        <v>Magic Powder</v>
      </c>
    </row>
    <row r="452" spans="2:3" x14ac:dyDescent="0.25">
      <c r="B452" s="11" t="str">
        <f>[1]Pokemon!C452</f>
        <v>Zangoose</v>
      </c>
      <c r="C452" s="11" t="str">
        <f>[1]Moves!B452</f>
        <v>Magic Room</v>
      </c>
    </row>
    <row r="453" spans="2:3" x14ac:dyDescent="0.25">
      <c r="B453" s="11" t="str">
        <f>[1]Pokemon!C453</f>
        <v>Seviper</v>
      </c>
      <c r="C453" s="11" t="str">
        <f>[1]Moves!B453</f>
        <v>Magical Leaf</v>
      </c>
    </row>
    <row r="454" spans="2:3" x14ac:dyDescent="0.25">
      <c r="B454" s="11" t="str">
        <f>[1]Pokemon!C454</f>
        <v>Lunatone</v>
      </c>
      <c r="C454" s="11" t="str">
        <f>[1]Moves!B454</f>
        <v>Magical Torque</v>
      </c>
    </row>
    <row r="455" spans="2:3" x14ac:dyDescent="0.25">
      <c r="B455" s="11" t="str">
        <f>[1]Pokemon!C455</f>
        <v>Solrock</v>
      </c>
      <c r="C455" s="11" t="str">
        <f>[1]Moves!B455</f>
        <v>Magma Storm</v>
      </c>
    </row>
    <row r="456" spans="2:3" x14ac:dyDescent="0.25">
      <c r="B456" s="11" t="str">
        <f>[1]Pokemon!C456</f>
        <v>Barboach</v>
      </c>
      <c r="C456" s="11" t="str">
        <f>[1]Moves!B456</f>
        <v>Magnet Bomb</v>
      </c>
    </row>
    <row r="457" spans="2:3" x14ac:dyDescent="0.25">
      <c r="B457" s="11" t="str">
        <f>[1]Pokemon!C457</f>
        <v>Whiscash</v>
      </c>
      <c r="C457" s="11" t="str">
        <f>[1]Moves!B457</f>
        <v>Magnet Rise</v>
      </c>
    </row>
    <row r="458" spans="2:3" x14ac:dyDescent="0.25">
      <c r="B458" s="11" t="str">
        <f>[1]Pokemon!C458</f>
        <v>Corphish</v>
      </c>
      <c r="C458" s="11" t="str">
        <f>[1]Moves!B458</f>
        <v>Magnetic Flux</v>
      </c>
    </row>
    <row r="459" spans="2:3" x14ac:dyDescent="0.25">
      <c r="B459" s="11" t="str">
        <f>[1]Pokemon!C459</f>
        <v>Crawdaunt</v>
      </c>
      <c r="C459" s="11" t="str">
        <f>[1]Moves!B459</f>
        <v>Magnitude</v>
      </c>
    </row>
    <row r="460" spans="2:3" x14ac:dyDescent="0.25">
      <c r="B460" s="11" t="str">
        <f>[1]Pokemon!C460</f>
        <v>Baltoy</v>
      </c>
      <c r="C460" s="11" t="str">
        <f>[1]Moves!B460</f>
        <v>Make It Rain</v>
      </c>
    </row>
    <row r="461" spans="2:3" x14ac:dyDescent="0.25">
      <c r="B461" s="11" t="str">
        <f>[1]Pokemon!C461</f>
        <v>Claydol</v>
      </c>
      <c r="C461" s="11" t="str">
        <f>[1]Moves!B461</f>
        <v>Malicious Moonsault</v>
      </c>
    </row>
    <row r="462" spans="2:3" x14ac:dyDescent="0.25">
      <c r="B462" s="11" t="str">
        <f>[1]Pokemon!C462</f>
        <v>Lileep</v>
      </c>
      <c r="C462" s="11" t="str">
        <f>[1]Moves!B462</f>
        <v>Malignant Chain</v>
      </c>
    </row>
    <row r="463" spans="2:3" x14ac:dyDescent="0.25">
      <c r="B463" s="11" t="str">
        <f>[1]Pokemon!C463</f>
        <v>Cradily</v>
      </c>
      <c r="C463" s="11" t="str">
        <f>[1]Moves!B463</f>
        <v>Mat Block</v>
      </c>
    </row>
    <row r="464" spans="2:3" x14ac:dyDescent="0.25">
      <c r="B464" s="11" t="str">
        <f>[1]Pokemon!C464</f>
        <v>Anorith</v>
      </c>
      <c r="C464" s="11" t="str">
        <f>[1]Moves!B464</f>
        <v>Matcha Gotcha</v>
      </c>
    </row>
    <row r="465" spans="2:3" x14ac:dyDescent="0.25">
      <c r="B465" s="11" t="str">
        <f>[1]Pokemon!C465</f>
        <v>Armaldo</v>
      </c>
      <c r="C465" s="11" t="str">
        <f>[1]Moves!B465</f>
        <v>Max Airstream</v>
      </c>
    </row>
    <row r="466" spans="2:3" x14ac:dyDescent="0.25">
      <c r="B466" s="11" t="str">
        <f>[1]Pokemon!C466</f>
        <v>Feebas</v>
      </c>
      <c r="C466" s="11" t="str">
        <f>[1]Moves!B466</f>
        <v>Max Darkness</v>
      </c>
    </row>
    <row r="467" spans="2:3" x14ac:dyDescent="0.25">
      <c r="B467" s="11" t="str">
        <f>[1]Pokemon!C467</f>
        <v>Milotic</v>
      </c>
      <c r="C467" s="11" t="str">
        <f>[1]Moves!B467</f>
        <v>Max Flare</v>
      </c>
    </row>
    <row r="468" spans="2:3" x14ac:dyDescent="0.25">
      <c r="B468" s="11" t="str">
        <f>[1]Pokemon!C468</f>
        <v>Castform</v>
      </c>
      <c r="C468" s="11" t="str">
        <f>[1]Moves!B468</f>
        <v>Max Flutterby</v>
      </c>
    </row>
    <row r="469" spans="2:3" x14ac:dyDescent="0.25">
      <c r="B469" s="11" t="str">
        <f>[1]Pokemon!C469</f>
        <v>Castform Rainy</v>
      </c>
      <c r="C469" s="11" t="str">
        <f>[1]Moves!B469</f>
        <v>Max Geyser</v>
      </c>
    </row>
    <row r="470" spans="2:3" x14ac:dyDescent="0.25">
      <c r="B470" s="11" t="str">
        <f>[1]Pokemon!C470</f>
        <v>Castform Snowy</v>
      </c>
      <c r="C470" s="11" t="str">
        <f>[1]Moves!B470</f>
        <v>Max Guard</v>
      </c>
    </row>
    <row r="471" spans="2:3" x14ac:dyDescent="0.25">
      <c r="B471" s="11" t="str">
        <f>[1]Pokemon!C471</f>
        <v>Castform Sunny</v>
      </c>
      <c r="C471" s="11" t="str">
        <f>[1]Moves!B471</f>
        <v>Max Hailstorm</v>
      </c>
    </row>
    <row r="472" spans="2:3" x14ac:dyDescent="0.25">
      <c r="B472" s="11" t="str">
        <f>[1]Pokemon!C472</f>
        <v>Kecleon</v>
      </c>
      <c r="C472" s="11" t="str">
        <f>[1]Moves!B472</f>
        <v>Max Knuckle</v>
      </c>
    </row>
    <row r="473" spans="2:3" x14ac:dyDescent="0.25">
      <c r="B473" s="11" t="str">
        <f>[1]Pokemon!C473</f>
        <v>Shuppet</v>
      </c>
      <c r="C473" s="11" t="str">
        <f>[1]Moves!B473</f>
        <v>Max Lightning</v>
      </c>
    </row>
    <row r="474" spans="2:3" x14ac:dyDescent="0.25">
      <c r="B474" s="11" t="str">
        <f>[1]Pokemon!C474</f>
        <v>Banette</v>
      </c>
      <c r="C474" s="11" t="str">
        <f>[1]Moves!B474</f>
        <v>Max Mindstorm</v>
      </c>
    </row>
    <row r="475" spans="2:3" x14ac:dyDescent="0.25">
      <c r="B475" s="11" t="str">
        <f>[1]Pokemon!C475</f>
        <v>Banette Mega</v>
      </c>
      <c r="C475" s="11" t="str">
        <f>[1]Moves!B475</f>
        <v>Max Ooze</v>
      </c>
    </row>
    <row r="476" spans="2:3" x14ac:dyDescent="0.25">
      <c r="B476" s="11" t="str">
        <f>[1]Pokemon!C476</f>
        <v>Duskull</v>
      </c>
      <c r="C476" s="11" t="str">
        <f>[1]Moves!B476</f>
        <v>Max Overgrowth</v>
      </c>
    </row>
    <row r="477" spans="2:3" x14ac:dyDescent="0.25">
      <c r="B477" s="11" t="str">
        <f>[1]Pokemon!C477</f>
        <v>Dusclops</v>
      </c>
      <c r="C477" s="11" t="str">
        <f>[1]Moves!B477</f>
        <v>Max Phantasm</v>
      </c>
    </row>
    <row r="478" spans="2:3" x14ac:dyDescent="0.25">
      <c r="B478" s="11" t="str">
        <f>[1]Pokemon!C478</f>
        <v>Tropius</v>
      </c>
      <c r="C478" s="11" t="str">
        <f>[1]Moves!B478</f>
        <v>Max Quake</v>
      </c>
    </row>
    <row r="479" spans="2:3" x14ac:dyDescent="0.25">
      <c r="B479" s="11" t="str">
        <f>[1]Pokemon!C479</f>
        <v>Chimecho</v>
      </c>
      <c r="C479" s="11" t="str">
        <f>[1]Moves!B479</f>
        <v>Max Rockfall</v>
      </c>
    </row>
    <row r="480" spans="2:3" x14ac:dyDescent="0.25">
      <c r="B480" s="11" t="str">
        <f>[1]Pokemon!C480</f>
        <v>Chimecho Mega</v>
      </c>
      <c r="C480" s="11" t="str">
        <f>[1]Moves!B480</f>
        <v>Max Starfall</v>
      </c>
    </row>
    <row r="481" spans="2:3" x14ac:dyDescent="0.25">
      <c r="B481" s="11" t="str">
        <f>[1]Pokemon!C481</f>
        <v>Absol</v>
      </c>
      <c r="C481" s="11" t="str">
        <f>[1]Moves!B481</f>
        <v>Max Steelspike</v>
      </c>
    </row>
    <row r="482" spans="2:3" x14ac:dyDescent="0.25">
      <c r="B482" s="11" t="str">
        <f>[1]Pokemon!C482</f>
        <v>Absol Mega</v>
      </c>
      <c r="C482" s="11" t="str">
        <f>[1]Moves!B482</f>
        <v>Max Strike</v>
      </c>
    </row>
    <row r="483" spans="2:3" x14ac:dyDescent="0.25">
      <c r="B483" s="11" t="str">
        <f>[1]Pokemon!C483</f>
        <v>Absol Mega Z</v>
      </c>
      <c r="C483" s="11" t="str">
        <f>[1]Moves!B483</f>
        <v>Max Wyrmwind</v>
      </c>
    </row>
    <row r="484" spans="2:3" x14ac:dyDescent="0.25">
      <c r="B484" s="11" t="str">
        <f>[1]Pokemon!C484</f>
        <v>Wynaut</v>
      </c>
      <c r="C484" s="11" t="str">
        <f>[1]Moves!B484</f>
        <v>Me First</v>
      </c>
    </row>
    <row r="485" spans="2:3" x14ac:dyDescent="0.25">
      <c r="B485" s="11" t="str">
        <f>[1]Pokemon!C485</f>
        <v>Snorunt</v>
      </c>
      <c r="C485" s="11" t="str">
        <f>[1]Moves!B485</f>
        <v>Mean Look</v>
      </c>
    </row>
    <row r="486" spans="2:3" x14ac:dyDescent="0.25">
      <c r="B486" s="11" t="str">
        <f>[1]Pokemon!C486</f>
        <v>Glalie</v>
      </c>
      <c r="C486" s="11" t="str">
        <f>[1]Moves!B486</f>
        <v>Meditate</v>
      </c>
    </row>
    <row r="487" spans="2:3" x14ac:dyDescent="0.25">
      <c r="B487" s="11" t="str">
        <f>[1]Pokemon!C487</f>
        <v>Glalie Mega</v>
      </c>
      <c r="C487" s="11" t="str">
        <f>[1]Moves!B487</f>
        <v>Mega Drain</v>
      </c>
    </row>
    <row r="488" spans="2:3" x14ac:dyDescent="0.25">
      <c r="B488" s="11" t="str">
        <f>[1]Pokemon!C488</f>
        <v>Spheal</v>
      </c>
      <c r="C488" s="11" t="str">
        <f>[1]Moves!B488</f>
        <v>Mega Kick</v>
      </c>
    </row>
    <row r="489" spans="2:3" x14ac:dyDescent="0.25">
      <c r="B489" s="11" t="str">
        <f>[1]Pokemon!C489</f>
        <v>Sealeo</v>
      </c>
      <c r="C489" s="11" t="str">
        <f>[1]Moves!B489</f>
        <v>Mega Punch</v>
      </c>
    </row>
    <row r="490" spans="2:3" x14ac:dyDescent="0.25">
      <c r="B490" s="11" t="str">
        <f>[1]Pokemon!C490</f>
        <v>Walrein</v>
      </c>
      <c r="C490" s="11" t="str">
        <f>[1]Moves!B490</f>
        <v>Megahorn</v>
      </c>
    </row>
    <row r="491" spans="2:3" x14ac:dyDescent="0.25">
      <c r="B491" s="11" t="str">
        <f>[1]Pokemon!C491</f>
        <v>Clamperl</v>
      </c>
      <c r="C491" s="11" t="str">
        <f>[1]Moves!B491</f>
        <v>Memento</v>
      </c>
    </row>
    <row r="492" spans="2:3" x14ac:dyDescent="0.25">
      <c r="B492" s="11" t="str">
        <f>[1]Pokemon!C492</f>
        <v>Huntail</v>
      </c>
      <c r="C492" s="11" t="str">
        <f>[1]Moves!B492</f>
        <v>Menacing Moonraze Maelstrom</v>
      </c>
    </row>
    <row r="493" spans="2:3" x14ac:dyDescent="0.25">
      <c r="B493" s="11" t="str">
        <f>[1]Pokemon!C493</f>
        <v>Gorebyss</v>
      </c>
      <c r="C493" s="11" t="str">
        <f>[1]Moves!B493</f>
        <v>Metal Burst</v>
      </c>
    </row>
    <row r="494" spans="2:3" x14ac:dyDescent="0.25">
      <c r="B494" s="11" t="str">
        <f>[1]Pokemon!C494</f>
        <v>Relicanth</v>
      </c>
      <c r="C494" s="11" t="str">
        <f>[1]Moves!B494</f>
        <v>Metal Claw</v>
      </c>
    </row>
    <row r="495" spans="2:3" x14ac:dyDescent="0.25">
      <c r="B495" s="11" t="str">
        <f>[1]Pokemon!C495</f>
        <v>Luvdisc</v>
      </c>
      <c r="C495" s="11" t="str">
        <f>[1]Moves!B495</f>
        <v>Metal Sound</v>
      </c>
    </row>
    <row r="496" spans="2:3" x14ac:dyDescent="0.25">
      <c r="B496" s="11" t="str">
        <f>[1]Pokemon!C496</f>
        <v>Bagon</v>
      </c>
      <c r="C496" s="11" t="str">
        <f>[1]Moves!B496</f>
        <v>Meteor Assault</v>
      </c>
    </row>
    <row r="497" spans="2:3" x14ac:dyDescent="0.25">
      <c r="B497" s="11" t="str">
        <f>[1]Pokemon!C497</f>
        <v>Shelgon</v>
      </c>
      <c r="C497" s="11" t="str">
        <f>[1]Moves!B497</f>
        <v>Meteor Beam</v>
      </c>
    </row>
    <row r="498" spans="2:3" x14ac:dyDescent="0.25">
      <c r="B498" s="11" t="str">
        <f>[1]Pokemon!C498</f>
        <v>Salamence</v>
      </c>
      <c r="C498" s="11" t="str">
        <f>[1]Moves!B498</f>
        <v>Meteor Mash</v>
      </c>
    </row>
    <row r="499" spans="2:3" x14ac:dyDescent="0.25">
      <c r="B499" s="11" t="str">
        <f>[1]Pokemon!C499</f>
        <v>Salamence Mega</v>
      </c>
      <c r="C499" s="11" t="str">
        <f>[1]Moves!B499</f>
        <v>Metronome</v>
      </c>
    </row>
    <row r="500" spans="2:3" x14ac:dyDescent="0.25">
      <c r="B500" s="11" t="str">
        <f>[1]Pokemon!C500</f>
        <v>Beldum</v>
      </c>
      <c r="C500" s="11" t="str">
        <f>[1]Moves!B500</f>
        <v>Mighty Cleave</v>
      </c>
    </row>
    <row r="501" spans="2:3" x14ac:dyDescent="0.25">
      <c r="B501" s="11" t="str">
        <f>[1]Pokemon!C501</f>
        <v>Metang</v>
      </c>
      <c r="C501" s="11" t="str">
        <f>[1]Moves!B501</f>
        <v>Milk Drink</v>
      </c>
    </row>
    <row r="502" spans="2:3" x14ac:dyDescent="0.25">
      <c r="B502" s="11" t="str">
        <f>[1]Pokemon!C502</f>
        <v>Metagross</v>
      </c>
      <c r="C502" s="11" t="str">
        <f>[1]Moves!B502</f>
        <v>Mimic</v>
      </c>
    </row>
    <row r="503" spans="2:3" x14ac:dyDescent="0.25">
      <c r="B503" s="11" t="str">
        <f>[1]Pokemon!C503</f>
        <v>Metagross Mega</v>
      </c>
      <c r="C503" s="11" t="str">
        <f>[1]Moves!B503</f>
        <v>Mind Blown</v>
      </c>
    </row>
    <row r="504" spans="2:3" x14ac:dyDescent="0.25">
      <c r="B504" s="11" t="str">
        <f>[1]Pokemon!C504</f>
        <v>Regirock</v>
      </c>
      <c r="C504" s="11" t="str">
        <f>[1]Moves!B504</f>
        <v>Mind Reader</v>
      </c>
    </row>
    <row r="505" spans="2:3" x14ac:dyDescent="0.25">
      <c r="B505" s="11" t="str">
        <f>[1]Pokemon!C505</f>
        <v>Regice</v>
      </c>
      <c r="C505" s="11" t="str">
        <f>[1]Moves!B505</f>
        <v>Minimize</v>
      </c>
    </row>
    <row r="506" spans="2:3" x14ac:dyDescent="0.25">
      <c r="B506" s="11" t="str">
        <f>[1]Pokemon!C506</f>
        <v>Registeel</v>
      </c>
      <c r="C506" s="11" t="str">
        <f>[1]Moves!B506</f>
        <v>Miracle Eye</v>
      </c>
    </row>
    <row r="507" spans="2:3" x14ac:dyDescent="0.25">
      <c r="B507" s="11" t="str">
        <f>[1]Pokemon!C507</f>
        <v>Latias</v>
      </c>
      <c r="C507" s="11" t="str">
        <f>[1]Moves!B507</f>
        <v>Mirror Coat</v>
      </c>
    </row>
    <row r="508" spans="2:3" x14ac:dyDescent="0.25">
      <c r="B508" s="11" t="str">
        <f>[1]Pokemon!C508</f>
        <v>Latias Mega</v>
      </c>
      <c r="C508" s="11" t="str">
        <f>[1]Moves!B508</f>
        <v>Mirror Move</v>
      </c>
    </row>
    <row r="509" spans="2:3" x14ac:dyDescent="0.25">
      <c r="B509" s="11" t="str">
        <f>[1]Pokemon!C509</f>
        <v>Latios</v>
      </c>
      <c r="C509" s="11" t="str">
        <f>[1]Moves!B509</f>
        <v>Mirror Shot</v>
      </c>
    </row>
    <row r="510" spans="2:3" x14ac:dyDescent="0.25">
      <c r="B510" s="11" t="str">
        <f>[1]Pokemon!C510</f>
        <v>Latios Mega</v>
      </c>
      <c r="C510" s="11" t="str">
        <f>[1]Moves!B510</f>
        <v>Mist</v>
      </c>
    </row>
    <row r="511" spans="2:3" x14ac:dyDescent="0.25">
      <c r="B511" s="11" t="str">
        <f>[1]Pokemon!C511</f>
        <v>Kyogre</v>
      </c>
      <c r="C511" s="11" t="str">
        <f>[1]Moves!B511</f>
        <v>Mist Ball</v>
      </c>
    </row>
    <row r="512" spans="2:3" x14ac:dyDescent="0.25">
      <c r="B512" s="11" t="str">
        <f>[1]Pokemon!C512</f>
        <v>Kyogre Primal</v>
      </c>
      <c r="C512" s="11" t="str">
        <f>[1]Moves!B512</f>
        <v>Misty Explosion</v>
      </c>
    </row>
    <row r="513" spans="2:3" x14ac:dyDescent="0.25">
      <c r="B513" s="11" t="str">
        <f>[1]Pokemon!C513</f>
        <v>Groudon</v>
      </c>
      <c r="C513" s="11" t="str">
        <f>[1]Moves!B513</f>
        <v>Misty Terrain</v>
      </c>
    </row>
    <row r="514" spans="2:3" x14ac:dyDescent="0.25">
      <c r="B514" s="11" t="str">
        <f>[1]Pokemon!C514</f>
        <v>Groudon Primal</v>
      </c>
      <c r="C514" s="11" t="str">
        <f>[1]Moves!B514</f>
        <v>Moonblast</v>
      </c>
    </row>
    <row r="515" spans="2:3" x14ac:dyDescent="0.25">
      <c r="B515" s="11" t="str">
        <f>[1]Pokemon!C515</f>
        <v>Rayquaza</v>
      </c>
      <c r="C515" s="11" t="str">
        <f>[1]Moves!B515</f>
        <v>Moongeist Beam</v>
      </c>
    </row>
    <row r="516" spans="2:3" x14ac:dyDescent="0.25">
      <c r="B516" s="11" t="str">
        <f>[1]Pokemon!C516</f>
        <v>Rayquaza Mega</v>
      </c>
      <c r="C516" s="11" t="str">
        <f>[1]Moves!B516</f>
        <v>Moonlight</v>
      </c>
    </row>
    <row r="517" spans="2:3" x14ac:dyDescent="0.25">
      <c r="B517" s="11" t="str">
        <f>[1]Pokemon!C517</f>
        <v>Jirachi</v>
      </c>
      <c r="C517" s="11" t="str">
        <f>[1]Moves!B517</f>
        <v>Morning Sun</v>
      </c>
    </row>
    <row r="518" spans="2:3" x14ac:dyDescent="0.25">
      <c r="B518" s="11" t="str">
        <f>[1]Pokemon!C518</f>
        <v>Deoxys Attack</v>
      </c>
      <c r="C518" s="11" t="str">
        <f>[1]Moves!B518</f>
        <v>Mortal Spin</v>
      </c>
    </row>
    <row r="519" spans="2:3" x14ac:dyDescent="0.25">
      <c r="B519" s="11" t="str">
        <f>[1]Pokemon!C519</f>
        <v>Deoxys Defense</v>
      </c>
      <c r="C519" s="11" t="str">
        <f>[1]Moves!B519</f>
        <v>Mountain Gale</v>
      </c>
    </row>
    <row r="520" spans="2:3" x14ac:dyDescent="0.25">
      <c r="B520" s="11" t="str">
        <f>[1]Pokemon!C520</f>
        <v>Deoxys Normal</v>
      </c>
      <c r="C520" s="11" t="str">
        <f>[1]Moves!B520</f>
        <v>Mud Bomb</v>
      </c>
    </row>
    <row r="521" spans="2:3" x14ac:dyDescent="0.25">
      <c r="B521" s="11" t="str">
        <f>[1]Pokemon!C521</f>
        <v>Deoxys Speed</v>
      </c>
      <c r="C521" s="11" t="str">
        <f>[1]Moves!B521</f>
        <v>Mud Shot</v>
      </c>
    </row>
    <row r="522" spans="2:3" x14ac:dyDescent="0.25">
      <c r="B522" s="11" t="str">
        <f>[1]Pokemon!C522</f>
        <v>Turtwig</v>
      </c>
      <c r="C522" s="11" t="str">
        <f>[1]Moves!B522</f>
        <v>Mud Slap</v>
      </c>
    </row>
    <row r="523" spans="2:3" x14ac:dyDescent="0.25">
      <c r="B523" s="11" t="str">
        <f>[1]Pokemon!C523</f>
        <v>Grotle</v>
      </c>
      <c r="C523" s="11" t="str">
        <f>[1]Moves!B523</f>
        <v>Mud Sport</v>
      </c>
    </row>
    <row r="524" spans="2:3" x14ac:dyDescent="0.25">
      <c r="B524" s="11" t="str">
        <f>[1]Pokemon!C524</f>
        <v>Torterra</v>
      </c>
      <c r="C524" s="11" t="str">
        <f>[1]Moves!B524</f>
        <v>Muddy Water</v>
      </c>
    </row>
    <row r="525" spans="2:3" x14ac:dyDescent="0.25">
      <c r="B525" s="11" t="str">
        <f>[1]Pokemon!C525</f>
        <v>Chimchar</v>
      </c>
      <c r="C525" s="11" t="str">
        <f>[1]Moves!B525</f>
        <v>Multi Attack</v>
      </c>
    </row>
    <row r="526" spans="2:3" x14ac:dyDescent="0.25">
      <c r="B526" s="11" t="str">
        <f>[1]Pokemon!C526</f>
        <v>Monferno</v>
      </c>
      <c r="C526" s="11" t="str">
        <f>[1]Moves!B526</f>
        <v>Mystical Fire</v>
      </c>
    </row>
    <row r="527" spans="2:3" x14ac:dyDescent="0.25">
      <c r="B527" s="11" t="str">
        <f>[1]Pokemon!C527</f>
        <v>Infernape</v>
      </c>
      <c r="C527" s="11" t="str">
        <f>[1]Moves!B527</f>
        <v>Mystical Power</v>
      </c>
    </row>
    <row r="528" spans="2:3" x14ac:dyDescent="0.25">
      <c r="B528" s="11" t="str">
        <f>[1]Pokemon!C528</f>
        <v>Piplup</v>
      </c>
      <c r="C528" s="11" t="str">
        <f>[1]Moves!B528</f>
        <v>Nasty Plot</v>
      </c>
    </row>
    <row r="529" spans="2:3" x14ac:dyDescent="0.25">
      <c r="B529" s="11" t="str">
        <f>[1]Pokemon!C529</f>
        <v>Prinplup</v>
      </c>
      <c r="C529" s="11" t="str">
        <f>[1]Moves!B529</f>
        <v>Natural Gift</v>
      </c>
    </row>
    <row r="530" spans="2:3" x14ac:dyDescent="0.25">
      <c r="B530" s="11" t="str">
        <f>[1]Pokemon!C530</f>
        <v>Empoleon</v>
      </c>
      <c r="C530" s="11" t="str">
        <f>[1]Moves!B530</f>
        <v>Nature Power</v>
      </c>
    </row>
    <row r="531" spans="2:3" x14ac:dyDescent="0.25">
      <c r="B531" s="11" t="str">
        <f>[1]Pokemon!C531</f>
        <v>Starly</v>
      </c>
      <c r="C531" s="11" t="str">
        <f>[1]Moves!B531</f>
        <v>Natures Madness</v>
      </c>
    </row>
    <row r="532" spans="2:3" x14ac:dyDescent="0.25">
      <c r="B532" s="11" t="str">
        <f>[1]Pokemon!C532</f>
        <v>Staravia</v>
      </c>
      <c r="C532" s="11" t="str">
        <f>[1]Moves!B532</f>
        <v>Needle Arm</v>
      </c>
    </row>
    <row r="533" spans="2:3" x14ac:dyDescent="0.25">
      <c r="B533" s="11" t="str">
        <f>[1]Pokemon!C533</f>
        <v>Staraptor</v>
      </c>
      <c r="C533" s="11" t="str">
        <f>[1]Moves!B533</f>
        <v>Never Ending Nightmare Physical</v>
      </c>
    </row>
    <row r="534" spans="2:3" x14ac:dyDescent="0.25">
      <c r="B534" s="11" t="str">
        <f>[1]Pokemon!C534</f>
        <v>Staraptor Mega</v>
      </c>
      <c r="C534" s="11" t="str">
        <f>[1]Moves!B534</f>
        <v>Never Ending Nightmare Special</v>
      </c>
    </row>
    <row r="535" spans="2:3" x14ac:dyDescent="0.25">
      <c r="B535" s="11" t="str">
        <f>[1]Pokemon!C535</f>
        <v>Bidoof</v>
      </c>
      <c r="C535" s="11" t="str">
        <f>[1]Moves!B535</f>
        <v>Night Daze</v>
      </c>
    </row>
    <row r="536" spans="2:3" x14ac:dyDescent="0.25">
      <c r="B536" s="11" t="str">
        <f>[1]Pokemon!C536</f>
        <v>Bibarel</v>
      </c>
      <c r="C536" s="11" t="str">
        <f>[1]Moves!B536</f>
        <v>Night Shade</v>
      </c>
    </row>
    <row r="537" spans="2:3" x14ac:dyDescent="0.25">
      <c r="B537" s="11" t="str">
        <f>[1]Pokemon!C537</f>
        <v>Kricketot</v>
      </c>
      <c r="C537" s="11" t="str">
        <f>[1]Moves!B537</f>
        <v>Night Slash</v>
      </c>
    </row>
    <row r="538" spans="2:3" x14ac:dyDescent="0.25">
      <c r="B538" s="11" t="str">
        <f>[1]Pokemon!C538</f>
        <v>Kricketune</v>
      </c>
      <c r="C538" s="11" t="str">
        <f>[1]Moves!B538</f>
        <v>Nightmare</v>
      </c>
    </row>
    <row r="539" spans="2:3" x14ac:dyDescent="0.25">
      <c r="B539" s="11" t="str">
        <f>[1]Pokemon!C539</f>
        <v>Shinx</v>
      </c>
      <c r="C539" s="11" t="str">
        <f>[1]Moves!B539</f>
        <v>No Retreat</v>
      </c>
    </row>
    <row r="540" spans="2:3" x14ac:dyDescent="0.25">
      <c r="B540" s="11" t="str">
        <f>[1]Pokemon!C540</f>
        <v>Luxio</v>
      </c>
      <c r="C540" s="11" t="str">
        <f>[1]Moves!B540</f>
        <v>Noble Roar</v>
      </c>
    </row>
    <row r="541" spans="2:3" x14ac:dyDescent="0.25">
      <c r="B541" s="11" t="str">
        <f>[1]Pokemon!C541</f>
        <v>Luxray</v>
      </c>
      <c r="C541" s="11" t="str">
        <f>[1]Moves!B541</f>
        <v>Noxious Torque</v>
      </c>
    </row>
    <row r="542" spans="2:3" x14ac:dyDescent="0.25">
      <c r="B542" s="11" t="str">
        <f>[1]Pokemon!C542</f>
        <v>Budew</v>
      </c>
      <c r="C542" s="11" t="str">
        <f>[1]Moves!B542</f>
        <v>Nuzzle</v>
      </c>
    </row>
    <row r="543" spans="2:3" x14ac:dyDescent="0.25">
      <c r="B543" s="11" t="str">
        <f>[1]Pokemon!C543</f>
        <v>Roserade</v>
      </c>
      <c r="C543" s="11" t="str">
        <f>[1]Moves!B543</f>
        <v>Oblivion Wing</v>
      </c>
    </row>
    <row r="544" spans="2:3" x14ac:dyDescent="0.25">
      <c r="B544" s="11" t="str">
        <f>[1]Pokemon!C544</f>
        <v>Cranidos</v>
      </c>
      <c r="C544" s="11" t="str">
        <f>[1]Moves!B544</f>
        <v>Obstruct</v>
      </c>
    </row>
    <row r="545" spans="2:3" x14ac:dyDescent="0.25">
      <c r="B545" s="11" t="str">
        <f>[1]Pokemon!C545</f>
        <v>Rampardos</v>
      </c>
      <c r="C545" s="11" t="str">
        <f>[1]Moves!B545</f>
        <v>Oceanic Operetta</v>
      </c>
    </row>
    <row r="546" spans="2:3" x14ac:dyDescent="0.25">
      <c r="B546" s="11" t="str">
        <f>[1]Pokemon!C546</f>
        <v>Shieldon</v>
      </c>
      <c r="C546" s="11" t="str">
        <f>[1]Moves!B546</f>
        <v>Octazooka</v>
      </c>
    </row>
    <row r="547" spans="2:3" x14ac:dyDescent="0.25">
      <c r="B547" s="11" t="str">
        <f>[1]Pokemon!C547</f>
        <v>Bastiodon</v>
      </c>
      <c r="C547" s="11" t="str">
        <f>[1]Moves!B547</f>
        <v>Octolock</v>
      </c>
    </row>
    <row r="548" spans="2:3" x14ac:dyDescent="0.25">
      <c r="B548" s="11" t="str">
        <f>[1]Pokemon!C548</f>
        <v>Burmy</v>
      </c>
      <c r="C548" s="11" t="str">
        <f>[1]Moves!B548</f>
        <v>Odor Sleuth</v>
      </c>
    </row>
    <row r="549" spans="2:3" x14ac:dyDescent="0.25">
      <c r="B549" s="11" t="str">
        <f>[1]Pokemon!C549</f>
        <v>Wormadam Plant</v>
      </c>
      <c r="C549" s="11" t="str">
        <f>[1]Moves!B549</f>
        <v>Ominous Wind</v>
      </c>
    </row>
    <row r="550" spans="2:3" x14ac:dyDescent="0.25">
      <c r="B550" s="11" t="str">
        <f>[1]Pokemon!C550</f>
        <v>Wormadam Sandy</v>
      </c>
      <c r="C550" s="11" t="str">
        <f>[1]Moves!B550</f>
        <v>Order Up</v>
      </c>
    </row>
    <row r="551" spans="2:3" x14ac:dyDescent="0.25">
      <c r="B551" s="11" t="str">
        <f>[1]Pokemon!C551</f>
        <v>Wormadam Trash</v>
      </c>
      <c r="C551" s="11" t="str">
        <f>[1]Moves!B551</f>
        <v>Origin Pulse</v>
      </c>
    </row>
    <row r="552" spans="2:3" x14ac:dyDescent="0.25">
      <c r="B552" s="11" t="str">
        <f>[1]Pokemon!C552</f>
        <v>Mothim</v>
      </c>
      <c r="C552" s="11" t="str">
        <f>[1]Moves!B552</f>
        <v>Outrage</v>
      </c>
    </row>
    <row r="553" spans="2:3" x14ac:dyDescent="0.25">
      <c r="B553" s="11" t="str">
        <f>[1]Pokemon!C553</f>
        <v>Combee</v>
      </c>
      <c r="C553" s="11" t="str">
        <f>[1]Moves!B553</f>
        <v>Overdrive</v>
      </c>
    </row>
    <row r="554" spans="2:3" x14ac:dyDescent="0.25">
      <c r="B554" s="11" t="str">
        <f>[1]Pokemon!C554</f>
        <v>Vespiquen</v>
      </c>
      <c r="C554" s="11" t="str">
        <f>[1]Moves!B554</f>
        <v>Overheat</v>
      </c>
    </row>
    <row r="555" spans="2:3" x14ac:dyDescent="0.25">
      <c r="B555" s="11" t="str">
        <f>[1]Pokemon!C555</f>
        <v>Pachirisu</v>
      </c>
      <c r="C555" s="11" t="str">
        <f>[1]Moves!B555</f>
        <v>Pain Split</v>
      </c>
    </row>
    <row r="556" spans="2:3" x14ac:dyDescent="0.25">
      <c r="B556" s="11" t="str">
        <f>[1]Pokemon!C556</f>
        <v>Buizel</v>
      </c>
      <c r="C556" s="11" t="str">
        <f>[1]Moves!B556</f>
        <v>Parabolic Charge</v>
      </c>
    </row>
    <row r="557" spans="2:3" x14ac:dyDescent="0.25">
      <c r="B557" s="11" t="str">
        <f>[1]Pokemon!C557</f>
        <v>Floatzel</v>
      </c>
      <c r="C557" s="11" t="str">
        <f>[1]Moves!B557</f>
        <v>Parting Shot</v>
      </c>
    </row>
    <row r="558" spans="2:3" x14ac:dyDescent="0.25">
      <c r="B558" s="11" t="str">
        <f>[1]Pokemon!C558</f>
        <v>Cherubi</v>
      </c>
      <c r="C558" s="11" t="str">
        <f>[1]Moves!B558</f>
        <v>Pay Day</v>
      </c>
    </row>
    <row r="559" spans="2:3" x14ac:dyDescent="0.25">
      <c r="B559" s="11" t="str">
        <f>[1]Pokemon!C559</f>
        <v>Cherrim</v>
      </c>
      <c r="C559" s="11" t="str">
        <f>[1]Moves!B559</f>
        <v>Payback</v>
      </c>
    </row>
    <row r="560" spans="2:3" x14ac:dyDescent="0.25">
      <c r="B560" s="11" t="str">
        <f>[1]Pokemon!C560</f>
        <v>Shellos</v>
      </c>
      <c r="C560" s="11" t="str">
        <f>[1]Moves!B560</f>
        <v>Peck</v>
      </c>
    </row>
    <row r="561" spans="2:3" x14ac:dyDescent="0.25">
      <c r="B561" s="11" t="str">
        <f>[1]Pokemon!C561</f>
        <v>Gastrodon</v>
      </c>
      <c r="C561" s="11" t="str">
        <f>[1]Moves!B561</f>
        <v>Perish Song</v>
      </c>
    </row>
    <row r="562" spans="2:3" x14ac:dyDescent="0.25">
      <c r="B562" s="11" t="str">
        <f>[1]Pokemon!C562</f>
        <v>Ambipom</v>
      </c>
      <c r="C562" s="11" t="str">
        <f>[1]Moves!B562</f>
        <v>Petal Blizzard</v>
      </c>
    </row>
    <row r="563" spans="2:3" x14ac:dyDescent="0.25">
      <c r="B563" s="11" t="str">
        <f>[1]Pokemon!C563</f>
        <v>Drifloon</v>
      </c>
      <c r="C563" s="11" t="str">
        <f>[1]Moves!B563</f>
        <v>Petal Dance</v>
      </c>
    </row>
    <row r="564" spans="2:3" x14ac:dyDescent="0.25">
      <c r="B564" s="11" t="str">
        <f>[1]Pokemon!C564</f>
        <v>Drifblim</v>
      </c>
      <c r="C564" s="11" t="str">
        <f>[1]Moves!B564</f>
        <v>Phantom Force</v>
      </c>
    </row>
    <row r="565" spans="2:3" x14ac:dyDescent="0.25">
      <c r="B565" s="11" t="str">
        <f>[1]Pokemon!C565</f>
        <v>Buneary</v>
      </c>
      <c r="C565" s="11" t="str">
        <f>[1]Moves!B565</f>
        <v>Photon Geyser</v>
      </c>
    </row>
    <row r="566" spans="2:3" x14ac:dyDescent="0.25">
      <c r="B566" s="11" t="str">
        <f>[1]Pokemon!C566</f>
        <v>Lopunny</v>
      </c>
      <c r="C566" s="11" t="str">
        <f>[1]Moves!B566</f>
        <v>Pika Papow</v>
      </c>
    </row>
    <row r="567" spans="2:3" x14ac:dyDescent="0.25">
      <c r="B567" s="11" t="str">
        <f>[1]Pokemon!C567</f>
        <v>Lopunny Mega</v>
      </c>
      <c r="C567" s="11" t="str">
        <f>[1]Moves!B567</f>
        <v>Pin Missile</v>
      </c>
    </row>
    <row r="568" spans="2:3" x14ac:dyDescent="0.25">
      <c r="B568" s="11" t="str">
        <f>[1]Pokemon!C568</f>
        <v>Mismagius</v>
      </c>
      <c r="C568" s="11" t="str">
        <f>[1]Moves!B568</f>
        <v>Plasma Fists</v>
      </c>
    </row>
    <row r="569" spans="2:3" x14ac:dyDescent="0.25">
      <c r="B569" s="11" t="str">
        <f>[1]Pokemon!C569</f>
        <v>Honchkrow</v>
      </c>
      <c r="C569" s="11" t="str">
        <f>[1]Moves!B569</f>
        <v>Play Nice</v>
      </c>
    </row>
    <row r="570" spans="2:3" x14ac:dyDescent="0.25">
      <c r="B570" s="11" t="str">
        <f>[1]Pokemon!C570</f>
        <v>Glameow</v>
      </c>
      <c r="C570" s="11" t="str">
        <f>[1]Moves!B570</f>
        <v>Play Rough</v>
      </c>
    </row>
    <row r="571" spans="2:3" x14ac:dyDescent="0.25">
      <c r="B571" s="11" t="str">
        <f>[1]Pokemon!C571</f>
        <v>Purugly</v>
      </c>
      <c r="C571" s="11" t="str">
        <f>[1]Moves!B571</f>
        <v>Pluck</v>
      </c>
    </row>
    <row r="572" spans="2:3" x14ac:dyDescent="0.25">
      <c r="B572" s="11" t="str">
        <f>[1]Pokemon!C572</f>
        <v>Chingling</v>
      </c>
      <c r="C572" s="11" t="str">
        <f>[1]Moves!B572</f>
        <v>Poison Fang</v>
      </c>
    </row>
    <row r="573" spans="2:3" x14ac:dyDescent="0.25">
      <c r="B573" s="11" t="str">
        <f>[1]Pokemon!C573</f>
        <v>Stunky</v>
      </c>
      <c r="C573" s="11" t="str">
        <f>[1]Moves!B573</f>
        <v>Poison Gas</v>
      </c>
    </row>
    <row r="574" spans="2:3" x14ac:dyDescent="0.25">
      <c r="B574" s="11" t="str">
        <f>[1]Pokemon!C574</f>
        <v>Skuntank</v>
      </c>
      <c r="C574" s="11" t="str">
        <f>[1]Moves!B574</f>
        <v>Poison Jab</v>
      </c>
    </row>
    <row r="575" spans="2:3" x14ac:dyDescent="0.25">
      <c r="B575" s="11" t="str">
        <f>[1]Pokemon!C575</f>
        <v>Bronzor</v>
      </c>
      <c r="C575" s="11" t="str">
        <f>[1]Moves!B575</f>
        <v>Poison Powder</v>
      </c>
    </row>
    <row r="576" spans="2:3" x14ac:dyDescent="0.25">
      <c r="B576" s="11" t="str">
        <f>[1]Pokemon!C576</f>
        <v>Bronzong</v>
      </c>
      <c r="C576" s="11" t="str">
        <f>[1]Moves!B576</f>
        <v>Poison Sting</v>
      </c>
    </row>
    <row r="577" spans="2:3" x14ac:dyDescent="0.25">
      <c r="B577" s="11" t="str">
        <f>[1]Pokemon!C577</f>
        <v>Bonsly</v>
      </c>
      <c r="C577" s="11" t="str">
        <f>[1]Moves!B577</f>
        <v>Poison Tail</v>
      </c>
    </row>
    <row r="578" spans="2:3" x14ac:dyDescent="0.25">
      <c r="B578" s="11" t="str">
        <f>[1]Pokemon!C578</f>
        <v>Mime Jr</v>
      </c>
      <c r="C578" s="11" t="str">
        <f>[1]Moves!B578</f>
        <v>Pollen Puff</v>
      </c>
    </row>
    <row r="579" spans="2:3" x14ac:dyDescent="0.25">
      <c r="B579" s="11" t="str">
        <f>[1]Pokemon!C579</f>
        <v>Happiny</v>
      </c>
      <c r="C579" s="11" t="str">
        <f>[1]Moves!B579</f>
        <v>Poltergeist</v>
      </c>
    </row>
    <row r="580" spans="2:3" x14ac:dyDescent="0.25">
      <c r="B580" s="11" t="str">
        <f>[1]Pokemon!C580</f>
        <v>Chatot</v>
      </c>
      <c r="C580" s="11" t="str">
        <f>[1]Moves!B580</f>
        <v>Population Bomb</v>
      </c>
    </row>
    <row r="581" spans="2:3" x14ac:dyDescent="0.25">
      <c r="B581" s="11" t="str">
        <f>[1]Pokemon!C581</f>
        <v>Spiritomb</v>
      </c>
      <c r="C581" s="11" t="str">
        <f>[1]Moves!B581</f>
        <v>Pounce</v>
      </c>
    </row>
    <row r="582" spans="2:3" x14ac:dyDescent="0.25">
      <c r="B582" s="11" t="str">
        <f>[1]Pokemon!C582</f>
        <v>Gible</v>
      </c>
      <c r="C582" s="11" t="str">
        <f>[1]Moves!B582</f>
        <v>Pound</v>
      </c>
    </row>
    <row r="583" spans="2:3" x14ac:dyDescent="0.25">
      <c r="B583" s="11" t="str">
        <f>[1]Pokemon!C583</f>
        <v>Gabite</v>
      </c>
      <c r="C583" s="11" t="str">
        <f>[1]Moves!B583</f>
        <v>Powder</v>
      </c>
    </row>
    <row r="584" spans="2:3" x14ac:dyDescent="0.25">
      <c r="B584" s="11" t="str">
        <f>[1]Pokemon!C584</f>
        <v>Garchomp</v>
      </c>
      <c r="C584" s="11" t="str">
        <f>[1]Moves!B584</f>
        <v>Powder Snow</v>
      </c>
    </row>
    <row r="585" spans="2:3" x14ac:dyDescent="0.25">
      <c r="B585" s="11" t="str">
        <f>[1]Pokemon!C585</f>
        <v>Garchomp Mega</v>
      </c>
      <c r="C585" s="11" t="str">
        <f>[1]Moves!B585</f>
        <v>Power Gem</v>
      </c>
    </row>
    <row r="586" spans="2:3" x14ac:dyDescent="0.25">
      <c r="B586" s="11" t="str">
        <f>[1]Pokemon!C586</f>
        <v>Garchomp Mega Z</v>
      </c>
      <c r="C586" s="11" t="str">
        <f>[1]Moves!B586</f>
        <v>Power Shift</v>
      </c>
    </row>
    <row r="587" spans="2:3" x14ac:dyDescent="0.25">
      <c r="B587" s="11" t="str">
        <f>[1]Pokemon!C587</f>
        <v>Munchlax</v>
      </c>
      <c r="C587" s="11" t="str">
        <f>[1]Moves!B587</f>
        <v>Power Split</v>
      </c>
    </row>
    <row r="588" spans="2:3" x14ac:dyDescent="0.25">
      <c r="B588" s="11" t="str">
        <f>[1]Pokemon!C588</f>
        <v>Riolu</v>
      </c>
      <c r="C588" s="11" t="str">
        <f>[1]Moves!B588</f>
        <v>Power Swap</v>
      </c>
    </row>
    <row r="589" spans="2:3" x14ac:dyDescent="0.25">
      <c r="B589" s="11" t="str">
        <f>[1]Pokemon!C589</f>
        <v>Lucario</v>
      </c>
      <c r="C589" s="11" t="str">
        <f>[1]Moves!B589</f>
        <v>Power Trick</v>
      </c>
    </row>
    <row r="590" spans="2:3" x14ac:dyDescent="0.25">
      <c r="B590" s="11" t="str">
        <f>[1]Pokemon!C590</f>
        <v>Lucario Mega</v>
      </c>
      <c r="C590" s="11" t="str">
        <f>[1]Moves!B590</f>
        <v>Power Trip</v>
      </c>
    </row>
    <row r="591" spans="2:3" x14ac:dyDescent="0.25">
      <c r="B591" s="11" t="str">
        <f>[1]Pokemon!C591</f>
        <v>Lucario Mega Z</v>
      </c>
      <c r="C591" s="11" t="str">
        <f>[1]Moves!B591</f>
        <v>Power Up Punch</v>
      </c>
    </row>
    <row r="592" spans="2:3" x14ac:dyDescent="0.25">
      <c r="B592" s="11" t="str">
        <f>[1]Pokemon!C592</f>
        <v>Hippopotas</v>
      </c>
      <c r="C592" s="11" t="str">
        <f>[1]Moves!B592</f>
        <v>Power Whip</v>
      </c>
    </row>
    <row r="593" spans="2:3" x14ac:dyDescent="0.25">
      <c r="B593" s="11" t="str">
        <f>[1]Pokemon!C593</f>
        <v>Hippowdon</v>
      </c>
      <c r="C593" s="11" t="str">
        <f>[1]Moves!B593</f>
        <v>Precipice Blades</v>
      </c>
    </row>
    <row r="594" spans="2:3" x14ac:dyDescent="0.25">
      <c r="B594" s="11" t="str">
        <f>[1]Pokemon!C594</f>
        <v>Skorupi</v>
      </c>
      <c r="C594" s="11" t="str">
        <f>[1]Moves!B594</f>
        <v>Present</v>
      </c>
    </row>
    <row r="595" spans="2:3" x14ac:dyDescent="0.25">
      <c r="B595" s="11" t="str">
        <f>[1]Pokemon!C595</f>
        <v>Drapion</v>
      </c>
      <c r="C595" s="11" t="str">
        <f>[1]Moves!B595</f>
        <v>Prismatic Laser</v>
      </c>
    </row>
    <row r="596" spans="2:3" x14ac:dyDescent="0.25">
      <c r="B596" s="11" t="str">
        <f>[1]Pokemon!C596</f>
        <v>Croagunk</v>
      </c>
      <c r="C596" s="11" t="str">
        <f>[1]Moves!B596</f>
        <v>Protect</v>
      </c>
    </row>
    <row r="597" spans="2:3" x14ac:dyDescent="0.25">
      <c r="B597" s="11" t="str">
        <f>[1]Pokemon!C597</f>
        <v>Toxicroak</v>
      </c>
      <c r="C597" s="11" t="str">
        <f>[1]Moves!B597</f>
        <v>Psybeam</v>
      </c>
    </row>
    <row r="598" spans="2:3" x14ac:dyDescent="0.25">
      <c r="B598" s="11" t="str">
        <f>[1]Pokemon!C598</f>
        <v>Carnivine</v>
      </c>
      <c r="C598" s="11" t="str">
        <f>[1]Moves!B598</f>
        <v>Psyblade</v>
      </c>
    </row>
    <row r="599" spans="2:3" x14ac:dyDescent="0.25">
      <c r="B599" s="11" t="str">
        <f>[1]Pokemon!C599</f>
        <v>Finneon</v>
      </c>
      <c r="C599" s="11" t="str">
        <f>[1]Moves!B599</f>
        <v>Psych Up</v>
      </c>
    </row>
    <row r="600" spans="2:3" x14ac:dyDescent="0.25">
      <c r="B600" s="11" t="str">
        <f>[1]Pokemon!C600</f>
        <v>Lumineon</v>
      </c>
      <c r="C600" s="11" t="str">
        <f>[1]Moves!B600</f>
        <v>Psychic</v>
      </c>
    </row>
    <row r="601" spans="2:3" x14ac:dyDescent="0.25">
      <c r="B601" s="11" t="str">
        <f>[1]Pokemon!C601</f>
        <v>Mantyke</v>
      </c>
      <c r="C601" s="11" t="str">
        <f>[1]Moves!B601</f>
        <v>Psychic Fangs</v>
      </c>
    </row>
    <row r="602" spans="2:3" x14ac:dyDescent="0.25">
      <c r="B602" s="11" t="str">
        <f>[1]Pokemon!C602</f>
        <v>Snover</v>
      </c>
      <c r="C602" s="11" t="str">
        <f>[1]Moves!B602</f>
        <v>Psychic Noise</v>
      </c>
    </row>
    <row r="603" spans="2:3" x14ac:dyDescent="0.25">
      <c r="B603" s="11" t="str">
        <f>[1]Pokemon!C603</f>
        <v>Abomasnow</v>
      </c>
      <c r="C603" s="11" t="str">
        <f>[1]Moves!B603</f>
        <v>Psychic Terrain</v>
      </c>
    </row>
    <row r="604" spans="2:3" x14ac:dyDescent="0.25">
      <c r="B604" s="11" t="str">
        <f>[1]Pokemon!C604</f>
        <v>Abomasnow Mega</v>
      </c>
      <c r="C604" s="11" t="str">
        <f>[1]Moves!B604</f>
        <v>Psycho Boost</v>
      </c>
    </row>
    <row r="605" spans="2:3" x14ac:dyDescent="0.25">
      <c r="B605" s="11" t="str">
        <f>[1]Pokemon!C605</f>
        <v>Weavile</v>
      </c>
      <c r="C605" s="11" t="str">
        <f>[1]Moves!B605</f>
        <v>Psycho Cut</v>
      </c>
    </row>
    <row r="606" spans="2:3" x14ac:dyDescent="0.25">
      <c r="B606" s="11" t="str">
        <f>[1]Pokemon!C606</f>
        <v>Magnezone</v>
      </c>
      <c r="C606" s="11" t="str">
        <f>[1]Moves!B606</f>
        <v>Psycho Shift</v>
      </c>
    </row>
    <row r="607" spans="2:3" x14ac:dyDescent="0.25">
      <c r="B607" s="11" t="str">
        <f>[1]Pokemon!C607</f>
        <v>Lickilicky</v>
      </c>
      <c r="C607" s="11" t="str">
        <f>[1]Moves!B607</f>
        <v>Psyshield Bash</v>
      </c>
    </row>
    <row r="608" spans="2:3" x14ac:dyDescent="0.25">
      <c r="B608" s="11" t="str">
        <f>[1]Pokemon!C608</f>
        <v>Rhyperior</v>
      </c>
      <c r="C608" s="11" t="str">
        <f>[1]Moves!B608</f>
        <v>Psyshock</v>
      </c>
    </row>
    <row r="609" spans="2:3" x14ac:dyDescent="0.25">
      <c r="B609" s="11" t="str">
        <f>[1]Pokemon!C609</f>
        <v>Tangrowth</v>
      </c>
      <c r="C609" s="11" t="str">
        <f>[1]Moves!B609</f>
        <v>Psystrike</v>
      </c>
    </row>
    <row r="610" spans="2:3" x14ac:dyDescent="0.25">
      <c r="B610" s="11" t="str">
        <f>[1]Pokemon!C610</f>
        <v>Electivire</v>
      </c>
      <c r="C610" s="11" t="str">
        <f>[1]Moves!B610</f>
        <v>Psywave</v>
      </c>
    </row>
    <row r="611" spans="2:3" x14ac:dyDescent="0.25">
      <c r="B611" s="11" t="str">
        <f>[1]Pokemon!C611</f>
        <v>Magmortar</v>
      </c>
      <c r="C611" s="11" t="str">
        <f>[1]Moves!B611</f>
        <v>Pulverizing Pancake</v>
      </c>
    </row>
    <row r="612" spans="2:3" x14ac:dyDescent="0.25">
      <c r="B612" s="11" t="str">
        <f>[1]Pokemon!C612</f>
        <v>Togekiss</v>
      </c>
      <c r="C612" s="11" t="str">
        <f>[1]Moves!B612</f>
        <v>Punishment</v>
      </c>
    </row>
    <row r="613" spans="2:3" x14ac:dyDescent="0.25">
      <c r="B613" s="11" t="str">
        <f>[1]Pokemon!C613</f>
        <v>Yanmega</v>
      </c>
      <c r="C613" s="11" t="str">
        <f>[1]Moves!B613</f>
        <v>Purify</v>
      </c>
    </row>
    <row r="614" spans="2:3" x14ac:dyDescent="0.25">
      <c r="B614" s="11" t="str">
        <f>[1]Pokemon!C614</f>
        <v>Leafeon</v>
      </c>
      <c r="C614" s="11" t="str">
        <f>[1]Moves!B614</f>
        <v>Pursuit</v>
      </c>
    </row>
    <row r="615" spans="2:3" x14ac:dyDescent="0.25">
      <c r="B615" s="11" t="str">
        <f>[1]Pokemon!C615</f>
        <v>Glaceon</v>
      </c>
      <c r="C615" s="11" t="str">
        <f>[1]Moves!B615</f>
        <v>Pyro Ball</v>
      </c>
    </row>
    <row r="616" spans="2:3" x14ac:dyDescent="0.25">
      <c r="B616" s="11" t="str">
        <f>[1]Pokemon!C616</f>
        <v>Gliscor</v>
      </c>
      <c r="C616" s="11" t="str">
        <f>[1]Moves!B616</f>
        <v>Quash</v>
      </c>
    </row>
    <row r="617" spans="2:3" x14ac:dyDescent="0.25">
      <c r="B617" s="11" t="str">
        <f>[1]Pokemon!C617</f>
        <v>Mamoswine</v>
      </c>
      <c r="C617" s="11" t="str">
        <f>[1]Moves!B617</f>
        <v>Quick Attack</v>
      </c>
    </row>
    <row r="618" spans="2:3" x14ac:dyDescent="0.25">
      <c r="B618" s="11" t="str">
        <f>[1]Pokemon!C618</f>
        <v>Porygon Z</v>
      </c>
      <c r="C618" s="11" t="str">
        <f>[1]Moves!B618</f>
        <v>Quick Guard</v>
      </c>
    </row>
    <row r="619" spans="2:3" x14ac:dyDescent="0.25">
      <c r="B619" s="11" t="str">
        <f>[1]Pokemon!C619</f>
        <v>Gallade</v>
      </c>
      <c r="C619" s="11" t="str">
        <f>[1]Moves!B619</f>
        <v>Quiver Dance</v>
      </c>
    </row>
    <row r="620" spans="2:3" x14ac:dyDescent="0.25">
      <c r="B620" s="11" t="str">
        <f>[1]Pokemon!C620</f>
        <v>Gallade Mega</v>
      </c>
      <c r="C620" s="11" t="str">
        <f>[1]Moves!B620</f>
        <v>Rage</v>
      </c>
    </row>
    <row r="621" spans="2:3" x14ac:dyDescent="0.25">
      <c r="B621" s="11" t="str">
        <f>[1]Pokemon!C621</f>
        <v>Probopass</v>
      </c>
      <c r="C621" s="11" t="str">
        <f>[1]Moves!B621</f>
        <v>Rage Fist</v>
      </c>
    </row>
    <row r="622" spans="2:3" x14ac:dyDescent="0.25">
      <c r="B622" s="11" t="str">
        <f>[1]Pokemon!C622</f>
        <v>Dusknoir</v>
      </c>
      <c r="C622" s="11" t="str">
        <f>[1]Moves!B622</f>
        <v>Rage Powder</v>
      </c>
    </row>
    <row r="623" spans="2:3" x14ac:dyDescent="0.25">
      <c r="B623" s="11" t="str">
        <f>[1]Pokemon!C623</f>
        <v>Froslass</v>
      </c>
      <c r="C623" s="11" t="str">
        <f>[1]Moves!B623</f>
        <v>Raging Bull</v>
      </c>
    </row>
    <row r="624" spans="2:3" x14ac:dyDescent="0.25">
      <c r="B624" s="11" t="str">
        <f>[1]Pokemon!C624</f>
        <v>Froslass Mega</v>
      </c>
      <c r="C624" s="11" t="str">
        <f>[1]Moves!B624</f>
        <v>Raging Fury</v>
      </c>
    </row>
    <row r="625" spans="2:3" x14ac:dyDescent="0.25">
      <c r="B625" s="11" t="str">
        <f>[1]Pokemon!C625</f>
        <v>Rotom</v>
      </c>
      <c r="C625" s="11" t="str">
        <f>[1]Moves!B625</f>
        <v>Rain Dance</v>
      </c>
    </row>
    <row r="626" spans="2:3" x14ac:dyDescent="0.25">
      <c r="B626" s="11" t="str">
        <f>[1]Pokemon!C626</f>
        <v>Rotom Fan</v>
      </c>
      <c r="C626" s="11" t="str">
        <f>[1]Moves!B626</f>
        <v>Rapid Spin</v>
      </c>
    </row>
    <row r="627" spans="2:3" x14ac:dyDescent="0.25">
      <c r="B627" s="11" t="str">
        <f>[1]Pokemon!C627</f>
        <v>Rotom Frost</v>
      </c>
      <c r="C627" s="11" t="str">
        <f>[1]Moves!B627</f>
        <v>Razor Leaf</v>
      </c>
    </row>
    <row r="628" spans="2:3" x14ac:dyDescent="0.25">
      <c r="B628" s="11" t="str">
        <f>[1]Pokemon!C628</f>
        <v>Rotom Heat</v>
      </c>
      <c r="C628" s="11" t="str">
        <f>[1]Moves!B628</f>
        <v>Razor Shell</v>
      </c>
    </row>
    <row r="629" spans="2:3" x14ac:dyDescent="0.25">
      <c r="B629" s="11" t="str">
        <f>[1]Pokemon!C629</f>
        <v>Rotom Mow</v>
      </c>
      <c r="C629" s="11" t="str">
        <f>[1]Moves!B629</f>
        <v>Razor Wind</v>
      </c>
    </row>
    <row r="630" spans="2:3" x14ac:dyDescent="0.25">
      <c r="B630" s="11" t="str">
        <f>[1]Pokemon!C630</f>
        <v>Rotom Wash</v>
      </c>
      <c r="C630" s="11" t="str">
        <f>[1]Moves!B630</f>
        <v>Recover</v>
      </c>
    </row>
    <row r="631" spans="2:3" x14ac:dyDescent="0.25">
      <c r="B631" s="11" t="str">
        <f>[1]Pokemon!C631</f>
        <v>Uxie</v>
      </c>
      <c r="C631" s="11" t="str">
        <f>[1]Moves!B631</f>
        <v>Recycle</v>
      </c>
    </row>
    <row r="632" spans="2:3" x14ac:dyDescent="0.25">
      <c r="B632" s="11" t="str">
        <f>[1]Pokemon!C632</f>
        <v>Mesprit</v>
      </c>
      <c r="C632" s="11" t="str">
        <f>[1]Moves!B632</f>
        <v>Reflect</v>
      </c>
    </row>
    <row r="633" spans="2:3" x14ac:dyDescent="0.25">
      <c r="B633" s="11" t="str">
        <f>[1]Pokemon!C633</f>
        <v>Azelf</v>
      </c>
      <c r="C633" s="11" t="str">
        <f>[1]Moves!B633</f>
        <v>Reflect Type</v>
      </c>
    </row>
    <row r="634" spans="2:3" x14ac:dyDescent="0.25">
      <c r="B634" s="11" t="str">
        <f>[1]Pokemon!C634</f>
        <v>Dialga</v>
      </c>
      <c r="C634" s="11" t="str">
        <f>[1]Moves!B634</f>
        <v>Refresh</v>
      </c>
    </row>
    <row r="635" spans="2:3" x14ac:dyDescent="0.25">
      <c r="B635" s="11" t="str">
        <f>[1]Pokemon!C635</f>
        <v>Dialga Origin</v>
      </c>
      <c r="C635" s="11" t="str">
        <f>[1]Moves!B635</f>
        <v>Relic Song</v>
      </c>
    </row>
    <row r="636" spans="2:3" x14ac:dyDescent="0.25">
      <c r="B636" s="11" t="str">
        <f>[1]Pokemon!C636</f>
        <v>Palkia</v>
      </c>
      <c r="C636" s="11" t="str">
        <f>[1]Moves!B636</f>
        <v>Rest</v>
      </c>
    </row>
    <row r="637" spans="2:3" x14ac:dyDescent="0.25">
      <c r="B637" s="11" t="str">
        <f>[1]Pokemon!C637</f>
        <v>Palkia Origin</v>
      </c>
      <c r="C637" s="11" t="str">
        <f>[1]Moves!B637</f>
        <v>Retaliate</v>
      </c>
    </row>
    <row r="638" spans="2:3" x14ac:dyDescent="0.25">
      <c r="B638" s="11" t="str">
        <f>[1]Pokemon!C638</f>
        <v>Heatran</v>
      </c>
      <c r="C638" s="11" t="str">
        <f>[1]Moves!B638</f>
        <v>Return</v>
      </c>
    </row>
    <row r="639" spans="2:3" x14ac:dyDescent="0.25">
      <c r="B639" s="11" t="str">
        <f>[1]Pokemon!C639</f>
        <v>Heatran Mega</v>
      </c>
      <c r="C639" s="11" t="str">
        <f>[1]Moves!B639</f>
        <v>Revelation Dance</v>
      </c>
    </row>
    <row r="640" spans="2:3" x14ac:dyDescent="0.25">
      <c r="B640" s="11" t="str">
        <f>[1]Pokemon!C640</f>
        <v>Regigigas</v>
      </c>
      <c r="C640" s="11" t="str">
        <f>[1]Moves!B640</f>
        <v>Revenge</v>
      </c>
    </row>
    <row r="641" spans="2:3" x14ac:dyDescent="0.25">
      <c r="B641" s="11" t="str">
        <f>[1]Pokemon!C641</f>
        <v>Giratina Altered</v>
      </c>
      <c r="C641" s="11" t="str">
        <f>[1]Moves!B641</f>
        <v>Reversal</v>
      </c>
    </row>
    <row r="642" spans="2:3" x14ac:dyDescent="0.25">
      <c r="B642" s="11" t="str">
        <f>[1]Pokemon!C642</f>
        <v>Giratina Origin</v>
      </c>
      <c r="C642" s="11" t="str">
        <f>[1]Moves!B642</f>
        <v>Revival Blessing</v>
      </c>
    </row>
    <row r="643" spans="2:3" x14ac:dyDescent="0.25">
      <c r="B643" s="11" t="str">
        <f>[1]Pokemon!C643</f>
        <v>Cresselia</v>
      </c>
      <c r="C643" s="11" t="str">
        <f>[1]Moves!B643</f>
        <v>Rising Voltage</v>
      </c>
    </row>
    <row r="644" spans="2:3" x14ac:dyDescent="0.25">
      <c r="B644" s="11" t="str">
        <f>[1]Pokemon!C644</f>
        <v>Phione</v>
      </c>
      <c r="C644" s="11" t="str">
        <f>[1]Moves!B644</f>
        <v>Roar</v>
      </c>
    </row>
    <row r="645" spans="2:3" x14ac:dyDescent="0.25">
      <c r="B645" s="11" t="str">
        <f>[1]Pokemon!C645</f>
        <v>Manaphy</v>
      </c>
      <c r="C645" s="11" t="str">
        <f>[1]Moves!B645</f>
        <v>Roar Of Time</v>
      </c>
    </row>
    <row r="646" spans="2:3" x14ac:dyDescent="0.25">
      <c r="B646" s="11" t="str">
        <f>[1]Pokemon!C646</f>
        <v>Darkrai</v>
      </c>
      <c r="C646" s="11" t="str">
        <f>[1]Moves!B646</f>
        <v>Rock Blast</v>
      </c>
    </row>
    <row r="647" spans="2:3" x14ac:dyDescent="0.25">
      <c r="B647" s="11" t="str">
        <f>[1]Pokemon!C647</f>
        <v>Darkrai Mega</v>
      </c>
      <c r="C647" s="11" t="str">
        <f>[1]Moves!B647</f>
        <v>Rock Climb</v>
      </c>
    </row>
    <row r="648" spans="2:3" x14ac:dyDescent="0.25">
      <c r="B648" s="11" t="str">
        <f>[1]Pokemon!C648</f>
        <v>Shaymin Land</v>
      </c>
      <c r="C648" s="11" t="str">
        <f>[1]Moves!B648</f>
        <v>Rock Polish</v>
      </c>
    </row>
    <row r="649" spans="2:3" x14ac:dyDescent="0.25">
      <c r="B649" s="11" t="str">
        <f>[1]Pokemon!C649</f>
        <v>Shaymin Sky</v>
      </c>
      <c r="C649" s="11" t="str">
        <f>[1]Moves!B649</f>
        <v>Rock Slide</v>
      </c>
    </row>
    <row r="650" spans="2:3" x14ac:dyDescent="0.25">
      <c r="B650" s="11" t="str">
        <f>[1]Pokemon!C650</f>
        <v>Arceus</v>
      </c>
      <c r="C650" s="11" t="str">
        <f>[1]Moves!B650</f>
        <v>Rock Smash</v>
      </c>
    </row>
    <row r="651" spans="2:3" x14ac:dyDescent="0.25">
      <c r="B651" s="11" t="str">
        <f>[1]Pokemon!C651</f>
        <v>Victini</v>
      </c>
      <c r="C651" s="11" t="str">
        <f>[1]Moves!B651</f>
        <v>Rock Throw</v>
      </c>
    </row>
    <row r="652" spans="2:3" x14ac:dyDescent="0.25">
      <c r="B652" s="11" t="str">
        <f>[1]Pokemon!C652</f>
        <v>Snivy</v>
      </c>
      <c r="C652" s="11" t="str">
        <f>[1]Moves!B652</f>
        <v>Rock Tomb</v>
      </c>
    </row>
    <row r="653" spans="2:3" x14ac:dyDescent="0.25">
      <c r="B653" s="11" t="str">
        <f>[1]Pokemon!C653</f>
        <v>Servine</v>
      </c>
      <c r="C653" s="11" t="str">
        <f>[1]Moves!B653</f>
        <v>Rock Wrecker</v>
      </c>
    </row>
    <row r="654" spans="2:3" x14ac:dyDescent="0.25">
      <c r="B654" s="11" t="str">
        <f>[1]Pokemon!C654</f>
        <v>Serperior</v>
      </c>
      <c r="C654" s="11" t="str">
        <f>[1]Moves!B654</f>
        <v>Role Play</v>
      </c>
    </row>
    <row r="655" spans="2:3" x14ac:dyDescent="0.25">
      <c r="B655" s="11" t="str">
        <f>[1]Pokemon!C655</f>
        <v>Tepig</v>
      </c>
      <c r="C655" s="11" t="str">
        <f>[1]Moves!B655</f>
        <v>Rolling Kick</v>
      </c>
    </row>
    <row r="656" spans="2:3" x14ac:dyDescent="0.25">
      <c r="B656" s="11" t="str">
        <f>[1]Pokemon!C656</f>
        <v>Pignite</v>
      </c>
      <c r="C656" s="11" t="str">
        <f>[1]Moves!B656</f>
        <v>Rollout</v>
      </c>
    </row>
    <row r="657" spans="2:3" x14ac:dyDescent="0.25">
      <c r="B657" s="11" t="str">
        <f>[1]Pokemon!C657</f>
        <v>Emboar</v>
      </c>
      <c r="C657" s="11" t="str">
        <f>[1]Moves!B657</f>
        <v>Roost</v>
      </c>
    </row>
    <row r="658" spans="2:3" x14ac:dyDescent="0.25">
      <c r="B658" s="11" t="str">
        <f>[1]Pokemon!C658</f>
        <v>Emboar Mega</v>
      </c>
      <c r="C658" s="11" t="str">
        <f>[1]Moves!B658</f>
        <v>Rototiller</v>
      </c>
    </row>
    <row r="659" spans="2:3" x14ac:dyDescent="0.25">
      <c r="B659" s="11" t="str">
        <f>[1]Pokemon!C659</f>
        <v>Oshawott</v>
      </c>
      <c r="C659" s="11" t="str">
        <f>[1]Moves!B659</f>
        <v>Round</v>
      </c>
    </row>
    <row r="660" spans="2:3" x14ac:dyDescent="0.25">
      <c r="B660" s="11" t="str">
        <f>[1]Pokemon!C660</f>
        <v>Dewott</v>
      </c>
      <c r="C660" s="11" t="str">
        <f>[1]Moves!B660</f>
        <v>Ruination</v>
      </c>
    </row>
    <row r="661" spans="2:3" x14ac:dyDescent="0.25">
      <c r="B661" s="11" t="str">
        <f>[1]Pokemon!C661</f>
        <v>Samurott</v>
      </c>
      <c r="C661" s="11" t="str">
        <f>[1]Moves!B661</f>
        <v>Sacred Fire</v>
      </c>
    </row>
    <row r="662" spans="2:3" x14ac:dyDescent="0.25">
      <c r="B662" s="11" t="str">
        <f>[1]Pokemon!C662</f>
        <v>Samurott Hisui</v>
      </c>
      <c r="C662" s="11" t="str">
        <f>[1]Moves!B662</f>
        <v>Sacred Sword</v>
      </c>
    </row>
    <row r="663" spans="2:3" x14ac:dyDescent="0.25">
      <c r="B663" s="11" t="str">
        <f>[1]Pokemon!C663</f>
        <v>Patrat</v>
      </c>
      <c r="C663" s="11" t="str">
        <f>[1]Moves!B663</f>
        <v>Safeguard</v>
      </c>
    </row>
    <row r="664" spans="2:3" x14ac:dyDescent="0.25">
      <c r="B664" s="11" t="str">
        <f>[1]Pokemon!C664</f>
        <v>Watchog</v>
      </c>
      <c r="C664" s="11" t="str">
        <f>[1]Moves!B664</f>
        <v>Salt Cure</v>
      </c>
    </row>
    <row r="665" spans="2:3" x14ac:dyDescent="0.25">
      <c r="B665" s="11" t="str">
        <f>[1]Pokemon!C665</f>
        <v>Lillipup</v>
      </c>
      <c r="C665" s="11" t="str">
        <f>[1]Moves!B665</f>
        <v>Sand Attack</v>
      </c>
    </row>
    <row r="666" spans="2:3" x14ac:dyDescent="0.25">
      <c r="B666" s="11" t="str">
        <f>[1]Pokemon!C666</f>
        <v>Herdier</v>
      </c>
      <c r="C666" s="11" t="str">
        <f>[1]Moves!B666</f>
        <v>Sand Tomb</v>
      </c>
    </row>
    <row r="667" spans="2:3" x14ac:dyDescent="0.25">
      <c r="B667" s="11" t="str">
        <f>[1]Pokemon!C667</f>
        <v>Stoutland</v>
      </c>
      <c r="C667" s="11" t="str">
        <f>[1]Moves!B667</f>
        <v>Sandsear Storm</v>
      </c>
    </row>
    <row r="668" spans="2:3" x14ac:dyDescent="0.25">
      <c r="B668" s="11" t="str">
        <f>[1]Pokemon!C668</f>
        <v>Purrloin</v>
      </c>
      <c r="C668" s="11" t="str">
        <f>[1]Moves!B668</f>
        <v>Sandstorm</v>
      </c>
    </row>
    <row r="669" spans="2:3" x14ac:dyDescent="0.25">
      <c r="B669" s="11" t="str">
        <f>[1]Pokemon!C669</f>
        <v>Liepard</v>
      </c>
      <c r="C669" s="11" t="str">
        <f>[1]Moves!B669</f>
        <v>Sappy Seed</v>
      </c>
    </row>
    <row r="670" spans="2:3" x14ac:dyDescent="0.25">
      <c r="B670" s="11" t="str">
        <f>[1]Pokemon!C670</f>
        <v>Pansage</v>
      </c>
      <c r="C670" s="11" t="str">
        <f>[1]Moves!B670</f>
        <v>Savage Spin Out Physical</v>
      </c>
    </row>
    <row r="671" spans="2:3" x14ac:dyDescent="0.25">
      <c r="B671" s="11" t="str">
        <f>[1]Pokemon!C671</f>
        <v>Simisage</v>
      </c>
      <c r="C671" s="11" t="str">
        <f>[1]Moves!B671</f>
        <v>Savage Spin Out Special</v>
      </c>
    </row>
    <row r="672" spans="2:3" x14ac:dyDescent="0.25">
      <c r="B672" s="11" t="str">
        <f>[1]Pokemon!C672</f>
        <v>Pansear</v>
      </c>
      <c r="C672" s="11" t="str">
        <f>[1]Moves!B672</f>
        <v>Scald</v>
      </c>
    </row>
    <row r="673" spans="2:3" x14ac:dyDescent="0.25">
      <c r="B673" s="11" t="str">
        <f>[1]Pokemon!C673</f>
        <v>Simisear</v>
      </c>
      <c r="C673" s="11" t="str">
        <f>[1]Moves!B673</f>
        <v>Scale Shot</v>
      </c>
    </row>
    <row r="674" spans="2:3" x14ac:dyDescent="0.25">
      <c r="B674" s="11" t="str">
        <f>[1]Pokemon!C674</f>
        <v>Panpour</v>
      </c>
      <c r="C674" s="11" t="str">
        <f>[1]Moves!B674</f>
        <v>Scary Face</v>
      </c>
    </row>
    <row r="675" spans="2:3" x14ac:dyDescent="0.25">
      <c r="B675" s="11" t="str">
        <f>[1]Pokemon!C675</f>
        <v>Simipour</v>
      </c>
      <c r="C675" s="11" t="str">
        <f>[1]Moves!B675</f>
        <v>Scorching Sands</v>
      </c>
    </row>
    <row r="676" spans="2:3" x14ac:dyDescent="0.25">
      <c r="B676" s="11" t="str">
        <f>[1]Pokemon!C676</f>
        <v>Munna</v>
      </c>
      <c r="C676" s="11" t="str">
        <f>[1]Moves!B676</f>
        <v>Scratch</v>
      </c>
    </row>
    <row r="677" spans="2:3" x14ac:dyDescent="0.25">
      <c r="B677" s="11" t="str">
        <f>[1]Pokemon!C677</f>
        <v>Musharna</v>
      </c>
      <c r="C677" s="11" t="str">
        <f>[1]Moves!B677</f>
        <v>Screech</v>
      </c>
    </row>
    <row r="678" spans="2:3" x14ac:dyDescent="0.25">
      <c r="B678" s="11" t="str">
        <f>[1]Pokemon!C678</f>
        <v>Pidove</v>
      </c>
      <c r="C678" s="11" t="str">
        <f>[1]Moves!B678</f>
        <v>Searing Shot</v>
      </c>
    </row>
    <row r="679" spans="2:3" x14ac:dyDescent="0.25">
      <c r="B679" s="11" t="str">
        <f>[1]Pokemon!C679</f>
        <v>Tranquill</v>
      </c>
      <c r="C679" s="11" t="str">
        <f>[1]Moves!B679</f>
        <v>Searing Sunraze Smash</v>
      </c>
    </row>
    <row r="680" spans="2:3" x14ac:dyDescent="0.25">
      <c r="B680" s="11" t="str">
        <f>[1]Pokemon!C680</f>
        <v>Unfezant</v>
      </c>
      <c r="C680" s="11" t="str">
        <f>[1]Moves!B680</f>
        <v>Secret Power</v>
      </c>
    </row>
    <row r="681" spans="2:3" x14ac:dyDescent="0.25">
      <c r="B681" s="11" t="str">
        <f>[1]Pokemon!C681</f>
        <v>Blitzle</v>
      </c>
      <c r="C681" s="11" t="str">
        <f>[1]Moves!B681</f>
        <v>Secret Sword</v>
      </c>
    </row>
    <row r="682" spans="2:3" x14ac:dyDescent="0.25">
      <c r="B682" s="11" t="str">
        <f>[1]Pokemon!C682</f>
        <v>Zebstrika</v>
      </c>
      <c r="C682" s="11" t="str">
        <f>[1]Moves!B682</f>
        <v>Seed Bomb</v>
      </c>
    </row>
    <row r="683" spans="2:3" x14ac:dyDescent="0.25">
      <c r="B683" s="11" t="str">
        <f>[1]Pokemon!C683</f>
        <v>Roggenrola</v>
      </c>
      <c r="C683" s="11" t="str">
        <f>[1]Moves!B683</f>
        <v>Seed Flare</v>
      </c>
    </row>
    <row r="684" spans="2:3" x14ac:dyDescent="0.25">
      <c r="B684" s="11" t="str">
        <f>[1]Pokemon!C684</f>
        <v>Boldore</v>
      </c>
      <c r="C684" s="11" t="str">
        <f>[1]Moves!B684</f>
        <v>Seismic Toss</v>
      </c>
    </row>
    <row r="685" spans="2:3" x14ac:dyDescent="0.25">
      <c r="B685" s="11" t="str">
        <f>[1]Pokemon!C685</f>
        <v>Gigalith</v>
      </c>
      <c r="C685" s="11" t="str">
        <f>[1]Moves!B685</f>
        <v>Self Destruct</v>
      </c>
    </row>
    <row r="686" spans="2:3" x14ac:dyDescent="0.25">
      <c r="B686" s="11" t="str">
        <f>[1]Pokemon!C686</f>
        <v>Woobat</v>
      </c>
      <c r="C686" s="11" t="str">
        <f>[1]Moves!B686</f>
        <v>Shadow Ball</v>
      </c>
    </row>
    <row r="687" spans="2:3" x14ac:dyDescent="0.25">
      <c r="B687" s="11" t="str">
        <f>[1]Pokemon!C687</f>
        <v>Swoobat</v>
      </c>
      <c r="C687" s="11" t="str">
        <f>[1]Moves!B687</f>
        <v>Shadow Blast</v>
      </c>
    </row>
    <row r="688" spans="2:3" x14ac:dyDescent="0.25">
      <c r="B688" s="11" t="str">
        <f>[1]Pokemon!C688</f>
        <v>Drilbur</v>
      </c>
      <c r="C688" s="11" t="str">
        <f>[1]Moves!B688</f>
        <v>Shadow Blitz</v>
      </c>
    </row>
    <row r="689" spans="2:3" x14ac:dyDescent="0.25">
      <c r="B689" s="11" t="str">
        <f>[1]Pokemon!C689</f>
        <v>Excadrill</v>
      </c>
      <c r="C689" s="11" t="str">
        <f>[1]Moves!B689</f>
        <v>Shadow Bolt</v>
      </c>
    </row>
    <row r="690" spans="2:3" x14ac:dyDescent="0.25">
      <c r="B690" s="11" t="str">
        <f>[1]Pokemon!C690</f>
        <v>Excadrill Mega</v>
      </c>
      <c r="C690" s="11" t="str">
        <f>[1]Moves!B690</f>
        <v>Shadow Bone</v>
      </c>
    </row>
    <row r="691" spans="2:3" x14ac:dyDescent="0.25">
      <c r="B691" s="11" t="str">
        <f>[1]Pokemon!C691</f>
        <v>Audino</v>
      </c>
      <c r="C691" s="11" t="str">
        <f>[1]Moves!B691</f>
        <v>Shadow Break</v>
      </c>
    </row>
    <row r="692" spans="2:3" x14ac:dyDescent="0.25">
      <c r="B692" s="11" t="str">
        <f>[1]Pokemon!C692</f>
        <v>Audino Mega</v>
      </c>
      <c r="C692" s="11" t="str">
        <f>[1]Moves!B692</f>
        <v>Shadow Chill</v>
      </c>
    </row>
    <row r="693" spans="2:3" x14ac:dyDescent="0.25">
      <c r="B693" s="11" t="str">
        <f>[1]Pokemon!C693</f>
        <v>Timburr</v>
      </c>
      <c r="C693" s="11" t="str">
        <f>[1]Moves!B693</f>
        <v>Shadow Claw</v>
      </c>
    </row>
    <row r="694" spans="2:3" x14ac:dyDescent="0.25">
      <c r="B694" s="11" t="str">
        <f>[1]Pokemon!C694</f>
        <v>Gurdurr</v>
      </c>
      <c r="C694" s="11" t="str">
        <f>[1]Moves!B694</f>
        <v>Shadow Down</v>
      </c>
    </row>
    <row r="695" spans="2:3" x14ac:dyDescent="0.25">
      <c r="B695" s="11" t="str">
        <f>[1]Pokemon!C695</f>
        <v>Conkeldurr</v>
      </c>
      <c r="C695" s="11" t="str">
        <f>[1]Moves!B695</f>
        <v>Shadow End</v>
      </c>
    </row>
    <row r="696" spans="2:3" x14ac:dyDescent="0.25">
      <c r="B696" s="11" t="str">
        <f>[1]Pokemon!C696</f>
        <v>Tympole</v>
      </c>
      <c r="C696" s="11" t="str">
        <f>[1]Moves!B696</f>
        <v>Shadow Fire</v>
      </c>
    </row>
    <row r="697" spans="2:3" x14ac:dyDescent="0.25">
      <c r="B697" s="11" t="str">
        <f>[1]Pokemon!C697</f>
        <v>Palpitoad</v>
      </c>
      <c r="C697" s="11" t="str">
        <f>[1]Moves!B697</f>
        <v>Shadow Force</v>
      </c>
    </row>
    <row r="698" spans="2:3" x14ac:dyDescent="0.25">
      <c r="B698" s="11" t="str">
        <f>[1]Pokemon!C698</f>
        <v>Seismitoad</v>
      </c>
      <c r="C698" s="11" t="str">
        <f>[1]Moves!B698</f>
        <v>Shadow Half</v>
      </c>
    </row>
    <row r="699" spans="2:3" x14ac:dyDescent="0.25">
      <c r="B699" s="11" t="str">
        <f>[1]Pokemon!C699</f>
        <v>Throh</v>
      </c>
      <c r="C699" s="11" t="str">
        <f>[1]Moves!B699</f>
        <v>Shadow Hold</v>
      </c>
    </row>
    <row r="700" spans="2:3" x14ac:dyDescent="0.25">
      <c r="B700" s="11" t="str">
        <f>[1]Pokemon!C700</f>
        <v>Sawk</v>
      </c>
      <c r="C700" s="11" t="str">
        <f>[1]Moves!B700</f>
        <v>Shadow Mist</v>
      </c>
    </row>
    <row r="701" spans="2:3" x14ac:dyDescent="0.25">
      <c r="B701" s="11" t="str">
        <f>[1]Pokemon!C701</f>
        <v>Sewaddle</v>
      </c>
      <c r="C701" s="11" t="str">
        <f>[1]Moves!B701</f>
        <v>Shadow Panic</v>
      </c>
    </row>
    <row r="702" spans="2:3" x14ac:dyDescent="0.25">
      <c r="B702" s="11" t="str">
        <f>[1]Pokemon!C702</f>
        <v>Swadloon</v>
      </c>
      <c r="C702" s="11" t="str">
        <f>[1]Moves!B702</f>
        <v>Shadow Punch</v>
      </c>
    </row>
    <row r="703" spans="2:3" x14ac:dyDescent="0.25">
      <c r="B703" s="11" t="str">
        <f>[1]Pokemon!C703</f>
        <v>Leavanny</v>
      </c>
      <c r="C703" s="11" t="str">
        <f>[1]Moves!B703</f>
        <v>Shadow Rave</v>
      </c>
    </row>
    <row r="704" spans="2:3" x14ac:dyDescent="0.25">
      <c r="B704" s="11" t="str">
        <f>[1]Pokemon!C704</f>
        <v>Venipede</v>
      </c>
      <c r="C704" s="11" t="str">
        <f>[1]Moves!B704</f>
        <v>Shadow Rush</v>
      </c>
    </row>
    <row r="705" spans="2:3" x14ac:dyDescent="0.25">
      <c r="B705" s="11" t="str">
        <f>[1]Pokemon!C705</f>
        <v>Whirlipede</v>
      </c>
      <c r="C705" s="11" t="str">
        <f>[1]Moves!B705</f>
        <v>Shadow Shed</v>
      </c>
    </row>
    <row r="706" spans="2:3" x14ac:dyDescent="0.25">
      <c r="B706" s="11" t="str">
        <f>[1]Pokemon!C706</f>
        <v>Scolipede</v>
      </c>
      <c r="C706" s="11" t="str">
        <f>[1]Moves!B706</f>
        <v>Shadow Sky</v>
      </c>
    </row>
    <row r="707" spans="2:3" x14ac:dyDescent="0.25">
      <c r="B707" s="11" t="str">
        <f>[1]Pokemon!C707</f>
        <v>Scolipede Mega</v>
      </c>
      <c r="C707" s="11" t="str">
        <f>[1]Moves!B707</f>
        <v>Shadow Sneak</v>
      </c>
    </row>
    <row r="708" spans="2:3" x14ac:dyDescent="0.25">
      <c r="B708" s="11" t="str">
        <f>[1]Pokemon!C708</f>
        <v>Cottonee</v>
      </c>
      <c r="C708" s="11" t="str">
        <f>[1]Moves!B708</f>
        <v>Shadow Storm</v>
      </c>
    </row>
    <row r="709" spans="2:3" x14ac:dyDescent="0.25">
      <c r="B709" s="11" t="str">
        <f>[1]Pokemon!C709</f>
        <v>Whimsicott</v>
      </c>
      <c r="C709" s="11" t="str">
        <f>[1]Moves!B709</f>
        <v>Shadow Wave</v>
      </c>
    </row>
    <row r="710" spans="2:3" x14ac:dyDescent="0.25">
      <c r="B710" s="11" t="str">
        <f>[1]Pokemon!C710</f>
        <v>Petilil</v>
      </c>
      <c r="C710" s="11" t="str">
        <f>[1]Moves!B710</f>
        <v>Sharpen</v>
      </c>
    </row>
    <row r="711" spans="2:3" x14ac:dyDescent="0.25">
      <c r="B711" s="11" t="str">
        <f>[1]Pokemon!C711</f>
        <v>Lilligant</v>
      </c>
      <c r="C711" s="11" t="str">
        <f>[1]Moves!B711</f>
        <v>Shattered Psyche Physical</v>
      </c>
    </row>
    <row r="712" spans="2:3" x14ac:dyDescent="0.25">
      <c r="B712" s="11" t="str">
        <f>[1]Pokemon!C712</f>
        <v>Lilligant Hisui</v>
      </c>
      <c r="C712" s="11" t="str">
        <f>[1]Moves!B712</f>
        <v>Shattered Psyche Special</v>
      </c>
    </row>
    <row r="713" spans="2:3" x14ac:dyDescent="0.25">
      <c r="B713" s="11" t="str">
        <f>[1]Pokemon!C713</f>
        <v>Basculin Blue Striped</v>
      </c>
      <c r="C713" s="11" t="str">
        <f>[1]Moves!B713</f>
        <v>Shed Tail</v>
      </c>
    </row>
    <row r="714" spans="2:3" x14ac:dyDescent="0.25">
      <c r="B714" s="11" t="str">
        <f>[1]Pokemon!C714</f>
        <v>Basculin Red Striped</v>
      </c>
      <c r="C714" s="11" t="str">
        <f>[1]Moves!B714</f>
        <v>Sheer Cold</v>
      </c>
    </row>
    <row r="715" spans="2:3" x14ac:dyDescent="0.25">
      <c r="B715" s="11" t="str">
        <f>[1]Pokemon!C715</f>
        <v>Basculin White Striped</v>
      </c>
      <c r="C715" s="11" t="str">
        <f>[1]Moves!B715</f>
        <v>Shell Side Arm</v>
      </c>
    </row>
    <row r="716" spans="2:3" x14ac:dyDescent="0.25">
      <c r="B716" s="11" t="str">
        <f>[1]Pokemon!C716</f>
        <v>Sandile</v>
      </c>
      <c r="C716" s="11" t="str">
        <f>[1]Moves!B716</f>
        <v>Shell Smash</v>
      </c>
    </row>
    <row r="717" spans="2:3" x14ac:dyDescent="0.25">
      <c r="B717" s="11" t="str">
        <f>[1]Pokemon!C717</f>
        <v>Krokorok</v>
      </c>
      <c r="C717" s="11" t="str">
        <f>[1]Moves!B717</f>
        <v>Shell Trap</v>
      </c>
    </row>
    <row r="718" spans="2:3" x14ac:dyDescent="0.25">
      <c r="B718" s="11" t="str">
        <f>[1]Pokemon!C718</f>
        <v>Krookodile</v>
      </c>
      <c r="C718" s="11" t="str">
        <f>[1]Moves!B718</f>
        <v>Shelter</v>
      </c>
    </row>
    <row r="719" spans="2:3" x14ac:dyDescent="0.25">
      <c r="B719" s="11" t="str">
        <f>[1]Pokemon!C719</f>
        <v>Darumaka</v>
      </c>
      <c r="C719" s="11" t="str">
        <f>[1]Moves!B719</f>
        <v>Shift Gear</v>
      </c>
    </row>
    <row r="720" spans="2:3" x14ac:dyDescent="0.25">
      <c r="B720" s="11" t="str">
        <f>[1]Pokemon!C720</f>
        <v>Darumaka Galar</v>
      </c>
      <c r="C720" s="11" t="str">
        <f>[1]Moves!B720</f>
        <v>Shock Wave</v>
      </c>
    </row>
    <row r="721" spans="2:3" x14ac:dyDescent="0.25">
      <c r="B721" s="11" t="str">
        <f>[1]Pokemon!C721</f>
        <v>Darmanitan Galar Standard</v>
      </c>
      <c r="C721" s="11" t="str">
        <f>[1]Moves!B721</f>
        <v>Shore Up</v>
      </c>
    </row>
    <row r="722" spans="2:3" x14ac:dyDescent="0.25">
      <c r="B722" s="11" t="str">
        <f>[1]Pokemon!C722</f>
        <v>Darmanitan Galar Zen</v>
      </c>
      <c r="C722" s="11" t="str">
        <f>[1]Moves!B722</f>
        <v>Signal Beam</v>
      </c>
    </row>
    <row r="723" spans="2:3" x14ac:dyDescent="0.25">
      <c r="B723" s="11" t="str">
        <f>[1]Pokemon!C723</f>
        <v>Darmanitan Standard</v>
      </c>
      <c r="C723" s="11" t="str">
        <f>[1]Moves!B723</f>
        <v>Silk Trap</v>
      </c>
    </row>
    <row r="724" spans="2:3" x14ac:dyDescent="0.25">
      <c r="B724" s="11" t="str">
        <f>[1]Pokemon!C724</f>
        <v>Darmanitan Zen</v>
      </c>
      <c r="C724" s="11" t="str">
        <f>[1]Moves!B724</f>
        <v>Silver Wind</v>
      </c>
    </row>
    <row r="725" spans="2:3" x14ac:dyDescent="0.25">
      <c r="B725" s="11" t="str">
        <f>[1]Pokemon!C725</f>
        <v>Maractus</v>
      </c>
      <c r="C725" s="11" t="str">
        <f>[1]Moves!B725</f>
        <v>Simple Beam</v>
      </c>
    </row>
    <row r="726" spans="2:3" x14ac:dyDescent="0.25">
      <c r="B726" s="11" t="str">
        <f>[1]Pokemon!C726</f>
        <v>Dwebble</v>
      </c>
      <c r="C726" s="11" t="str">
        <f>[1]Moves!B726</f>
        <v>Sing</v>
      </c>
    </row>
    <row r="727" spans="2:3" x14ac:dyDescent="0.25">
      <c r="B727" s="11" t="str">
        <f>[1]Pokemon!C727</f>
        <v>Crustle</v>
      </c>
      <c r="C727" s="11" t="str">
        <f>[1]Moves!B727</f>
        <v>Sinister Arrow Raid</v>
      </c>
    </row>
    <row r="728" spans="2:3" x14ac:dyDescent="0.25">
      <c r="B728" s="11" t="str">
        <f>[1]Pokemon!C728</f>
        <v>Scraggy</v>
      </c>
      <c r="C728" s="11" t="str">
        <f>[1]Moves!B728</f>
        <v>Sizzly Slide</v>
      </c>
    </row>
    <row r="729" spans="2:3" x14ac:dyDescent="0.25">
      <c r="B729" s="11" t="str">
        <f>[1]Pokemon!C729</f>
        <v>Scrafty</v>
      </c>
      <c r="C729" s="11" t="str">
        <f>[1]Moves!B729</f>
        <v>Sketch</v>
      </c>
    </row>
    <row r="730" spans="2:3" x14ac:dyDescent="0.25">
      <c r="B730" s="11" t="str">
        <f>[1]Pokemon!C730</f>
        <v>Scrafty Mega</v>
      </c>
      <c r="C730" s="11" t="str">
        <f>[1]Moves!B730</f>
        <v>Skill Swap</v>
      </c>
    </row>
    <row r="731" spans="2:3" x14ac:dyDescent="0.25">
      <c r="B731" s="11" t="str">
        <f>[1]Pokemon!C731</f>
        <v>Sigilyph</v>
      </c>
      <c r="C731" s="11" t="str">
        <f>[1]Moves!B731</f>
        <v>Skitter Smack</v>
      </c>
    </row>
    <row r="732" spans="2:3" x14ac:dyDescent="0.25">
      <c r="B732" s="11" t="str">
        <f>[1]Pokemon!C732</f>
        <v>Yamask</v>
      </c>
      <c r="C732" s="11" t="str">
        <f>[1]Moves!B732</f>
        <v>Skull Bash</v>
      </c>
    </row>
    <row r="733" spans="2:3" x14ac:dyDescent="0.25">
      <c r="B733" s="11" t="str">
        <f>[1]Pokemon!C733</f>
        <v>Yamask Galar</v>
      </c>
      <c r="C733" s="11" t="str">
        <f>[1]Moves!B733</f>
        <v>Sky Attack</v>
      </c>
    </row>
    <row r="734" spans="2:3" x14ac:dyDescent="0.25">
      <c r="B734" s="11" t="str">
        <f>[1]Pokemon!C734</f>
        <v>Cofagrigus</v>
      </c>
      <c r="C734" s="11" t="str">
        <f>[1]Moves!B734</f>
        <v>Sky Drop</v>
      </c>
    </row>
    <row r="735" spans="2:3" x14ac:dyDescent="0.25">
      <c r="B735" s="11" t="str">
        <f>[1]Pokemon!C735</f>
        <v>Tirtouga</v>
      </c>
      <c r="C735" s="11" t="str">
        <f>[1]Moves!B735</f>
        <v>Sky Uppercut</v>
      </c>
    </row>
    <row r="736" spans="2:3" x14ac:dyDescent="0.25">
      <c r="B736" s="11" t="str">
        <f>[1]Pokemon!C736</f>
        <v>Carracosta</v>
      </c>
      <c r="C736" s="11" t="str">
        <f>[1]Moves!B736</f>
        <v>Slack Off</v>
      </c>
    </row>
    <row r="737" spans="2:3" x14ac:dyDescent="0.25">
      <c r="B737" s="11" t="str">
        <f>[1]Pokemon!C737</f>
        <v>Archen</v>
      </c>
      <c r="C737" s="11" t="str">
        <f>[1]Moves!B737</f>
        <v>Slam</v>
      </c>
    </row>
    <row r="738" spans="2:3" x14ac:dyDescent="0.25">
      <c r="B738" s="11" t="str">
        <f>[1]Pokemon!C738</f>
        <v>Archeops</v>
      </c>
      <c r="C738" s="11" t="str">
        <f>[1]Moves!B738</f>
        <v>Slash</v>
      </c>
    </row>
    <row r="739" spans="2:3" x14ac:dyDescent="0.25">
      <c r="B739" s="11" t="str">
        <f>[1]Pokemon!C739</f>
        <v>Trubbish</v>
      </c>
      <c r="C739" s="11" t="str">
        <f>[1]Moves!B739</f>
        <v>Sleep Powder</v>
      </c>
    </row>
    <row r="740" spans="2:3" x14ac:dyDescent="0.25">
      <c r="B740" s="11" t="str">
        <f>[1]Pokemon!C740</f>
        <v>Garbodor</v>
      </c>
      <c r="C740" s="11" t="str">
        <f>[1]Moves!B740</f>
        <v>Sleep Talk</v>
      </c>
    </row>
    <row r="741" spans="2:3" x14ac:dyDescent="0.25">
      <c r="B741" s="11" t="str">
        <f>[1]Pokemon!C741</f>
        <v>Garbodor Gmax</v>
      </c>
      <c r="C741" s="11" t="str">
        <f>[1]Moves!B741</f>
        <v>Sludge</v>
      </c>
    </row>
    <row r="742" spans="2:3" x14ac:dyDescent="0.25">
      <c r="B742" s="11" t="str">
        <f>[1]Pokemon!C742</f>
        <v>Zorua</v>
      </c>
      <c r="C742" s="11" t="str">
        <f>[1]Moves!B742</f>
        <v>Sludge Bomb</v>
      </c>
    </row>
    <row r="743" spans="2:3" x14ac:dyDescent="0.25">
      <c r="B743" s="11" t="str">
        <f>[1]Pokemon!C743</f>
        <v>Zorua Hisui</v>
      </c>
      <c r="C743" s="11" t="str">
        <f>[1]Moves!B743</f>
        <v>Sludge Wave</v>
      </c>
    </row>
    <row r="744" spans="2:3" x14ac:dyDescent="0.25">
      <c r="B744" s="11" t="str">
        <f>[1]Pokemon!C744</f>
        <v>Zoroark</v>
      </c>
      <c r="C744" s="11" t="str">
        <f>[1]Moves!B744</f>
        <v>Smack Down</v>
      </c>
    </row>
    <row r="745" spans="2:3" x14ac:dyDescent="0.25">
      <c r="B745" s="11" t="str">
        <f>[1]Pokemon!C745</f>
        <v>Zoroark Hisui</v>
      </c>
      <c r="C745" s="11" t="str">
        <f>[1]Moves!B745</f>
        <v>Smart Strike</v>
      </c>
    </row>
    <row r="746" spans="2:3" x14ac:dyDescent="0.25">
      <c r="B746" s="11" t="str">
        <f>[1]Pokemon!C746</f>
        <v>Minccino</v>
      </c>
      <c r="C746" s="11" t="str">
        <f>[1]Moves!B746</f>
        <v>Smelling Salts</v>
      </c>
    </row>
    <row r="747" spans="2:3" x14ac:dyDescent="0.25">
      <c r="B747" s="11" t="str">
        <f>[1]Pokemon!C747</f>
        <v>Cinccino</v>
      </c>
      <c r="C747" s="11" t="str">
        <f>[1]Moves!B747</f>
        <v>Smog</v>
      </c>
    </row>
    <row r="748" spans="2:3" x14ac:dyDescent="0.25">
      <c r="B748" s="11" t="str">
        <f>[1]Pokemon!C748</f>
        <v>Gothita</v>
      </c>
      <c r="C748" s="11" t="str">
        <f>[1]Moves!B748</f>
        <v>Smokescreen</v>
      </c>
    </row>
    <row r="749" spans="2:3" x14ac:dyDescent="0.25">
      <c r="B749" s="11" t="str">
        <f>[1]Pokemon!C749</f>
        <v>Gothorita</v>
      </c>
      <c r="C749" s="11" t="str">
        <f>[1]Moves!B749</f>
        <v>Snap Trap</v>
      </c>
    </row>
    <row r="750" spans="2:3" x14ac:dyDescent="0.25">
      <c r="B750" s="11" t="str">
        <f>[1]Pokemon!C750</f>
        <v>Gothitelle</v>
      </c>
      <c r="C750" s="11" t="str">
        <f>[1]Moves!B750</f>
        <v>Snarl</v>
      </c>
    </row>
    <row r="751" spans="2:3" x14ac:dyDescent="0.25">
      <c r="B751" s="11" t="str">
        <f>[1]Pokemon!C751</f>
        <v>Solosis</v>
      </c>
      <c r="C751" s="11" t="str">
        <f>[1]Moves!B751</f>
        <v>Snatch</v>
      </c>
    </row>
    <row r="752" spans="2:3" x14ac:dyDescent="0.25">
      <c r="B752" s="11" t="str">
        <f>[1]Pokemon!C752</f>
        <v>Duosion</v>
      </c>
      <c r="C752" s="11" t="str">
        <f>[1]Moves!B752</f>
        <v>Snipe Shot</v>
      </c>
    </row>
    <row r="753" spans="2:3" x14ac:dyDescent="0.25">
      <c r="B753" s="11" t="str">
        <f>[1]Pokemon!C753</f>
        <v>Reuniclus</v>
      </c>
      <c r="C753" s="11" t="str">
        <f>[1]Moves!B753</f>
        <v>Snore</v>
      </c>
    </row>
    <row r="754" spans="2:3" x14ac:dyDescent="0.25">
      <c r="B754" s="11" t="str">
        <f>[1]Pokemon!C754</f>
        <v>Ducklett</v>
      </c>
      <c r="C754" s="11" t="str">
        <f>[1]Moves!B754</f>
        <v>Snowscape</v>
      </c>
    </row>
    <row r="755" spans="2:3" x14ac:dyDescent="0.25">
      <c r="B755" s="11" t="str">
        <f>[1]Pokemon!C755</f>
        <v>Swanna</v>
      </c>
      <c r="C755" s="11" t="str">
        <f>[1]Moves!B755</f>
        <v>Soak</v>
      </c>
    </row>
    <row r="756" spans="2:3" x14ac:dyDescent="0.25">
      <c r="B756" s="11" t="str">
        <f>[1]Pokemon!C756</f>
        <v>Vanillite</v>
      </c>
      <c r="C756" s="11" t="str">
        <f>[1]Moves!B756</f>
        <v>Soft Boiled</v>
      </c>
    </row>
    <row r="757" spans="2:3" x14ac:dyDescent="0.25">
      <c r="B757" s="11" t="str">
        <f>[1]Pokemon!C757</f>
        <v>Vanillish</v>
      </c>
      <c r="C757" s="11" t="str">
        <f>[1]Moves!B757</f>
        <v>Solar Beam</v>
      </c>
    </row>
    <row r="758" spans="2:3" x14ac:dyDescent="0.25">
      <c r="B758" s="11" t="str">
        <f>[1]Pokemon!C758</f>
        <v>Vanilluxe</v>
      </c>
      <c r="C758" s="11" t="str">
        <f>[1]Moves!B758</f>
        <v>Solar Blade</v>
      </c>
    </row>
    <row r="759" spans="2:3" x14ac:dyDescent="0.25">
      <c r="B759" s="11" t="str">
        <f>[1]Pokemon!C759</f>
        <v>Deerling</v>
      </c>
      <c r="C759" s="11" t="str">
        <f>[1]Moves!B759</f>
        <v>Sonic Boom</v>
      </c>
    </row>
    <row r="760" spans="2:3" x14ac:dyDescent="0.25">
      <c r="B760" s="11" t="str">
        <f>[1]Pokemon!C760</f>
        <v>Sawsbuck</v>
      </c>
      <c r="C760" s="11" t="str">
        <f>[1]Moves!B760</f>
        <v>Soul Stealing 7 Star Strike</v>
      </c>
    </row>
    <row r="761" spans="2:3" x14ac:dyDescent="0.25">
      <c r="B761" s="11" t="str">
        <f>[1]Pokemon!C761</f>
        <v>Emolga</v>
      </c>
      <c r="C761" s="11" t="str">
        <f>[1]Moves!B761</f>
        <v>Spacial Rend</v>
      </c>
    </row>
    <row r="762" spans="2:3" x14ac:dyDescent="0.25">
      <c r="B762" s="11" t="str">
        <f>[1]Pokemon!C762</f>
        <v>Karrablast</v>
      </c>
      <c r="C762" s="11" t="str">
        <f>[1]Moves!B762</f>
        <v>Spark</v>
      </c>
    </row>
    <row r="763" spans="2:3" x14ac:dyDescent="0.25">
      <c r="B763" s="11" t="str">
        <f>[1]Pokemon!C763</f>
        <v>Escavalier</v>
      </c>
      <c r="C763" s="11" t="str">
        <f>[1]Moves!B763</f>
        <v>Sparkling Aria</v>
      </c>
    </row>
    <row r="764" spans="2:3" x14ac:dyDescent="0.25">
      <c r="B764" s="11" t="str">
        <f>[1]Pokemon!C764</f>
        <v>Foongus</v>
      </c>
      <c r="C764" s="11" t="str">
        <f>[1]Moves!B764</f>
        <v>Sparkly Swirl</v>
      </c>
    </row>
    <row r="765" spans="2:3" x14ac:dyDescent="0.25">
      <c r="B765" s="11" t="str">
        <f>[1]Pokemon!C765</f>
        <v>Amoonguss</v>
      </c>
      <c r="C765" s="11" t="str">
        <f>[1]Moves!B765</f>
        <v>Spectral Thief</v>
      </c>
    </row>
    <row r="766" spans="2:3" x14ac:dyDescent="0.25">
      <c r="B766" s="11" t="str">
        <f>[1]Pokemon!C766</f>
        <v>Frillish</v>
      </c>
      <c r="C766" s="11" t="str">
        <f>[1]Moves!B766</f>
        <v>Speed Swap</v>
      </c>
    </row>
    <row r="767" spans="2:3" x14ac:dyDescent="0.25">
      <c r="B767" s="11" t="str">
        <f>[1]Pokemon!C767</f>
        <v>Jellicent</v>
      </c>
      <c r="C767" s="11" t="str">
        <f>[1]Moves!B767</f>
        <v>Spicy Extract</v>
      </c>
    </row>
    <row r="768" spans="2:3" x14ac:dyDescent="0.25">
      <c r="B768" s="11" t="str">
        <f>[1]Pokemon!C768</f>
        <v>Alomomola</v>
      </c>
      <c r="C768" s="11" t="str">
        <f>[1]Moves!B768</f>
        <v>Spider Web</v>
      </c>
    </row>
    <row r="769" spans="2:3" x14ac:dyDescent="0.25">
      <c r="B769" s="11" t="str">
        <f>[1]Pokemon!C769</f>
        <v>Joltik</v>
      </c>
      <c r="C769" s="11" t="str">
        <f>[1]Moves!B769</f>
        <v>Spike Cannon</v>
      </c>
    </row>
    <row r="770" spans="2:3" x14ac:dyDescent="0.25">
      <c r="B770" s="11" t="str">
        <f>[1]Pokemon!C770</f>
        <v>Galvantula</v>
      </c>
      <c r="C770" s="11" t="str">
        <f>[1]Moves!B770</f>
        <v>Spikes</v>
      </c>
    </row>
    <row r="771" spans="2:3" x14ac:dyDescent="0.25">
      <c r="B771" s="11" t="str">
        <f>[1]Pokemon!C771</f>
        <v>Ferroseed</v>
      </c>
      <c r="C771" s="11" t="str">
        <f>[1]Moves!B771</f>
        <v>Spiky Shield</v>
      </c>
    </row>
    <row r="772" spans="2:3" x14ac:dyDescent="0.25">
      <c r="B772" s="11" t="str">
        <f>[1]Pokemon!C772</f>
        <v>Ferrothorn</v>
      </c>
      <c r="C772" s="11" t="str">
        <f>[1]Moves!B772</f>
        <v>Spin Out</v>
      </c>
    </row>
    <row r="773" spans="2:3" x14ac:dyDescent="0.25">
      <c r="B773" s="11" t="str">
        <f>[1]Pokemon!C773</f>
        <v>Klink</v>
      </c>
      <c r="C773" s="11" t="str">
        <f>[1]Moves!B773</f>
        <v>Spirit Break</v>
      </c>
    </row>
    <row r="774" spans="2:3" x14ac:dyDescent="0.25">
      <c r="B774" s="11" t="str">
        <f>[1]Pokemon!C774</f>
        <v>Klang</v>
      </c>
      <c r="C774" s="11" t="str">
        <f>[1]Moves!B774</f>
        <v>Spirit Shackle</v>
      </c>
    </row>
    <row r="775" spans="2:3" x14ac:dyDescent="0.25">
      <c r="B775" s="11" t="str">
        <f>[1]Pokemon!C775</f>
        <v>Klinklang</v>
      </c>
      <c r="C775" s="11" t="str">
        <f>[1]Moves!B775</f>
        <v>Spit Up</v>
      </c>
    </row>
    <row r="776" spans="2:3" x14ac:dyDescent="0.25">
      <c r="B776" s="11" t="str">
        <f>[1]Pokemon!C776</f>
        <v>Tynamo</v>
      </c>
      <c r="C776" s="11" t="str">
        <f>[1]Moves!B776</f>
        <v>Spite</v>
      </c>
    </row>
    <row r="777" spans="2:3" x14ac:dyDescent="0.25">
      <c r="B777" s="11" t="str">
        <f>[1]Pokemon!C777</f>
        <v>Eelektrik</v>
      </c>
      <c r="C777" s="11" t="str">
        <f>[1]Moves!B777</f>
        <v>Splash</v>
      </c>
    </row>
    <row r="778" spans="2:3" x14ac:dyDescent="0.25">
      <c r="B778" s="11" t="str">
        <f>[1]Pokemon!C778</f>
        <v>Eelektross</v>
      </c>
      <c r="C778" s="11" t="str">
        <f>[1]Moves!B778</f>
        <v>Splintered Stormshards</v>
      </c>
    </row>
    <row r="779" spans="2:3" x14ac:dyDescent="0.25">
      <c r="B779" s="11" t="str">
        <f>[1]Pokemon!C779</f>
        <v>Eelektross Mega</v>
      </c>
      <c r="C779" s="11" t="str">
        <f>[1]Moves!B779</f>
        <v>Splishy Splash</v>
      </c>
    </row>
    <row r="780" spans="2:3" x14ac:dyDescent="0.25">
      <c r="B780" s="11" t="str">
        <f>[1]Pokemon!C780</f>
        <v>Elgyem</v>
      </c>
      <c r="C780" s="11" t="str">
        <f>[1]Moves!B780</f>
        <v>Spore</v>
      </c>
    </row>
    <row r="781" spans="2:3" x14ac:dyDescent="0.25">
      <c r="B781" s="11" t="str">
        <f>[1]Pokemon!C781</f>
        <v>Beheeyem</v>
      </c>
      <c r="C781" s="11" t="str">
        <f>[1]Moves!B781</f>
        <v>Spotlight</v>
      </c>
    </row>
    <row r="782" spans="2:3" x14ac:dyDescent="0.25">
      <c r="B782" s="11" t="str">
        <f>[1]Pokemon!C782</f>
        <v>Litwick</v>
      </c>
      <c r="C782" s="11" t="str">
        <f>[1]Moves!B782</f>
        <v>Springtide Storm</v>
      </c>
    </row>
    <row r="783" spans="2:3" x14ac:dyDescent="0.25">
      <c r="B783" s="11" t="str">
        <f>[1]Pokemon!C783</f>
        <v>Lampent</v>
      </c>
      <c r="C783" s="11" t="str">
        <f>[1]Moves!B783</f>
        <v>Stealth Rock</v>
      </c>
    </row>
    <row r="784" spans="2:3" x14ac:dyDescent="0.25">
      <c r="B784" s="11" t="str">
        <f>[1]Pokemon!C784</f>
        <v>Chandelure</v>
      </c>
      <c r="C784" s="11" t="str">
        <f>[1]Moves!B784</f>
        <v>Steam Eruption</v>
      </c>
    </row>
    <row r="785" spans="2:3" x14ac:dyDescent="0.25">
      <c r="B785" s="11" t="str">
        <f>[1]Pokemon!C785</f>
        <v>Chandelure Mega</v>
      </c>
      <c r="C785" s="11" t="str">
        <f>[1]Moves!B785</f>
        <v>Steamroller</v>
      </c>
    </row>
    <row r="786" spans="2:3" x14ac:dyDescent="0.25">
      <c r="B786" s="11" t="str">
        <f>[1]Pokemon!C786</f>
        <v>Axew</v>
      </c>
      <c r="C786" s="11" t="str">
        <f>[1]Moves!B786</f>
        <v>Steel Beam</v>
      </c>
    </row>
    <row r="787" spans="2:3" x14ac:dyDescent="0.25">
      <c r="B787" s="11" t="str">
        <f>[1]Pokemon!C787</f>
        <v>Fraxure</v>
      </c>
      <c r="C787" s="11" t="str">
        <f>[1]Moves!B787</f>
        <v>Steel Roller</v>
      </c>
    </row>
    <row r="788" spans="2:3" x14ac:dyDescent="0.25">
      <c r="B788" s="11" t="str">
        <f>[1]Pokemon!C788</f>
        <v>Haxorus</v>
      </c>
      <c r="C788" s="11" t="str">
        <f>[1]Moves!B788</f>
        <v>Steel Wing</v>
      </c>
    </row>
    <row r="789" spans="2:3" x14ac:dyDescent="0.25">
      <c r="B789" s="11" t="str">
        <f>[1]Pokemon!C789</f>
        <v>Cubchoo</v>
      </c>
      <c r="C789" s="11" t="str">
        <f>[1]Moves!B789</f>
        <v>Sticky Web</v>
      </c>
    </row>
    <row r="790" spans="2:3" x14ac:dyDescent="0.25">
      <c r="B790" s="11" t="str">
        <f>[1]Pokemon!C790</f>
        <v>Beartic</v>
      </c>
      <c r="C790" s="11" t="str">
        <f>[1]Moves!B790</f>
        <v>Stockpile</v>
      </c>
    </row>
    <row r="791" spans="2:3" x14ac:dyDescent="0.25">
      <c r="B791" s="11" t="str">
        <f>[1]Pokemon!C791</f>
        <v>Cryogonal</v>
      </c>
      <c r="C791" s="11" t="str">
        <f>[1]Moves!B791</f>
        <v>Stoked Sparksurfer</v>
      </c>
    </row>
    <row r="792" spans="2:3" x14ac:dyDescent="0.25">
      <c r="B792" s="11" t="str">
        <f>[1]Pokemon!C792</f>
        <v>Shelmet</v>
      </c>
      <c r="C792" s="11" t="str">
        <f>[1]Moves!B792</f>
        <v>Stomp</v>
      </c>
    </row>
    <row r="793" spans="2:3" x14ac:dyDescent="0.25">
      <c r="B793" s="11" t="str">
        <f>[1]Pokemon!C793</f>
        <v>Accelgor</v>
      </c>
      <c r="C793" s="11" t="str">
        <f>[1]Moves!B793</f>
        <v>Stomping Tantrum</v>
      </c>
    </row>
    <row r="794" spans="2:3" x14ac:dyDescent="0.25">
      <c r="B794" s="11" t="str">
        <f>[1]Pokemon!C794</f>
        <v>Stunfisk</v>
      </c>
      <c r="C794" s="11" t="str">
        <f>[1]Moves!B794</f>
        <v>Stone Axe</v>
      </c>
    </row>
    <row r="795" spans="2:3" x14ac:dyDescent="0.25">
      <c r="B795" s="11" t="str">
        <f>[1]Pokemon!C795</f>
        <v>Stunfisk Galar</v>
      </c>
      <c r="C795" s="11" t="str">
        <f>[1]Moves!B795</f>
        <v>Stone Edge</v>
      </c>
    </row>
    <row r="796" spans="2:3" x14ac:dyDescent="0.25">
      <c r="B796" s="11" t="str">
        <f>[1]Pokemon!C796</f>
        <v>Mienfoo</v>
      </c>
      <c r="C796" s="11" t="str">
        <f>[1]Moves!B796</f>
        <v>Stored Power</v>
      </c>
    </row>
    <row r="797" spans="2:3" x14ac:dyDescent="0.25">
      <c r="B797" s="11" t="str">
        <f>[1]Pokemon!C797</f>
        <v>Mienshao</v>
      </c>
      <c r="C797" s="11" t="str">
        <f>[1]Moves!B797</f>
        <v>Storm Throw</v>
      </c>
    </row>
    <row r="798" spans="2:3" x14ac:dyDescent="0.25">
      <c r="B798" s="11" t="str">
        <f>[1]Pokemon!C798</f>
        <v>Druddigon</v>
      </c>
      <c r="C798" s="11" t="str">
        <f>[1]Moves!B798</f>
        <v>Strange Steam</v>
      </c>
    </row>
    <row r="799" spans="2:3" x14ac:dyDescent="0.25">
      <c r="B799" s="11" t="str">
        <f>[1]Pokemon!C799</f>
        <v>Golett</v>
      </c>
      <c r="C799" s="11" t="str">
        <f>[1]Moves!B799</f>
        <v>Strength</v>
      </c>
    </row>
    <row r="800" spans="2:3" x14ac:dyDescent="0.25">
      <c r="B800" s="11" t="str">
        <f>[1]Pokemon!C800</f>
        <v>Golurk</v>
      </c>
      <c r="C800" s="11" t="str">
        <f>[1]Moves!B800</f>
        <v>Strength Sap</v>
      </c>
    </row>
    <row r="801" spans="2:3" x14ac:dyDescent="0.25">
      <c r="B801" s="11" t="str">
        <f>[1]Pokemon!C801</f>
        <v>Golurk Mega</v>
      </c>
      <c r="C801" s="11" t="str">
        <f>[1]Moves!B801</f>
        <v>String Shot</v>
      </c>
    </row>
    <row r="802" spans="2:3" x14ac:dyDescent="0.25">
      <c r="B802" s="11" t="str">
        <f>[1]Pokemon!C802</f>
        <v>Pawniard</v>
      </c>
      <c r="C802" s="11" t="str">
        <f>[1]Moves!B802</f>
        <v>Struggle</v>
      </c>
    </row>
    <row r="803" spans="2:3" x14ac:dyDescent="0.25">
      <c r="B803" s="11" t="str">
        <f>[1]Pokemon!C803</f>
        <v>Bisharp</v>
      </c>
      <c r="C803" s="11" t="str">
        <f>[1]Moves!B803</f>
        <v>Struggle Bug</v>
      </c>
    </row>
    <row r="804" spans="2:3" x14ac:dyDescent="0.25">
      <c r="B804" s="11" t="str">
        <f>[1]Pokemon!C804</f>
        <v>Bouffalant</v>
      </c>
      <c r="C804" s="11" t="str">
        <f>[1]Moves!B804</f>
        <v>Stuff Cheeks</v>
      </c>
    </row>
    <row r="805" spans="2:3" x14ac:dyDescent="0.25">
      <c r="B805" s="11" t="str">
        <f>[1]Pokemon!C805</f>
        <v>Rufflet</v>
      </c>
      <c r="C805" s="11" t="str">
        <f>[1]Moves!B805</f>
        <v>Stun Spore</v>
      </c>
    </row>
    <row r="806" spans="2:3" x14ac:dyDescent="0.25">
      <c r="B806" s="11" t="str">
        <f>[1]Pokemon!C806</f>
        <v>Braviary</v>
      </c>
      <c r="C806" s="11" t="str">
        <f>[1]Moves!B806</f>
        <v>Submission</v>
      </c>
    </row>
    <row r="807" spans="2:3" x14ac:dyDescent="0.25">
      <c r="B807" s="11" t="str">
        <f>[1]Pokemon!C807</f>
        <v>Braviary Hisui</v>
      </c>
      <c r="C807" s="11" t="str">
        <f>[1]Moves!B807</f>
        <v>Substitute</v>
      </c>
    </row>
    <row r="808" spans="2:3" x14ac:dyDescent="0.25">
      <c r="B808" s="11" t="str">
        <f>[1]Pokemon!C808</f>
        <v>Vullaby</v>
      </c>
      <c r="C808" s="11" t="str">
        <f>[1]Moves!B808</f>
        <v>Subzero Slammer Physical</v>
      </c>
    </row>
    <row r="809" spans="2:3" x14ac:dyDescent="0.25">
      <c r="B809" s="11" t="str">
        <f>[1]Pokemon!C809</f>
        <v>Mandibuzz</v>
      </c>
      <c r="C809" s="11" t="str">
        <f>[1]Moves!B809</f>
        <v>Subzero Slammer Special</v>
      </c>
    </row>
    <row r="810" spans="2:3" x14ac:dyDescent="0.25">
      <c r="B810" s="11" t="str">
        <f>[1]Pokemon!C810</f>
        <v>Heatmor</v>
      </c>
      <c r="C810" s="11" t="str">
        <f>[1]Moves!B810</f>
        <v>Sucker Punch</v>
      </c>
    </row>
    <row r="811" spans="2:3" x14ac:dyDescent="0.25">
      <c r="B811" s="11" t="str">
        <f>[1]Pokemon!C811</f>
        <v>Durant</v>
      </c>
      <c r="C811" s="11" t="str">
        <f>[1]Moves!B811</f>
        <v>Sunny Day</v>
      </c>
    </row>
    <row r="812" spans="2:3" x14ac:dyDescent="0.25">
      <c r="B812" s="11" t="str">
        <f>[1]Pokemon!C812</f>
        <v>Deino</v>
      </c>
      <c r="C812" s="11" t="str">
        <f>[1]Moves!B812</f>
        <v>Sunsteel Strike</v>
      </c>
    </row>
    <row r="813" spans="2:3" x14ac:dyDescent="0.25">
      <c r="B813" s="11" t="str">
        <f>[1]Pokemon!C813</f>
        <v>Zweilous</v>
      </c>
      <c r="C813" s="11" t="str">
        <f>[1]Moves!B813</f>
        <v>Super Fang</v>
      </c>
    </row>
    <row r="814" spans="2:3" x14ac:dyDescent="0.25">
      <c r="B814" s="11" t="str">
        <f>[1]Pokemon!C814</f>
        <v>Hydreigon</v>
      </c>
      <c r="C814" s="11" t="str">
        <f>[1]Moves!B814</f>
        <v>Supercell Slam</v>
      </c>
    </row>
    <row r="815" spans="2:3" x14ac:dyDescent="0.25">
      <c r="B815" s="11" t="str">
        <f>[1]Pokemon!C815</f>
        <v>Larvesta</v>
      </c>
      <c r="C815" s="11" t="str">
        <f>[1]Moves!B815</f>
        <v>Superpower</v>
      </c>
    </row>
    <row r="816" spans="2:3" x14ac:dyDescent="0.25">
      <c r="B816" s="11" t="str">
        <f>[1]Pokemon!C816</f>
        <v>Volcarona</v>
      </c>
      <c r="C816" s="11" t="str">
        <f>[1]Moves!B816</f>
        <v>Supersonic</v>
      </c>
    </row>
    <row r="817" spans="2:3" x14ac:dyDescent="0.25">
      <c r="B817" s="11" t="str">
        <f>[1]Pokemon!C817</f>
        <v>Cobalion</v>
      </c>
      <c r="C817" s="11" t="str">
        <f>[1]Moves!B817</f>
        <v>Supersonic Skystrike Physical</v>
      </c>
    </row>
    <row r="818" spans="2:3" x14ac:dyDescent="0.25">
      <c r="B818" s="11" t="str">
        <f>[1]Pokemon!C818</f>
        <v>Terrakion</v>
      </c>
      <c r="C818" s="11" t="str">
        <f>[1]Moves!B818</f>
        <v>Supersonic Skystrike Special</v>
      </c>
    </row>
    <row r="819" spans="2:3" x14ac:dyDescent="0.25">
      <c r="B819" s="11" t="str">
        <f>[1]Pokemon!C819</f>
        <v>Virizion</v>
      </c>
      <c r="C819" s="11" t="str">
        <f>[1]Moves!B819</f>
        <v>Surf</v>
      </c>
    </row>
    <row r="820" spans="2:3" x14ac:dyDescent="0.25">
      <c r="B820" s="11" t="str">
        <f>[1]Pokemon!C820</f>
        <v>Tornadus Incarnate</v>
      </c>
      <c r="C820" s="11" t="str">
        <f>[1]Moves!B820</f>
        <v>Surging Strikes</v>
      </c>
    </row>
    <row r="821" spans="2:3" x14ac:dyDescent="0.25">
      <c r="B821" s="11" t="str">
        <f>[1]Pokemon!C821</f>
        <v>Tornadus Therian</v>
      </c>
      <c r="C821" s="11" t="str">
        <f>[1]Moves!B821</f>
        <v>Swagger</v>
      </c>
    </row>
    <row r="822" spans="2:3" x14ac:dyDescent="0.25">
      <c r="B822" s="11" t="str">
        <f>[1]Pokemon!C822</f>
        <v>Thundurus Incarnate</v>
      </c>
      <c r="C822" s="11" t="str">
        <f>[1]Moves!B822</f>
        <v>Swallow</v>
      </c>
    </row>
    <row r="823" spans="2:3" x14ac:dyDescent="0.25">
      <c r="B823" s="11" t="str">
        <f>[1]Pokemon!C823</f>
        <v>Thundurus Therian</v>
      </c>
      <c r="C823" s="11" t="str">
        <f>[1]Moves!B823</f>
        <v>Sweet Kiss</v>
      </c>
    </row>
    <row r="824" spans="2:3" x14ac:dyDescent="0.25">
      <c r="B824" s="11" t="str">
        <f>[1]Pokemon!C824</f>
        <v>Reshiram</v>
      </c>
      <c r="C824" s="11" t="str">
        <f>[1]Moves!B824</f>
        <v>Sweet Scent</v>
      </c>
    </row>
    <row r="825" spans="2:3" x14ac:dyDescent="0.25">
      <c r="B825" s="11" t="str">
        <f>[1]Pokemon!C825</f>
        <v>Zekrom</v>
      </c>
      <c r="C825" s="11" t="str">
        <f>[1]Moves!B825</f>
        <v>Swift</v>
      </c>
    </row>
    <row r="826" spans="2:3" x14ac:dyDescent="0.25">
      <c r="B826" s="11" t="str">
        <f>[1]Pokemon!C826</f>
        <v>Landorus Incarnate</v>
      </c>
      <c r="C826" s="11" t="str">
        <f>[1]Moves!B826</f>
        <v>Switcheroo</v>
      </c>
    </row>
    <row r="827" spans="2:3" x14ac:dyDescent="0.25">
      <c r="B827" s="11" t="str">
        <f>[1]Pokemon!C827</f>
        <v>Landorus Therian</v>
      </c>
      <c r="C827" s="11" t="str">
        <f>[1]Moves!B827</f>
        <v>Swords Dance</v>
      </c>
    </row>
    <row r="828" spans="2:3" x14ac:dyDescent="0.25">
      <c r="B828" s="11" t="str">
        <f>[1]Pokemon!C828</f>
        <v>Kyurem</v>
      </c>
      <c r="C828" s="11" t="str">
        <f>[1]Moves!B828</f>
        <v>Synchronoise</v>
      </c>
    </row>
    <row r="829" spans="2:3" x14ac:dyDescent="0.25">
      <c r="B829" s="11" t="str">
        <f>[1]Pokemon!C829</f>
        <v>Kyurem Black</v>
      </c>
      <c r="C829" s="11" t="str">
        <f>[1]Moves!B829</f>
        <v>Synthesis</v>
      </c>
    </row>
    <row r="830" spans="2:3" x14ac:dyDescent="0.25">
      <c r="B830" s="11" t="str">
        <f>[1]Pokemon!C830</f>
        <v>Kyurem White</v>
      </c>
      <c r="C830" s="11" t="str">
        <f>[1]Moves!B830</f>
        <v>Syrup Bomb</v>
      </c>
    </row>
    <row r="831" spans="2:3" x14ac:dyDescent="0.25">
      <c r="B831" s="11" t="str">
        <f>[1]Pokemon!C831</f>
        <v>Keldeo Ordinary</v>
      </c>
      <c r="C831" s="11" t="str">
        <f>[1]Moves!B831</f>
        <v>Tachyon Cutter</v>
      </c>
    </row>
    <row r="832" spans="2:3" x14ac:dyDescent="0.25">
      <c r="B832" s="11" t="str">
        <f>[1]Pokemon!C832</f>
        <v>Keldeo Resolute</v>
      </c>
      <c r="C832" s="11" t="str">
        <f>[1]Moves!B832</f>
        <v>Tackle</v>
      </c>
    </row>
    <row r="833" spans="2:3" x14ac:dyDescent="0.25">
      <c r="B833" s="11" t="str">
        <f>[1]Pokemon!C833</f>
        <v>Meloetta Aria</v>
      </c>
      <c r="C833" s="11" t="str">
        <f>[1]Moves!B833</f>
        <v>Tail Glow</v>
      </c>
    </row>
    <row r="834" spans="2:3" x14ac:dyDescent="0.25">
      <c r="B834" s="11" t="str">
        <f>[1]Pokemon!C834</f>
        <v>Meloetta Pirouette</v>
      </c>
      <c r="C834" s="11" t="str">
        <f>[1]Moves!B834</f>
        <v>Tail Slap</v>
      </c>
    </row>
    <row r="835" spans="2:3" x14ac:dyDescent="0.25">
      <c r="B835" s="11" t="str">
        <f>[1]Pokemon!C835</f>
        <v>Genesect</v>
      </c>
      <c r="C835" s="11" t="str">
        <f>[1]Moves!B835</f>
        <v>Tail Whip</v>
      </c>
    </row>
    <row r="836" spans="2:3" x14ac:dyDescent="0.25">
      <c r="B836" s="11" t="str">
        <f>[1]Pokemon!C836</f>
        <v>Chespin</v>
      </c>
      <c r="C836" s="11" t="str">
        <f>[1]Moves!B836</f>
        <v>Tailwind</v>
      </c>
    </row>
    <row r="837" spans="2:3" x14ac:dyDescent="0.25">
      <c r="B837" s="11" t="str">
        <f>[1]Pokemon!C837</f>
        <v>Quilladin</v>
      </c>
      <c r="C837" s="11" t="str">
        <f>[1]Moves!B837</f>
        <v>Take Down</v>
      </c>
    </row>
    <row r="838" spans="2:3" x14ac:dyDescent="0.25">
      <c r="B838" s="11" t="str">
        <f>[1]Pokemon!C838</f>
        <v>Chesnaught</v>
      </c>
      <c r="C838" s="11" t="str">
        <f>[1]Moves!B838</f>
        <v>Take Heart</v>
      </c>
    </row>
    <row r="839" spans="2:3" x14ac:dyDescent="0.25">
      <c r="B839" s="11" t="str">
        <f>[1]Pokemon!C839</f>
        <v>Chesnaught Mega</v>
      </c>
      <c r="C839" s="11" t="str">
        <f>[1]Moves!B839</f>
        <v>Tar Shot</v>
      </c>
    </row>
    <row r="840" spans="2:3" x14ac:dyDescent="0.25">
      <c r="B840" s="11" t="str">
        <f>[1]Pokemon!C840</f>
        <v>Fennekin</v>
      </c>
      <c r="C840" s="11" t="str">
        <f>[1]Moves!B840</f>
        <v>Taunt</v>
      </c>
    </row>
    <row r="841" spans="2:3" x14ac:dyDescent="0.25">
      <c r="B841" s="11" t="str">
        <f>[1]Pokemon!C841</f>
        <v>Braixen</v>
      </c>
      <c r="C841" s="11" t="str">
        <f>[1]Moves!B841</f>
        <v>Tearful Look</v>
      </c>
    </row>
    <row r="842" spans="2:3" x14ac:dyDescent="0.25">
      <c r="B842" s="11" t="str">
        <f>[1]Pokemon!C842</f>
        <v>Delphox</v>
      </c>
      <c r="C842" s="11" t="str">
        <f>[1]Moves!B842</f>
        <v>Teatime</v>
      </c>
    </row>
    <row r="843" spans="2:3" x14ac:dyDescent="0.25">
      <c r="B843" s="11" t="str">
        <f>[1]Pokemon!C843</f>
        <v>Delphox Mega</v>
      </c>
      <c r="C843" s="11" t="str">
        <f>[1]Moves!B843</f>
        <v>Techno Blast</v>
      </c>
    </row>
    <row r="844" spans="2:3" x14ac:dyDescent="0.25">
      <c r="B844" s="11" t="str">
        <f>[1]Pokemon!C844</f>
        <v>Froakie</v>
      </c>
      <c r="C844" s="11" t="str">
        <f>[1]Moves!B844</f>
        <v>Tectonic Rage Physical</v>
      </c>
    </row>
    <row r="845" spans="2:3" x14ac:dyDescent="0.25">
      <c r="B845" s="11" t="str">
        <f>[1]Pokemon!C845</f>
        <v>Frogadier</v>
      </c>
      <c r="C845" s="11" t="str">
        <f>[1]Moves!B845</f>
        <v>Tectonic Rage Special</v>
      </c>
    </row>
    <row r="846" spans="2:3" x14ac:dyDescent="0.25">
      <c r="B846" s="11" t="str">
        <f>[1]Pokemon!C846</f>
        <v>Greninja</v>
      </c>
      <c r="C846" s="11" t="str">
        <f>[1]Moves!B846</f>
        <v>Teeter Dance</v>
      </c>
    </row>
    <row r="847" spans="2:3" x14ac:dyDescent="0.25">
      <c r="B847" s="11" t="str">
        <f>[1]Pokemon!C847</f>
        <v>Greninja Ash</v>
      </c>
      <c r="C847" s="11" t="str">
        <f>[1]Moves!B847</f>
        <v>Telekinesis</v>
      </c>
    </row>
    <row r="848" spans="2:3" x14ac:dyDescent="0.25">
      <c r="B848" s="11" t="str">
        <f>[1]Pokemon!C848</f>
        <v>Greninja Battle Bond</v>
      </c>
      <c r="C848" s="11" t="str">
        <f>[1]Moves!B848</f>
        <v>Teleport</v>
      </c>
    </row>
    <row r="849" spans="2:3" x14ac:dyDescent="0.25">
      <c r="B849" s="11" t="str">
        <f>[1]Pokemon!C849</f>
        <v>Greninja Mega</v>
      </c>
      <c r="C849" s="11" t="str">
        <f>[1]Moves!B849</f>
        <v>Temper Flare</v>
      </c>
    </row>
    <row r="850" spans="2:3" x14ac:dyDescent="0.25">
      <c r="B850" s="11" t="str">
        <f>[1]Pokemon!C850</f>
        <v>Bunnelby</v>
      </c>
      <c r="C850" s="11" t="str">
        <f>[1]Moves!B850</f>
        <v>Tera Blast</v>
      </c>
    </row>
    <row r="851" spans="2:3" x14ac:dyDescent="0.25">
      <c r="B851" s="11" t="str">
        <f>[1]Pokemon!C851</f>
        <v>Diggersby</v>
      </c>
      <c r="C851" s="11" t="str">
        <f>[1]Moves!B851</f>
        <v>Tera Starstorm</v>
      </c>
    </row>
    <row r="852" spans="2:3" x14ac:dyDescent="0.25">
      <c r="B852" s="11" t="str">
        <f>[1]Pokemon!C852</f>
        <v>Fletchling</v>
      </c>
      <c r="C852" s="11" t="str">
        <f>[1]Moves!B852</f>
        <v>Terrain Pulse</v>
      </c>
    </row>
    <row r="853" spans="2:3" x14ac:dyDescent="0.25">
      <c r="B853" s="11" t="str">
        <f>[1]Pokemon!C853</f>
        <v>Fletchinder</v>
      </c>
      <c r="C853" s="11" t="str">
        <f>[1]Moves!B853</f>
        <v>Thief</v>
      </c>
    </row>
    <row r="854" spans="2:3" x14ac:dyDescent="0.25">
      <c r="B854" s="11" t="str">
        <f>[1]Pokemon!C854</f>
        <v>Talonflame</v>
      </c>
      <c r="C854" s="11" t="str">
        <f>[1]Moves!B854</f>
        <v>Thousand Arrows</v>
      </c>
    </row>
    <row r="855" spans="2:3" x14ac:dyDescent="0.25">
      <c r="B855" s="11" t="str">
        <f>[1]Pokemon!C855</f>
        <v>Scatterbug</v>
      </c>
      <c r="C855" s="11" t="str">
        <f>[1]Moves!B855</f>
        <v>Thousand Waves</v>
      </c>
    </row>
    <row r="856" spans="2:3" x14ac:dyDescent="0.25">
      <c r="B856" s="11" t="str">
        <f>[1]Pokemon!C856</f>
        <v>Spewpa</v>
      </c>
      <c r="C856" s="11" t="str">
        <f>[1]Moves!B856</f>
        <v>Thrash</v>
      </c>
    </row>
    <row r="857" spans="2:3" x14ac:dyDescent="0.25">
      <c r="B857" s="11" t="str">
        <f>[1]Pokemon!C857</f>
        <v>Vivillon</v>
      </c>
      <c r="C857" s="11" t="str">
        <f>[1]Moves!B857</f>
        <v>Throat Chop</v>
      </c>
    </row>
    <row r="858" spans="2:3" x14ac:dyDescent="0.25">
      <c r="B858" s="11" t="str">
        <f>[1]Pokemon!C858</f>
        <v>Litleo</v>
      </c>
      <c r="C858" s="11" t="str">
        <f>[1]Moves!B858</f>
        <v>Thunder</v>
      </c>
    </row>
    <row r="859" spans="2:3" x14ac:dyDescent="0.25">
      <c r="B859" s="11" t="str">
        <f>[1]Pokemon!C859</f>
        <v>Pyroar</v>
      </c>
      <c r="C859" s="11" t="str">
        <f>[1]Moves!B859</f>
        <v>Thunder Cage</v>
      </c>
    </row>
    <row r="860" spans="2:3" x14ac:dyDescent="0.25">
      <c r="B860" s="11" t="str">
        <f>[1]Pokemon!C860</f>
        <v>Pyroar Mega</v>
      </c>
      <c r="C860" s="11" t="str">
        <f>[1]Moves!B860</f>
        <v>Thunder Fang</v>
      </c>
    </row>
    <row r="861" spans="2:3" x14ac:dyDescent="0.25">
      <c r="B861" s="11" t="str">
        <f>[1]Pokemon!C861</f>
        <v>Flabebe</v>
      </c>
      <c r="C861" s="11" t="str">
        <f>[1]Moves!B861</f>
        <v>Thunder Punch</v>
      </c>
    </row>
    <row r="862" spans="2:3" x14ac:dyDescent="0.25">
      <c r="B862" s="11" t="str">
        <f>[1]Pokemon!C862</f>
        <v>Floette</v>
      </c>
      <c r="C862" s="11" t="str">
        <f>[1]Moves!B862</f>
        <v>Thunder Shock</v>
      </c>
    </row>
    <row r="863" spans="2:3" x14ac:dyDescent="0.25">
      <c r="B863" s="11" t="str">
        <f>[1]Pokemon!C863</f>
        <v>Floette Eternal</v>
      </c>
      <c r="C863" s="11" t="str">
        <f>[1]Moves!B863</f>
        <v>Thunder Wave</v>
      </c>
    </row>
    <row r="864" spans="2:3" x14ac:dyDescent="0.25">
      <c r="B864" s="11" t="str">
        <f>[1]Pokemon!C864</f>
        <v>Floette Mega</v>
      </c>
      <c r="C864" s="11" t="str">
        <f>[1]Moves!B864</f>
        <v>Thunderbolt</v>
      </c>
    </row>
    <row r="865" spans="2:3" x14ac:dyDescent="0.25">
      <c r="B865" s="11" t="str">
        <f>[1]Pokemon!C865</f>
        <v>Florges</v>
      </c>
      <c r="C865" s="11" t="str">
        <f>[1]Moves!B865</f>
        <v>Thunderclap</v>
      </c>
    </row>
    <row r="866" spans="2:3" x14ac:dyDescent="0.25">
      <c r="B866" s="11" t="str">
        <f>[1]Pokemon!C866</f>
        <v>Skiddo</v>
      </c>
      <c r="C866" s="11" t="str">
        <f>[1]Moves!B866</f>
        <v>Thunderous Kick</v>
      </c>
    </row>
    <row r="867" spans="2:3" x14ac:dyDescent="0.25">
      <c r="B867" s="11" t="str">
        <f>[1]Pokemon!C867</f>
        <v>Gogoat</v>
      </c>
      <c r="C867" s="11" t="str">
        <f>[1]Moves!B867</f>
        <v>Tickle</v>
      </c>
    </row>
    <row r="868" spans="2:3" x14ac:dyDescent="0.25">
      <c r="B868" s="11" t="str">
        <f>[1]Pokemon!C868</f>
        <v>Pancham</v>
      </c>
      <c r="C868" s="11" t="str">
        <f>[1]Moves!B868</f>
        <v>Tidy Up</v>
      </c>
    </row>
    <row r="869" spans="2:3" x14ac:dyDescent="0.25">
      <c r="B869" s="11" t="str">
        <f>[1]Pokemon!C869</f>
        <v>Pangoro</v>
      </c>
      <c r="C869" s="11" t="str">
        <f>[1]Moves!B869</f>
        <v>Topsy Turvy</v>
      </c>
    </row>
    <row r="870" spans="2:3" x14ac:dyDescent="0.25">
      <c r="B870" s="11" t="str">
        <f>[1]Pokemon!C870</f>
        <v>Furfrou</v>
      </c>
      <c r="C870" s="11" t="str">
        <f>[1]Moves!B870</f>
        <v>Torch Song</v>
      </c>
    </row>
    <row r="871" spans="2:3" x14ac:dyDescent="0.25">
      <c r="B871" s="11" t="str">
        <f>[1]Pokemon!C871</f>
        <v>Espurr</v>
      </c>
      <c r="C871" s="11" t="str">
        <f>[1]Moves!B871</f>
        <v>Torment</v>
      </c>
    </row>
    <row r="872" spans="2:3" x14ac:dyDescent="0.25">
      <c r="B872" s="11" t="str">
        <f>[1]Pokemon!C872</f>
        <v>Meowstic Female</v>
      </c>
      <c r="C872" s="11" t="str">
        <f>[1]Moves!B872</f>
        <v>Toxic</v>
      </c>
    </row>
    <row r="873" spans="2:3" x14ac:dyDescent="0.25">
      <c r="B873" s="11" t="str">
        <f>[1]Pokemon!C873</f>
        <v>Meowstic Male</v>
      </c>
      <c r="C873" s="11" t="str">
        <f>[1]Moves!B873</f>
        <v>Toxic Spikes</v>
      </c>
    </row>
    <row r="874" spans="2:3" x14ac:dyDescent="0.25">
      <c r="B874" s="11" t="str">
        <f>[1]Pokemon!C874</f>
        <v>Meowstic Mega</v>
      </c>
      <c r="C874" s="11" t="str">
        <f>[1]Moves!B874</f>
        <v>Toxic Thread</v>
      </c>
    </row>
    <row r="875" spans="2:3" x14ac:dyDescent="0.25">
      <c r="B875" s="11" t="str">
        <f>[1]Pokemon!C875</f>
        <v>Honedge</v>
      </c>
      <c r="C875" s="11" t="str">
        <f>[1]Moves!B875</f>
        <v>Trailblaze</v>
      </c>
    </row>
    <row r="876" spans="2:3" x14ac:dyDescent="0.25">
      <c r="B876" s="11" t="str">
        <f>[1]Pokemon!C876</f>
        <v>Doublade</v>
      </c>
      <c r="C876" s="11" t="str">
        <f>[1]Moves!B876</f>
        <v>Transform</v>
      </c>
    </row>
    <row r="877" spans="2:3" x14ac:dyDescent="0.25">
      <c r="B877" s="11" t="str">
        <f>[1]Pokemon!C877</f>
        <v>Aegislash Blade</v>
      </c>
      <c r="C877" s="11" t="str">
        <f>[1]Moves!B877</f>
        <v>Tri Attack</v>
      </c>
    </row>
    <row r="878" spans="2:3" x14ac:dyDescent="0.25">
      <c r="B878" s="11" t="str">
        <f>[1]Pokemon!C878</f>
        <v>Aegislash Shield</v>
      </c>
      <c r="C878" s="11" t="str">
        <f>[1]Moves!B878</f>
        <v>Trick</v>
      </c>
    </row>
    <row r="879" spans="2:3" x14ac:dyDescent="0.25">
      <c r="B879" s="11" t="str">
        <f>[1]Pokemon!C879</f>
        <v>Spritzee</v>
      </c>
      <c r="C879" s="11" t="str">
        <f>[1]Moves!B879</f>
        <v>Trick Or Treat</v>
      </c>
    </row>
    <row r="880" spans="2:3" x14ac:dyDescent="0.25">
      <c r="B880" s="11" t="str">
        <f>[1]Pokemon!C880</f>
        <v>Aromatisse</v>
      </c>
      <c r="C880" s="11" t="str">
        <f>[1]Moves!B880</f>
        <v>Trick Room</v>
      </c>
    </row>
    <row r="881" spans="2:3" x14ac:dyDescent="0.25">
      <c r="B881" s="11" t="str">
        <f>[1]Pokemon!C881</f>
        <v>Swirlix</v>
      </c>
      <c r="C881" s="11" t="str">
        <f>[1]Moves!B881</f>
        <v>Triple Arrows</v>
      </c>
    </row>
    <row r="882" spans="2:3" x14ac:dyDescent="0.25">
      <c r="B882" s="11" t="str">
        <f>[1]Pokemon!C882</f>
        <v>Slurpuff</v>
      </c>
      <c r="C882" s="11" t="str">
        <f>[1]Moves!B882</f>
        <v>Triple Axel</v>
      </c>
    </row>
    <row r="883" spans="2:3" x14ac:dyDescent="0.25">
      <c r="B883" s="11" t="str">
        <f>[1]Pokemon!C883</f>
        <v>Inkay</v>
      </c>
      <c r="C883" s="11" t="str">
        <f>[1]Moves!B883</f>
        <v>Triple Dive</v>
      </c>
    </row>
    <row r="884" spans="2:3" x14ac:dyDescent="0.25">
      <c r="B884" s="11" t="str">
        <f>[1]Pokemon!C884</f>
        <v>Malamar</v>
      </c>
      <c r="C884" s="11" t="str">
        <f>[1]Moves!B884</f>
        <v>Triple Kick</v>
      </c>
    </row>
    <row r="885" spans="2:3" x14ac:dyDescent="0.25">
      <c r="B885" s="11" t="str">
        <f>[1]Pokemon!C885</f>
        <v>Malamar Mega</v>
      </c>
      <c r="C885" s="11" t="str">
        <f>[1]Moves!B885</f>
        <v>Trop Kick</v>
      </c>
    </row>
    <row r="886" spans="2:3" x14ac:dyDescent="0.25">
      <c r="B886" s="11" t="str">
        <f>[1]Pokemon!C886</f>
        <v>Binacle</v>
      </c>
      <c r="C886" s="11" t="str">
        <f>[1]Moves!B886</f>
        <v>Trump Card</v>
      </c>
    </row>
    <row r="887" spans="2:3" x14ac:dyDescent="0.25">
      <c r="B887" s="11" t="str">
        <f>[1]Pokemon!C887</f>
        <v>Barbaracle</v>
      </c>
      <c r="C887" s="11" t="str">
        <f>[1]Moves!B887</f>
        <v>Twin Beam</v>
      </c>
    </row>
    <row r="888" spans="2:3" x14ac:dyDescent="0.25">
      <c r="B888" s="11" t="str">
        <f>[1]Pokemon!C888</f>
        <v>Barbaracle Mega</v>
      </c>
      <c r="C888" s="11" t="str">
        <f>[1]Moves!B888</f>
        <v>Twineedle</v>
      </c>
    </row>
    <row r="889" spans="2:3" x14ac:dyDescent="0.25">
      <c r="B889" s="11" t="str">
        <f>[1]Pokemon!C889</f>
        <v>Skrelp</v>
      </c>
      <c r="C889" s="11" t="str">
        <f>[1]Moves!B889</f>
        <v>Twinkle Tackle Physical</v>
      </c>
    </row>
    <row r="890" spans="2:3" x14ac:dyDescent="0.25">
      <c r="B890" s="11" t="str">
        <f>[1]Pokemon!C890</f>
        <v>Dragalge</v>
      </c>
      <c r="C890" s="11" t="str">
        <f>[1]Moves!B890</f>
        <v>Twinkle Tackle Special</v>
      </c>
    </row>
    <row r="891" spans="2:3" x14ac:dyDescent="0.25">
      <c r="B891" s="11" t="str">
        <f>[1]Pokemon!C891</f>
        <v>Dragalge Mega</v>
      </c>
      <c r="C891" s="11" t="str">
        <f>[1]Moves!B891</f>
        <v>Twister</v>
      </c>
    </row>
    <row r="892" spans="2:3" x14ac:dyDescent="0.25">
      <c r="B892" s="11" t="str">
        <f>[1]Pokemon!C892</f>
        <v>Clauncher</v>
      </c>
      <c r="C892" s="11" t="str">
        <f>[1]Moves!B892</f>
        <v>U Turn</v>
      </c>
    </row>
    <row r="893" spans="2:3" x14ac:dyDescent="0.25">
      <c r="B893" s="11" t="str">
        <f>[1]Pokemon!C893</f>
        <v>Clawitzer</v>
      </c>
      <c r="C893" s="11" t="str">
        <f>[1]Moves!B893</f>
        <v>Upper Hand</v>
      </c>
    </row>
    <row r="894" spans="2:3" x14ac:dyDescent="0.25">
      <c r="B894" s="11" t="str">
        <f>[1]Pokemon!C894</f>
        <v>Helioptile</v>
      </c>
      <c r="C894" s="11" t="str">
        <f>[1]Moves!B894</f>
        <v>Uproar</v>
      </c>
    </row>
    <row r="895" spans="2:3" x14ac:dyDescent="0.25">
      <c r="B895" s="11" t="str">
        <f>[1]Pokemon!C895</f>
        <v>Heliolisk</v>
      </c>
      <c r="C895" s="11" t="str">
        <f>[1]Moves!B895</f>
        <v>V Create</v>
      </c>
    </row>
    <row r="896" spans="2:3" x14ac:dyDescent="0.25">
      <c r="B896" s="11" t="str">
        <f>[1]Pokemon!C896</f>
        <v>Tyrunt</v>
      </c>
      <c r="C896" s="11" t="str">
        <f>[1]Moves!B896</f>
        <v>Vacuum Wave</v>
      </c>
    </row>
    <row r="897" spans="2:3" x14ac:dyDescent="0.25">
      <c r="B897" s="11" t="str">
        <f>[1]Pokemon!C897</f>
        <v>Tyrantrum</v>
      </c>
      <c r="C897" s="11" t="str">
        <f>[1]Moves!B897</f>
        <v>Veevee Volley</v>
      </c>
    </row>
    <row r="898" spans="2:3" x14ac:dyDescent="0.25">
      <c r="B898" s="11" t="str">
        <f>[1]Pokemon!C898</f>
        <v>Amaura</v>
      </c>
      <c r="C898" s="11" t="str">
        <f>[1]Moves!B898</f>
        <v>Venom Drench</v>
      </c>
    </row>
    <row r="899" spans="2:3" x14ac:dyDescent="0.25">
      <c r="B899" s="11" t="str">
        <f>[1]Pokemon!C899</f>
        <v>Aurorus</v>
      </c>
      <c r="C899" s="11" t="str">
        <f>[1]Moves!B899</f>
        <v>Venoshock</v>
      </c>
    </row>
    <row r="900" spans="2:3" x14ac:dyDescent="0.25">
      <c r="B900" s="11" t="str">
        <f>[1]Pokemon!C900</f>
        <v>Sylveon</v>
      </c>
      <c r="C900" s="11" t="str">
        <f>[1]Moves!B900</f>
        <v>Vice Grip</v>
      </c>
    </row>
    <row r="901" spans="2:3" x14ac:dyDescent="0.25">
      <c r="B901" s="11" t="str">
        <f>[1]Pokemon!C901</f>
        <v>Hawlucha</v>
      </c>
      <c r="C901" s="11" t="str">
        <f>[1]Moves!B901</f>
        <v>Victory Dance</v>
      </c>
    </row>
    <row r="902" spans="2:3" x14ac:dyDescent="0.25">
      <c r="B902" s="11" t="str">
        <f>[1]Pokemon!C902</f>
        <v>Hawlucha Mega</v>
      </c>
      <c r="C902" s="11" t="str">
        <f>[1]Moves!B902</f>
        <v>Vine Whip</v>
      </c>
    </row>
    <row r="903" spans="2:3" x14ac:dyDescent="0.25">
      <c r="B903" s="11" t="str">
        <f>[1]Pokemon!C903</f>
        <v>Dedenne</v>
      </c>
      <c r="C903" s="11" t="str">
        <f>[1]Moves!B903</f>
        <v>Vital Throw</v>
      </c>
    </row>
    <row r="904" spans="2:3" x14ac:dyDescent="0.25">
      <c r="B904" s="11" t="str">
        <f>[1]Pokemon!C904</f>
        <v>Carbink</v>
      </c>
      <c r="C904" s="11" t="str">
        <f>[1]Moves!B904</f>
        <v>Volt Switch</v>
      </c>
    </row>
    <row r="905" spans="2:3" x14ac:dyDescent="0.25">
      <c r="B905" s="11" t="str">
        <f>[1]Pokemon!C905</f>
        <v>Goomy</v>
      </c>
      <c r="C905" s="11" t="str">
        <f>[1]Moves!B905</f>
        <v>Volt Tackle</v>
      </c>
    </row>
    <row r="906" spans="2:3" x14ac:dyDescent="0.25">
      <c r="B906" s="11" t="str">
        <f>[1]Pokemon!C906</f>
        <v>Sliggoo</v>
      </c>
      <c r="C906" s="11" t="str">
        <f>[1]Moves!B906</f>
        <v>Wake Up Slap</v>
      </c>
    </row>
    <row r="907" spans="2:3" x14ac:dyDescent="0.25">
      <c r="B907" s="11" t="str">
        <f>[1]Pokemon!C907</f>
        <v>Sliggoo Hisui</v>
      </c>
      <c r="C907" s="11" t="str">
        <f>[1]Moves!B907</f>
        <v>Water Gun</v>
      </c>
    </row>
    <row r="908" spans="2:3" x14ac:dyDescent="0.25">
      <c r="B908" s="11" t="str">
        <f>[1]Pokemon!C908</f>
        <v>Goodra</v>
      </c>
      <c r="C908" s="11" t="str">
        <f>[1]Moves!B908</f>
        <v>Water Pledge</v>
      </c>
    </row>
    <row r="909" spans="2:3" x14ac:dyDescent="0.25">
      <c r="B909" s="11" t="str">
        <f>[1]Pokemon!C909</f>
        <v>Goodra Hisui</v>
      </c>
      <c r="C909" s="11" t="str">
        <f>[1]Moves!B909</f>
        <v>Water Pulse</v>
      </c>
    </row>
    <row r="910" spans="2:3" x14ac:dyDescent="0.25">
      <c r="B910" s="11" t="str">
        <f>[1]Pokemon!C910</f>
        <v>Klefki</v>
      </c>
      <c r="C910" s="11" t="str">
        <f>[1]Moves!B910</f>
        <v>Water Shuriken</v>
      </c>
    </row>
    <row r="911" spans="2:3" x14ac:dyDescent="0.25">
      <c r="B911" s="11" t="str">
        <f>[1]Pokemon!C911</f>
        <v>Phantump</v>
      </c>
      <c r="C911" s="11" t="str">
        <f>[1]Moves!B911</f>
        <v>Water Sport</v>
      </c>
    </row>
    <row r="912" spans="2:3" x14ac:dyDescent="0.25">
      <c r="B912" s="11" t="str">
        <f>[1]Pokemon!C912</f>
        <v>Trevenant</v>
      </c>
      <c r="C912" s="11" t="str">
        <f>[1]Moves!B912</f>
        <v>Water Spout</v>
      </c>
    </row>
    <row r="913" spans="2:3" x14ac:dyDescent="0.25">
      <c r="B913" s="11" t="str">
        <f>[1]Pokemon!C913</f>
        <v>Pumpkaboo Average</v>
      </c>
      <c r="C913" s="11" t="str">
        <f>[1]Moves!B913</f>
        <v>Waterfall</v>
      </c>
    </row>
    <row r="914" spans="2:3" x14ac:dyDescent="0.25">
      <c r="B914" s="11" t="str">
        <f>[1]Pokemon!C914</f>
        <v>Pumpkaboo Large</v>
      </c>
      <c r="C914" s="11" t="str">
        <f>[1]Moves!B914</f>
        <v>Wave Crash</v>
      </c>
    </row>
    <row r="915" spans="2:3" x14ac:dyDescent="0.25">
      <c r="B915" s="11" t="str">
        <f>[1]Pokemon!C915</f>
        <v>Pumpkaboo Small</v>
      </c>
      <c r="C915" s="11" t="str">
        <f>[1]Moves!B915</f>
        <v>Weather Ball</v>
      </c>
    </row>
    <row r="916" spans="2:3" x14ac:dyDescent="0.25">
      <c r="B916" s="11" t="str">
        <f>[1]Pokemon!C916</f>
        <v>Pumpkaboo Super</v>
      </c>
      <c r="C916" s="11" t="str">
        <f>[1]Moves!B916</f>
        <v>Whirlpool</v>
      </c>
    </row>
    <row r="917" spans="2:3" x14ac:dyDescent="0.25">
      <c r="B917" s="11" t="str">
        <f>[1]Pokemon!C917</f>
        <v>Gourgeist Average</v>
      </c>
      <c r="C917" s="11" t="str">
        <f>[1]Moves!B917</f>
        <v>Whirlwind</v>
      </c>
    </row>
    <row r="918" spans="2:3" x14ac:dyDescent="0.25">
      <c r="B918" s="11" t="str">
        <f>[1]Pokemon!C918</f>
        <v>Gourgeist Large</v>
      </c>
      <c r="C918" s="11" t="str">
        <f>[1]Moves!B918</f>
        <v>Wicked Blow</v>
      </c>
    </row>
    <row r="919" spans="2:3" x14ac:dyDescent="0.25">
      <c r="B919" s="11" t="str">
        <f>[1]Pokemon!C919</f>
        <v>Gourgeist Small</v>
      </c>
      <c r="C919" s="11" t="str">
        <f>[1]Moves!B919</f>
        <v>Wicked Torque</v>
      </c>
    </row>
    <row r="920" spans="2:3" x14ac:dyDescent="0.25">
      <c r="B920" s="11" t="str">
        <f>[1]Pokemon!C920</f>
        <v>Gourgeist Super</v>
      </c>
      <c r="C920" s="11" t="str">
        <f>[1]Moves!B920</f>
        <v>Wide Guard</v>
      </c>
    </row>
    <row r="921" spans="2:3" x14ac:dyDescent="0.25">
      <c r="B921" s="11" t="str">
        <f>[1]Pokemon!C921</f>
        <v>Bergmite</v>
      </c>
      <c r="C921" s="11" t="str">
        <f>[1]Moves!B921</f>
        <v>Wild Charge</v>
      </c>
    </row>
    <row r="922" spans="2:3" x14ac:dyDescent="0.25">
      <c r="B922" s="11" t="str">
        <f>[1]Pokemon!C922</f>
        <v>Avalugg</v>
      </c>
      <c r="C922" s="11" t="str">
        <f>[1]Moves!B922</f>
        <v>Wildbolt Storm</v>
      </c>
    </row>
    <row r="923" spans="2:3" x14ac:dyDescent="0.25">
      <c r="B923" s="11" t="str">
        <f>[1]Pokemon!C923</f>
        <v>Avalugg Hisui</v>
      </c>
      <c r="C923" s="11" t="str">
        <f>[1]Moves!B923</f>
        <v>Will O Wisp</v>
      </c>
    </row>
    <row r="924" spans="2:3" x14ac:dyDescent="0.25">
      <c r="B924" s="11" t="str">
        <f>[1]Pokemon!C924</f>
        <v>Noibat</v>
      </c>
      <c r="C924" s="11" t="str">
        <f>[1]Moves!B924</f>
        <v>Wing Attack</v>
      </c>
    </row>
    <row r="925" spans="2:3" x14ac:dyDescent="0.25">
      <c r="B925" s="11" t="str">
        <f>[1]Pokemon!C925</f>
        <v>Noivern</v>
      </c>
      <c r="C925" s="11" t="str">
        <f>[1]Moves!B925</f>
        <v>Wish</v>
      </c>
    </row>
    <row r="926" spans="2:3" x14ac:dyDescent="0.25">
      <c r="B926" s="11" t="str">
        <f>[1]Pokemon!C926</f>
        <v>Xerneas</v>
      </c>
      <c r="C926" s="11" t="str">
        <f>[1]Moves!B926</f>
        <v>Withdraw</v>
      </c>
    </row>
    <row r="927" spans="2:3" x14ac:dyDescent="0.25">
      <c r="B927" s="11" t="str">
        <f>[1]Pokemon!C927</f>
        <v>Yveltal</v>
      </c>
      <c r="C927" s="11" t="str">
        <f>[1]Moves!B927</f>
        <v>Wonder Room</v>
      </c>
    </row>
    <row r="928" spans="2:3" x14ac:dyDescent="0.25">
      <c r="B928" s="11" t="str">
        <f>[1]Pokemon!C928</f>
        <v>Zygarde 10</v>
      </c>
      <c r="C928" s="11" t="str">
        <f>[1]Moves!B928</f>
        <v>Wood Hammer</v>
      </c>
    </row>
    <row r="929" spans="2:3" x14ac:dyDescent="0.25">
      <c r="B929" s="11" t="str">
        <f>[1]Pokemon!C929</f>
        <v>Zygarde 10 Power Construct</v>
      </c>
      <c r="C929" s="11" t="str">
        <f>[1]Moves!B929</f>
        <v>Work Up</v>
      </c>
    </row>
    <row r="930" spans="2:3" x14ac:dyDescent="0.25">
      <c r="B930" s="11" t="str">
        <f>[1]Pokemon!C930</f>
        <v>Zygarde 50</v>
      </c>
      <c r="C930" s="11" t="str">
        <f>[1]Moves!B930</f>
        <v>Worry Seed</v>
      </c>
    </row>
    <row r="931" spans="2:3" x14ac:dyDescent="0.25">
      <c r="B931" s="11" t="str">
        <f>[1]Pokemon!C931</f>
        <v>Zygarde 50 Power Construct</v>
      </c>
      <c r="C931" s="11" t="str">
        <f>[1]Moves!B931</f>
        <v>Wrap</v>
      </c>
    </row>
    <row r="932" spans="2:3" x14ac:dyDescent="0.25">
      <c r="B932" s="11" t="str">
        <f>[1]Pokemon!C932</f>
        <v>Zygarde Complete</v>
      </c>
      <c r="C932" s="11" t="str">
        <f>[1]Moves!B932</f>
        <v>Wring Out</v>
      </c>
    </row>
    <row r="933" spans="2:3" x14ac:dyDescent="0.25">
      <c r="B933" s="11" t="str">
        <f>[1]Pokemon!C933</f>
        <v>Zygarde Mega</v>
      </c>
      <c r="C933" s="11" t="str">
        <f>[1]Moves!B933</f>
        <v>X Scissor</v>
      </c>
    </row>
    <row r="934" spans="2:3" x14ac:dyDescent="0.25">
      <c r="B934" s="11" t="str">
        <f>[1]Pokemon!C934</f>
        <v>Diancie</v>
      </c>
      <c r="C934" s="11" t="str">
        <f>[1]Moves!B934</f>
        <v>Yawn</v>
      </c>
    </row>
    <row r="935" spans="2:3" x14ac:dyDescent="0.25">
      <c r="B935" s="11" t="str">
        <f>[1]Pokemon!C935</f>
        <v>Diancie Mega</v>
      </c>
      <c r="C935" s="11" t="str">
        <f>[1]Moves!B935</f>
        <v>Zap Cannon</v>
      </c>
    </row>
    <row r="936" spans="2:3" x14ac:dyDescent="0.25">
      <c r="B936" s="11" t="str">
        <f>[1]Pokemon!C936</f>
        <v>Hoopa</v>
      </c>
      <c r="C936" s="11" t="str">
        <f>[1]Moves!B936</f>
        <v>Zen Headbutt</v>
      </c>
    </row>
    <row r="937" spans="2:3" x14ac:dyDescent="0.25">
      <c r="B937" s="11" t="str">
        <f>[1]Pokemon!C937</f>
        <v>Hoopa Unbound</v>
      </c>
      <c r="C937" s="11" t="str">
        <f>[1]Moves!B937</f>
        <v>Zing Zap</v>
      </c>
    </row>
    <row r="938" spans="2:3" x14ac:dyDescent="0.25">
      <c r="B938" s="11" t="str">
        <f>[1]Pokemon!C938</f>
        <v>Volcanion</v>
      </c>
      <c r="C938" s="11" t="str">
        <f>[1]Moves!B938</f>
        <v>Zippy Zap</v>
      </c>
    </row>
    <row r="939" spans="2:3" x14ac:dyDescent="0.25">
      <c r="B939" s="11" t="str">
        <f>[1]Pokemon!C939</f>
        <v>Rowlet</v>
      </c>
      <c r="C939" s="11">
        <f>[1]Moves!B939</f>
        <v>0</v>
      </c>
    </row>
    <row r="940" spans="2:3" x14ac:dyDescent="0.25">
      <c r="B940" s="11" t="str">
        <f>[1]Pokemon!C940</f>
        <v>Dartrix</v>
      </c>
      <c r="C940" s="11">
        <f>[1]Moves!B940</f>
        <v>0</v>
      </c>
    </row>
    <row r="941" spans="2:3" x14ac:dyDescent="0.25">
      <c r="B941" s="11" t="str">
        <f>[1]Pokemon!C941</f>
        <v>Decidueye</v>
      </c>
      <c r="C941" s="11">
        <f>[1]Moves!B941</f>
        <v>0</v>
      </c>
    </row>
    <row r="942" spans="2:3" x14ac:dyDescent="0.25">
      <c r="B942" s="11" t="str">
        <f>[1]Pokemon!C942</f>
        <v>Decidueye Hisui</v>
      </c>
      <c r="C942" s="11">
        <f>[1]Moves!B942</f>
        <v>0</v>
      </c>
    </row>
    <row r="943" spans="2:3" x14ac:dyDescent="0.25">
      <c r="B943" s="11" t="str">
        <f>[1]Pokemon!C943</f>
        <v>Litten</v>
      </c>
      <c r="C943" s="11">
        <f>[1]Moves!B943</f>
        <v>0</v>
      </c>
    </row>
    <row r="944" spans="2:3" x14ac:dyDescent="0.25">
      <c r="B944" s="11" t="str">
        <f>[1]Pokemon!C944</f>
        <v>Torracat</v>
      </c>
      <c r="C944" s="11">
        <f>[1]Moves!B944</f>
        <v>0</v>
      </c>
    </row>
    <row r="945" spans="2:3" x14ac:dyDescent="0.25">
      <c r="B945" s="11" t="str">
        <f>[1]Pokemon!C945</f>
        <v>Incineroar</v>
      </c>
      <c r="C945" s="11">
        <f>[1]Moves!B945</f>
        <v>0</v>
      </c>
    </row>
    <row r="946" spans="2:3" x14ac:dyDescent="0.25">
      <c r="B946" s="11" t="str">
        <f>[1]Pokemon!C946</f>
        <v>Popplio</v>
      </c>
      <c r="C946" s="11">
        <f>[1]Moves!B946</f>
        <v>0</v>
      </c>
    </row>
    <row r="947" spans="2:3" x14ac:dyDescent="0.25">
      <c r="B947" s="11" t="str">
        <f>[1]Pokemon!C947</f>
        <v>Brionne</v>
      </c>
      <c r="C947" s="11">
        <f>[1]Moves!B947</f>
        <v>0</v>
      </c>
    </row>
    <row r="948" spans="2:3" x14ac:dyDescent="0.25">
      <c r="B948" s="11" t="str">
        <f>[1]Pokemon!C948</f>
        <v>Primarina</v>
      </c>
      <c r="C948" s="11">
        <f>[1]Moves!B948</f>
        <v>0</v>
      </c>
    </row>
    <row r="949" spans="2:3" x14ac:dyDescent="0.25">
      <c r="B949" s="11" t="str">
        <f>[1]Pokemon!C949</f>
        <v>Pikipek</v>
      </c>
      <c r="C949" s="11">
        <f>[1]Moves!B949</f>
        <v>0</v>
      </c>
    </row>
    <row r="950" spans="2:3" x14ac:dyDescent="0.25">
      <c r="B950" s="11" t="str">
        <f>[1]Pokemon!C950</f>
        <v>Trumbeak</v>
      </c>
      <c r="C950" s="11">
        <f>[1]Moves!B950</f>
        <v>0</v>
      </c>
    </row>
    <row r="951" spans="2:3" x14ac:dyDescent="0.25">
      <c r="B951" s="11" t="str">
        <f>[1]Pokemon!C951</f>
        <v>Toucannon</v>
      </c>
      <c r="C951" s="11">
        <f>[1]Moves!B951</f>
        <v>0</v>
      </c>
    </row>
    <row r="952" spans="2:3" x14ac:dyDescent="0.25">
      <c r="B952" s="11" t="str">
        <f>[1]Pokemon!C952</f>
        <v>Yungoos</v>
      </c>
      <c r="C952" s="11">
        <f>[1]Moves!B952</f>
        <v>0</v>
      </c>
    </row>
    <row r="953" spans="2:3" x14ac:dyDescent="0.25">
      <c r="B953" s="11" t="str">
        <f>[1]Pokemon!C953</f>
        <v>Gumshoos</v>
      </c>
      <c r="C953" s="11">
        <f>[1]Moves!B953</f>
        <v>0</v>
      </c>
    </row>
    <row r="954" spans="2:3" x14ac:dyDescent="0.25">
      <c r="B954" s="11" t="str">
        <f>[1]Pokemon!C954</f>
        <v>Gumshoos Totem</v>
      </c>
      <c r="C954" s="11">
        <f>[1]Moves!B954</f>
        <v>0</v>
      </c>
    </row>
    <row r="955" spans="2:3" x14ac:dyDescent="0.25">
      <c r="B955" s="11" t="str">
        <f>[1]Pokemon!C955</f>
        <v>Grubbin</v>
      </c>
      <c r="C955" s="11">
        <f>[1]Moves!B955</f>
        <v>0</v>
      </c>
    </row>
    <row r="956" spans="2:3" x14ac:dyDescent="0.25">
      <c r="B956" s="11" t="str">
        <f>[1]Pokemon!C956</f>
        <v>Charjabug</v>
      </c>
      <c r="C956" s="11">
        <f>[1]Moves!B956</f>
        <v>0</v>
      </c>
    </row>
    <row r="957" spans="2:3" x14ac:dyDescent="0.25">
      <c r="B957" s="11" t="str">
        <f>[1]Pokemon!C957</f>
        <v>Vikavolt</v>
      </c>
      <c r="C957" s="11">
        <f>[1]Moves!B957</f>
        <v>0</v>
      </c>
    </row>
    <row r="958" spans="2:3" x14ac:dyDescent="0.25">
      <c r="B958" s="11" t="str">
        <f>[1]Pokemon!C958</f>
        <v>Vikavolt Totem</v>
      </c>
      <c r="C958" s="11">
        <f>[1]Moves!B958</f>
        <v>0</v>
      </c>
    </row>
    <row r="959" spans="2:3" x14ac:dyDescent="0.25">
      <c r="B959" s="11" t="str">
        <f>[1]Pokemon!C959</f>
        <v>Crabrawler</v>
      </c>
      <c r="C959" s="11">
        <f>[1]Moves!B959</f>
        <v>0</v>
      </c>
    </row>
    <row r="960" spans="2:3" x14ac:dyDescent="0.25">
      <c r="B960" s="11" t="str">
        <f>[1]Pokemon!C960</f>
        <v>Crabominable</v>
      </c>
      <c r="C960" s="11">
        <f>[1]Moves!B960</f>
        <v>0</v>
      </c>
    </row>
    <row r="961" spans="2:3" x14ac:dyDescent="0.25">
      <c r="B961" s="11" t="str">
        <f>[1]Pokemon!C961</f>
        <v>Crabominable Mega</v>
      </c>
      <c r="C961" s="11">
        <f>[1]Moves!B961</f>
        <v>0</v>
      </c>
    </row>
    <row r="962" spans="2:3" x14ac:dyDescent="0.25">
      <c r="B962" s="11" t="str">
        <f>[1]Pokemon!C962</f>
        <v>Oricorio Baile</v>
      </c>
      <c r="C962" s="11">
        <f>[1]Moves!B962</f>
        <v>0</v>
      </c>
    </row>
    <row r="963" spans="2:3" x14ac:dyDescent="0.25">
      <c r="B963" s="11" t="str">
        <f>[1]Pokemon!C963</f>
        <v>Oricorio Pau</v>
      </c>
      <c r="C963" s="11">
        <f>[1]Moves!B963</f>
        <v>0</v>
      </c>
    </row>
    <row r="964" spans="2:3" x14ac:dyDescent="0.25">
      <c r="B964" s="11" t="str">
        <f>[1]Pokemon!C964</f>
        <v>Oricorio Pom Pom</v>
      </c>
      <c r="C964" s="11">
        <f>[1]Moves!B964</f>
        <v>0</v>
      </c>
    </row>
    <row r="965" spans="2:3" x14ac:dyDescent="0.25">
      <c r="B965" s="11" t="str">
        <f>[1]Pokemon!C965</f>
        <v>Oricorio Sensu</v>
      </c>
      <c r="C965" s="11">
        <f>[1]Moves!B965</f>
        <v>0</v>
      </c>
    </row>
    <row r="966" spans="2:3" x14ac:dyDescent="0.25">
      <c r="B966" s="11" t="str">
        <f>[1]Pokemon!C966</f>
        <v>Cutiefly</v>
      </c>
      <c r="C966" s="11">
        <f>[1]Moves!B966</f>
        <v>0</v>
      </c>
    </row>
    <row r="967" spans="2:3" x14ac:dyDescent="0.25">
      <c r="B967" s="11" t="str">
        <f>[1]Pokemon!C967</f>
        <v>Ribombee</v>
      </c>
      <c r="C967" s="11">
        <f>[1]Moves!B967</f>
        <v>0</v>
      </c>
    </row>
    <row r="968" spans="2:3" x14ac:dyDescent="0.25">
      <c r="B968" s="11" t="str">
        <f>[1]Pokemon!C968</f>
        <v>Ribombee Totem</v>
      </c>
      <c r="C968" s="11">
        <f>[1]Moves!B968</f>
        <v>0</v>
      </c>
    </row>
    <row r="969" spans="2:3" x14ac:dyDescent="0.25">
      <c r="B969" s="11" t="str">
        <f>[1]Pokemon!C969</f>
        <v>Rockruff</v>
      </c>
      <c r="C969" s="11">
        <f>[1]Moves!B969</f>
        <v>0</v>
      </c>
    </row>
    <row r="970" spans="2:3" x14ac:dyDescent="0.25">
      <c r="B970" s="11" t="str">
        <f>[1]Pokemon!C970</f>
        <v>Rockruff Own Tempo</v>
      </c>
      <c r="C970" s="11">
        <f>[1]Moves!B970</f>
        <v>0</v>
      </c>
    </row>
    <row r="971" spans="2:3" x14ac:dyDescent="0.25">
      <c r="B971" s="11" t="str">
        <f>[1]Pokemon!C971</f>
        <v>Lycanroc Dusk</v>
      </c>
      <c r="C971" s="11">
        <f>[1]Moves!B971</f>
        <v>0</v>
      </c>
    </row>
    <row r="972" spans="2:3" x14ac:dyDescent="0.25">
      <c r="B972" s="11" t="str">
        <f>[1]Pokemon!C972</f>
        <v>Lycanroc Midday</v>
      </c>
      <c r="C972" s="11">
        <f>[1]Moves!B972</f>
        <v>0</v>
      </c>
    </row>
    <row r="973" spans="2:3" x14ac:dyDescent="0.25">
      <c r="B973" s="11" t="str">
        <f>[1]Pokemon!C973</f>
        <v>Lycanroc Midnight</v>
      </c>
      <c r="C973" s="11">
        <f>[1]Moves!B973</f>
        <v>0</v>
      </c>
    </row>
    <row r="974" spans="2:3" x14ac:dyDescent="0.25">
      <c r="B974" s="11" t="str">
        <f>[1]Pokemon!C974</f>
        <v>Wishiwashi School</v>
      </c>
      <c r="C974" s="11">
        <f>[1]Moves!B974</f>
        <v>0</v>
      </c>
    </row>
    <row r="975" spans="2:3" x14ac:dyDescent="0.25">
      <c r="B975" s="11" t="str">
        <f>[1]Pokemon!C975</f>
        <v>Wishiwashi Solo</v>
      </c>
      <c r="C975" s="11">
        <f>[1]Moves!B975</f>
        <v>0</v>
      </c>
    </row>
    <row r="976" spans="2:3" x14ac:dyDescent="0.25">
      <c r="B976" s="11" t="str">
        <f>[1]Pokemon!C976</f>
        <v>Mareanie</v>
      </c>
      <c r="C976" s="11">
        <f>[1]Moves!B976</f>
        <v>0</v>
      </c>
    </row>
    <row r="977" spans="2:3" x14ac:dyDescent="0.25">
      <c r="B977" s="11" t="str">
        <f>[1]Pokemon!C977</f>
        <v>Toxapex</v>
      </c>
      <c r="C977" s="11">
        <f>[1]Moves!B977</f>
        <v>0</v>
      </c>
    </row>
    <row r="978" spans="2:3" x14ac:dyDescent="0.25">
      <c r="B978" s="11" t="str">
        <f>[1]Pokemon!C978</f>
        <v>Mudbray</v>
      </c>
      <c r="C978" s="11">
        <f>[1]Moves!B978</f>
        <v>0</v>
      </c>
    </row>
    <row r="979" spans="2:3" x14ac:dyDescent="0.25">
      <c r="B979" s="11" t="str">
        <f>[1]Pokemon!C979</f>
        <v>Mudsdale</v>
      </c>
      <c r="C979" s="11">
        <f>[1]Moves!B979</f>
        <v>0</v>
      </c>
    </row>
    <row r="980" spans="2:3" x14ac:dyDescent="0.25">
      <c r="B980" s="11" t="str">
        <f>[1]Pokemon!C980</f>
        <v>Dewpider</v>
      </c>
      <c r="C980" s="11">
        <f>[1]Moves!B980</f>
        <v>0</v>
      </c>
    </row>
    <row r="981" spans="2:3" x14ac:dyDescent="0.25">
      <c r="B981" s="11" t="str">
        <f>[1]Pokemon!C981</f>
        <v>Araquanid</v>
      </c>
      <c r="C981" s="11">
        <f>[1]Moves!B981</f>
        <v>0</v>
      </c>
    </row>
    <row r="982" spans="2:3" x14ac:dyDescent="0.25">
      <c r="B982" s="11" t="str">
        <f>[1]Pokemon!C982</f>
        <v>Araquanid Totem</v>
      </c>
      <c r="C982" s="11">
        <f>[1]Moves!B982</f>
        <v>0</v>
      </c>
    </row>
    <row r="983" spans="2:3" x14ac:dyDescent="0.25">
      <c r="B983" s="11" t="str">
        <f>[1]Pokemon!C983</f>
        <v>Fomantis</v>
      </c>
      <c r="C983" s="11">
        <f>[1]Moves!B983</f>
        <v>0</v>
      </c>
    </row>
    <row r="984" spans="2:3" x14ac:dyDescent="0.25">
      <c r="B984" s="11" t="str">
        <f>[1]Pokemon!C984</f>
        <v>Lurantis</v>
      </c>
      <c r="C984" s="11">
        <f>[1]Moves!B984</f>
        <v>0</v>
      </c>
    </row>
    <row r="985" spans="2:3" x14ac:dyDescent="0.25">
      <c r="B985" s="11" t="str">
        <f>[1]Pokemon!C985</f>
        <v>Lurantis Totem</v>
      </c>
      <c r="C985" s="11">
        <f>[1]Moves!B985</f>
        <v>0</v>
      </c>
    </row>
    <row r="986" spans="2:3" x14ac:dyDescent="0.25">
      <c r="B986" s="11" t="str">
        <f>[1]Pokemon!C986</f>
        <v>Morelull</v>
      </c>
      <c r="C986" s="11">
        <f>[1]Moves!B986</f>
        <v>0</v>
      </c>
    </row>
    <row r="987" spans="2:3" x14ac:dyDescent="0.25">
      <c r="B987" s="11" t="str">
        <f>[1]Pokemon!C987</f>
        <v>Shiinotic</v>
      </c>
      <c r="C987" s="11">
        <f>[1]Moves!B987</f>
        <v>0</v>
      </c>
    </row>
    <row r="988" spans="2:3" x14ac:dyDescent="0.25">
      <c r="B988" s="11" t="str">
        <f>[1]Pokemon!C988</f>
        <v>Salandit</v>
      </c>
      <c r="C988" s="11">
        <f>[1]Moves!B988</f>
        <v>0</v>
      </c>
    </row>
    <row r="989" spans="2:3" x14ac:dyDescent="0.25">
      <c r="B989" s="11" t="str">
        <f>[1]Pokemon!C989</f>
        <v>Salazzle</v>
      </c>
      <c r="C989" s="11">
        <f>[1]Moves!B989</f>
        <v>0</v>
      </c>
    </row>
    <row r="990" spans="2:3" x14ac:dyDescent="0.25">
      <c r="B990" s="11" t="str">
        <f>[1]Pokemon!C990</f>
        <v>Salazzle Totem</v>
      </c>
      <c r="C990" s="11">
        <f>[1]Moves!B990</f>
        <v>0</v>
      </c>
    </row>
    <row r="991" spans="2:3" x14ac:dyDescent="0.25">
      <c r="B991" s="11" t="str">
        <f>[1]Pokemon!C991</f>
        <v>Stufful</v>
      </c>
      <c r="C991" s="11">
        <f>[1]Moves!B991</f>
        <v>0</v>
      </c>
    </row>
    <row r="992" spans="2:3" x14ac:dyDescent="0.25">
      <c r="B992" s="11" t="str">
        <f>[1]Pokemon!C992</f>
        <v>Bewear</v>
      </c>
      <c r="C992" s="11">
        <f>[1]Moves!B992</f>
        <v>0</v>
      </c>
    </row>
    <row r="993" spans="2:3" x14ac:dyDescent="0.25">
      <c r="B993" s="11" t="str">
        <f>[1]Pokemon!C993</f>
        <v>Bounsweet</v>
      </c>
      <c r="C993" s="11">
        <f>[1]Moves!B993</f>
        <v>0</v>
      </c>
    </row>
    <row r="994" spans="2:3" x14ac:dyDescent="0.25">
      <c r="B994" s="11" t="str">
        <f>[1]Pokemon!C994</f>
        <v>Steenee</v>
      </c>
      <c r="C994" s="11">
        <f>[1]Moves!B994</f>
        <v>0</v>
      </c>
    </row>
    <row r="995" spans="2:3" x14ac:dyDescent="0.25">
      <c r="B995" s="11" t="str">
        <f>[1]Pokemon!C995</f>
        <v>Tsareena</v>
      </c>
      <c r="C995" s="11">
        <f>[1]Moves!B995</f>
        <v>0</v>
      </c>
    </row>
    <row r="996" spans="2:3" x14ac:dyDescent="0.25">
      <c r="B996" s="11" t="str">
        <f>[1]Pokemon!C996</f>
        <v>Comfey</v>
      </c>
      <c r="C996" s="11">
        <f>[1]Moves!B996</f>
        <v>0</v>
      </c>
    </row>
    <row r="997" spans="2:3" x14ac:dyDescent="0.25">
      <c r="B997" s="11" t="str">
        <f>[1]Pokemon!C997</f>
        <v>Oranguru</v>
      </c>
      <c r="C997" s="11">
        <f>[1]Moves!B997</f>
        <v>0</v>
      </c>
    </row>
    <row r="998" spans="2:3" x14ac:dyDescent="0.25">
      <c r="B998" s="11" t="str">
        <f>[1]Pokemon!C998</f>
        <v>Passimian</v>
      </c>
      <c r="C998" s="11">
        <f>[1]Moves!B998</f>
        <v>0</v>
      </c>
    </row>
    <row r="999" spans="2:3" x14ac:dyDescent="0.25">
      <c r="B999" s="11" t="str">
        <f>[1]Pokemon!C999</f>
        <v>Wimpod</v>
      </c>
      <c r="C999" s="11">
        <f>[1]Moves!B999</f>
        <v>0</v>
      </c>
    </row>
    <row r="1000" spans="2:3" x14ac:dyDescent="0.25">
      <c r="B1000" s="11" t="str">
        <f>[1]Pokemon!C1000</f>
        <v>Golisopod</v>
      </c>
      <c r="C1000" s="11">
        <f>[1]Moves!B1000</f>
        <v>0</v>
      </c>
    </row>
    <row r="1001" spans="2:3" x14ac:dyDescent="0.25">
      <c r="B1001" s="11" t="str">
        <f>[1]Pokemon!C1001</f>
        <v>Golisopod Mega</v>
      </c>
      <c r="C1001" s="11">
        <f>[1]Moves!B1001</f>
        <v>0</v>
      </c>
    </row>
    <row r="1002" spans="2:3" x14ac:dyDescent="0.25">
      <c r="B1002" s="11" t="str">
        <f>[1]Pokemon!C1002</f>
        <v>Sandygast</v>
      </c>
      <c r="C1002" s="11">
        <f>[1]Moves!B1002</f>
        <v>0</v>
      </c>
    </row>
    <row r="1003" spans="2:3" x14ac:dyDescent="0.25">
      <c r="B1003" s="11" t="str">
        <f>[1]Pokemon!C1003</f>
        <v>Palossand</v>
      </c>
      <c r="C1003" s="11">
        <f>[1]Moves!B1003</f>
        <v>0</v>
      </c>
    </row>
    <row r="1004" spans="2:3" x14ac:dyDescent="0.25">
      <c r="B1004" s="11" t="str">
        <f>[1]Pokemon!C1004</f>
        <v>Pyukumuku</v>
      </c>
      <c r="C1004" s="11">
        <f>[1]Moves!B1004</f>
        <v>0</v>
      </c>
    </row>
    <row r="1005" spans="2:3" x14ac:dyDescent="0.25">
      <c r="B1005" s="11" t="str">
        <f>[1]Pokemon!C1005</f>
        <v>Type Null</v>
      </c>
      <c r="C1005" s="11">
        <f>[1]Moves!B1005</f>
        <v>0</v>
      </c>
    </row>
    <row r="1006" spans="2:3" x14ac:dyDescent="0.25">
      <c r="B1006" s="11" t="str">
        <f>[1]Pokemon!C1006</f>
        <v>Silvally</v>
      </c>
      <c r="C1006" s="11">
        <f>[1]Moves!B1006</f>
        <v>0</v>
      </c>
    </row>
    <row r="1007" spans="2:3" x14ac:dyDescent="0.25">
      <c r="B1007" s="11" t="str">
        <f>[1]Pokemon!C1007</f>
        <v>Minior Blue</v>
      </c>
      <c r="C1007" s="11">
        <f>[1]Moves!B1007</f>
        <v>0</v>
      </c>
    </row>
    <row r="1008" spans="2:3" x14ac:dyDescent="0.25">
      <c r="B1008" s="11" t="str">
        <f>[1]Pokemon!C1008</f>
        <v>Minior Blue Meteor</v>
      </c>
      <c r="C1008" s="11">
        <f>[1]Moves!B1008</f>
        <v>0</v>
      </c>
    </row>
    <row r="1009" spans="2:3" x14ac:dyDescent="0.25">
      <c r="B1009" s="11" t="str">
        <f>[1]Pokemon!C1009</f>
        <v>Minior Green</v>
      </c>
      <c r="C1009" s="11">
        <f>[1]Moves!B1009</f>
        <v>0</v>
      </c>
    </row>
    <row r="1010" spans="2:3" x14ac:dyDescent="0.25">
      <c r="B1010" s="11" t="str">
        <f>[1]Pokemon!C1010</f>
        <v>Minior Green Meteor</v>
      </c>
      <c r="C1010" s="11">
        <f>[1]Moves!B1010</f>
        <v>0</v>
      </c>
    </row>
    <row r="1011" spans="2:3" x14ac:dyDescent="0.25">
      <c r="B1011" s="11" t="str">
        <f>[1]Pokemon!C1011</f>
        <v>Minior Indigo</v>
      </c>
      <c r="C1011" s="11">
        <f>[1]Moves!B1011</f>
        <v>0</v>
      </c>
    </row>
    <row r="1012" spans="2:3" x14ac:dyDescent="0.25">
      <c r="B1012" s="11" t="str">
        <f>[1]Pokemon!C1012</f>
        <v>Minior Indigo Meteor</v>
      </c>
      <c r="C1012" s="11">
        <f>[1]Moves!B1012</f>
        <v>0</v>
      </c>
    </row>
    <row r="1013" spans="2:3" x14ac:dyDescent="0.25">
      <c r="B1013" s="11" t="str">
        <f>[1]Pokemon!C1013</f>
        <v>Minior Orange</v>
      </c>
      <c r="C1013" s="11">
        <f>[1]Moves!B1013</f>
        <v>0</v>
      </c>
    </row>
    <row r="1014" spans="2:3" x14ac:dyDescent="0.25">
      <c r="B1014" s="11" t="str">
        <f>[1]Pokemon!C1014</f>
        <v>Minior Orange Meteor</v>
      </c>
      <c r="C1014" s="11">
        <f>[1]Moves!B1014</f>
        <v>0</v>
      </c>
    </row>
    <row r="1015" spans="2:3" x14ac:dyDescent="0.25">
      <c r="B1015" s="11" t="str">
        <f>[1]Pokemon!C1015</f>
        <v>Minior Red</v>
      </c>
      <c r="C1015" s="11">
        <f>[1]Moves!B1015</f>
        <v>0</v>
      </c>
    </row>
    <row r="1016" spans="2:3" x14ac:dyDescent="0.25">
      <c r="B1016" s="11" t="str">
        <f>[1]Pokemon!C1016</f>
        <v>Minior Red Meteor</v>
      </c>
      <c r="C1016" s="11">
        <f>[1]Moves!B1016</f>
        <v>0</v>
      </c>
    </row>
    <row r="1017" spans="2:3" x14ac:dyDescent="0.25">
      <c r="B1017" s="11" t="str">
        <f>[1]Pokemon!C1017</f>
        <v>Minior Violet</v>
      </c>
      <c r="C1017" s="11">
        <f>[1]Moves!B1017</f>
        <v>0</v>
      </c>
    </row>
    <row r="1018" spans="2:3" x14ac:dyDescent="0.25">
      <c r="B1018" s="11" t="str">
        <f>[1]Pokemon!C1018</f>
        <v>Minior Violet Meteor</v>
      </c>
      <c r="C1018" s="11">
        <f>[1]Moves!B1018</f>
        <v>0</v>
      </c>
    </row>
    <row r="1019" spans="2:3" x14ac:dyDescent="0.25">
      <c r="B1019" s="11" t="str">
        <f>[1]Pokemon!C1019</f>
        <v>Minior Yellow</v>
      </c>
      <c r="C1019" s="11">
        <f>[1]Moves!B1019</f>
        <v>0</v>
      </c>
    </row>
    <row r="1020" spans="2:3" x14ac:dyDescent="0.25">
      <c r="B1020" s="11" t="str">
        <f>[1]Pokemon!C1020</f>
        <v>Minior Yellow Meteor</v>
      </c>
      <c r="C1020" s="11">
        <f>[1]Moves!B1020</f>
        <v>0</v>
      </c>
    </row>
    <row r="1021" spans="2:3" x14ac:dyDescent="0.25">
      <c r="B1021" s="11" t="str">
        <f>[1]Pokemon!C1021</f>
        <v>Komala</v>
      </c>
      <c r="C1021" s="11">
        <f>[1]Moves!B1021</f>
        <v>0</v>
      </c>
    </row>
    <row r="1022" spans="2:3" x14ac:dyDescent="0.25">
      <c r="B1022" s="11" t="str">
        <f>[1]Pokemon!C1022</f>
        <v>Turtonator</v>
      </c>
      <c r="C1022" s="11">
        <f>[1]Moves!B1022</f>
        <v>0</v>
      </c>
    </row>
    <row r="1023" spans="2:3" x14ac:dyDescent="0.25">
      <c r="B1023" s="11" t="str">
        <f>[1]Pokemon!C1023</f>
        <v>Togedemaru</v>
      </c>
      <c r="C1023" s="11">
        <f>[1]Moves!B1023</f>
        <v>0</v>
      </c>
    </row>
    <row r="1024" spans="2:3" x14ac:dyDescent="0.25">
      <c r="B1024" s="11" t="str">
        <f>[1]Pokemon!C1024</f>
        <v>Togedemaru Totem</v>
      </c>
      <c r="C1024" s="11">
        <f>[1]Moves!B1024</f>
        <v>0</v>
      </c>
    </row>
    <row r="1025" spans="2:3" x14ac:dyDescent="0.25">
      <c r="B1025" s="11" t="str">
        <f>[1]Pokemon!C1025</f>
        <v>Mimikyu Busted</v>
      </c>
      <c r="C1025" s="11">
        <f>[1]Moves!B1025</f>
        <v>0</v>
      </c>
    </row>
    <row r="1026" spans="2:3" x14ac:dyDescent="0.25">
      <c r="B1026" s="11" t="str">
        <f>[1]Pokemon!C1026</f>
        <v>Mimikyu Disguised</v>
      </c>
      <c r="C1026" s="11">
        <f>[1]Moves!B1026</f>
        <v>0</v>
      </c>
    </row>
    <row r="1027" spans="2:3" x14ac:dyDescent="0.25">
      <c r="B1027" s="11" t="str">
        <f>[1]Pokemon!C1027</f>
        <v>Mimikyu Totem Busted</v>
      </c>
      <c r="C1027" s="11">
        <f>[1]Moves!B1027</f>
        <v>0</v>
      </c>
    </row>
    <row r="1028" spans="2:3" x14ac:dyDescent="0.25">
      <c r="B1028" s="11" t="str">
        <f>[1]Pokemon!C1028</f>
        <v>Mimikyu Totem Disguised</v>
      </c>
      <c r="C1028" s="11">
        <f>[1]Moves!B1028</f>
        <v>0</v>
      </c>
    </row>
    <row r="1029" spans="2:3" x14ac:dyDescent="0.25">
      <c r="B1029" s="11" t="str">
        <f>[1]Pokemon!C1029</f>
        <v>Bruxish</v>
      </c>
      <c r="C1029" s="11">
        <f>[1]Moves!B1029</f>
        <v>0</v>
      </c>
    </row>
    <row r="1030" spans="2:3" x14ac:dyDescent="0.25">
      <c r="B1030" s="11" t="str">
        <f>[1]Pokemon!C1030</f>
        <v>Drampa</v>
      </c>
      <c r="C1030" s="11">
        <f>[1]Moves!B1030</f>
        <v>0</v>
      </c>
    </row>
    <row r="1031" spans="2:3" x14ac:dyDescent="0.25">
      <c r="B1031" s="11" t="str">
        <f>[1]Pokemon!C1031</f>
        <v>Drampa Mega</v>
      </c>
      <c r="C1031" s="11">
        <f>[1]Moves!B1031</f>
        <v>0</v>
      </c>
    </row>
    <row r="1032" spans="2:3" x14ac:dyDescent="0.25">
      <c r="B1032" s="11" t="str">
        <f>[1]Pokemon!C1032</f>
        <v>Dhelmise</v>
      </c>
      <c r="C1032" s="11">
        <f>[1]Moves!B1032</f>
        <v>0</v>
      </c>
    </row>
    <row r="1033" spans="2:3" x14ac:dyDescent="0.25">
      <c r="B1033" s="11" t="str">
        <f>[1]Pokemon!C1033</f>
        <v>Jangmo O</v>
      </c>
      <c r="C1033" s="11">
        <f>[1]Moves!B1033</f>
        <v>0</v>
      </c>
    </row>
    <row r="1034" spans="2:3" x14ac:dyDescent="0.25">
      <c r="B1034" s="11" t="str">
        <f>[1]Pokemon!C1034</f>
        <v>Hakamo O</v>
      </c>
      <c r="C1034" s="11">
        <f>[1]Moves!B1034</f>
        <v>0</v>
      </c>
    </row>
    <row r="1035" spans="2:3" x14ac:dyDescent="0.25">
      <c r="B1035" s="11" t="str">
        <f>[1]Pokemon!C1035</f>
        <v>Kommo O</v>
      </c>
      <c r="C1035" s="11">
        <f>[1]Moves!B1035</f>
        <v>0</v>
      </c>
    </row>
    <row r="1036" spans="2:3" x14ac:dyDescent="0.25">
      <c r="B1036" s="11" t="str">
        <f>[1]Pokemon!C1036</f>
        <v>Kommo O Totem</v>
      </c>
      <c r="C1036" s="11">
        <f>[1]Moves!B1036</f>
        <v>0</v>
      </c>
    </row>
    <row r="1037" spans="2:3" x14ac:dyDescent="0.25">
      <c r="B1037" s="11" t="str">
        <f>[1]Pokemon!C1037</f>
        <v>Tapu Koko</v>
      </c>
      <c r="C1037" s="11">
        <f>[1]Moves!B1037</f>
        <v>0</v>
      </c>
    </row>
    <row r="1038" spans="2:3" x14ac:dyDescent="0.25">
      <c r="B1038" s="11" t="str">
        <f>[1]Pokemon!C1038</f>
        <v>Tapu Lele</v>
      </c>
      <c r="C1038" s="11">
        <f>[1]Moves!B1038</f>
        <v>0</v>
      </c>
    </row>
    <row r="1039" spans="2:3" x14ac:dyDescent="0.25">
      <c r="B1039" s="11" t="str">
        <f>[1]Pokemon!C1039</f>
        <v>Tapu Bulu</v>
      </c>
      <c r="C1039" s="11">
        <f>[1]Moves!B1039</f>
        <v>0</v>
      </c>
    </row>
    <row r="1040" spans="2:3" x14ac:dyDescent="0.25">
      <c r="B1040" s="11" t="str">
        <f>[1]Pokemon!C1040</f>
        <v>Tapu Fini</v>
      </c>
      <c r="C1040" s="11">
        <f>[1]Moves!B1040</f>
        <v>0</v>
      </c>
    </row>
    <row r="1041" spans="2:3" x14ac:dyDescent="0.25">
      <c r="B1041" s="11" t="str">
        <f>[1]Pokemon!C1041</f>
        <v>Cosmog</v>
      </c>
      <c r="C1041" s="11">
        <f>[1]Moves!B1041</f>
        <v>0</v>
      </c>
    </row>
    <row r="1042" spans="2:3" x14ac:dyDescent="0.25">
      <c r="B1042" s="11" t="str">
        <f>[1]Pokemon!C1042</f>
        <v>Cosmoem</v>
      </c>
      <c r="C1042" s="11">
        <f>[1]Moves!B1042</f>
        <v>0</v>
      </c>
    </row>
    <row r="1043" spans="2:3" x14ac:dyDescent="0.25">
      <c r="B1043" s="11" t="str">
        <f>[1]Pokemon!C1043</f>
        <v>Solgaleo</v>
      </c>
      <c r="C1043" s="11">
        <f>[1]Moves!B1043</f>
        <v>0</v>
      </c>
    </row>
    <row r="1044" spans="2:3" x14ac:dyDescent="0.25">
      <c r="B1044" s="11" t="str">
        <f>[1]Pokemon!C1044</f>
        <v>Lunala</v>
      </c>
      <c r="C1044" s="11">
        <f>[1]Moves!B1044</f>
        <v>0</v>
      </c>
    </row>
    <row r="1045" spans="2:3" x14ac:dyDescent="0.25">
      <c r="B1045" s="11" t="str">
        <f>[1]Pokemon!C1045</f>
        <v>Nihilego</v>
      </c>
      <c r="C1045" s="11">
        <f>[1]Moves!B1045</f>
        <v>0</v>
      </c>
    </row>
    <row r="1046" spans="2:3" x14ac:dyDescent="0.25">
      <c r="B1046" s="11" t="str">
        <f>[1]Pokemon!C1046</f>
        <v>Buzzwole</v>
      </c>
      <c r="C1046" s="11">
        <f>[1]Moves!B1046</f>
        <v>0</v>
      </c>
    </row>
    <row r="1047" spans="2:3" x14ac:dyDescent="0.25">
      <c r="B1047" s="11" t="str">
        <f>[1]Pokemon!C1047</f>
        <v>Pheromosa</v>
      </c>
      <c r="C1047" s="11">
        <f>[1]Moves!B1047</f>
        <v>0</v>
      </c>
    </row>
    <row r="1048" spans="2:3" x14ac:dyDescent="0.25">
      <c r="B1048" s="11" t="str">
        <f>[1]Pokemon!C1048</f>
        <v>Xurkitree</v>
      </c>
      <c r="C1048" s="11">
        <f>[1]Moves!B1048</f>
        <v>0</v>
      </c>
    </row>
    <row r="1049" spans="2:3" x14ac:dyDescent="0.25">
      <c r="B1049" s="11" t="str">
        <f>[1]Pokemon!C1049</f>
        <v>Celesteela</v>
      </c>
      <c r="C1049" s="11">
        <f>[1]Moves!B1049</f>
        <v>0</v>
      </c>
    </row>
    <row r="1050" spans="2:3" x14ac:dyDescent="0.25">
      <c r="B1050" s="11" t="str">
        <f>[1]Pokemon!C1050</f>
        <v>Kartana</v>
      </c>
      <c r="C1050" s="11">
        <f>[1]Moves!B1050</f>
        <v>0</v>
      </c>
    </row>
    <row r="1051" spans="2:3" x14ac:dyDescent="0.25">
      <c r="B1051" s="11" t="str">
        <f>[1]Pokemon!C1051</f>
        <v>Guzzlord</v>
      </c>
      <c r="C1051" s="11">
        <f>[1]Moves!B1051</f>
        <v>0</v>
      </c>
    </row>
    <row r="1052" spans="2:3" x14ac:dyDescent="0.25">
      <c r="B1052" s="11" t="str">
        <f>[1]Pokemon!C1052</f>
        <v>Necrozma</v>
      </c>
      <c r="C1052" s="11">
        <f>[1]Moves!B1052</f>
        <v>0</v>
      </c>
    </row>
    <row r="1053" spans="2:3" x14ac:dyDescent="0.25">
      <c r="B1053" s="11" t="str">
        <f>[1]Pokemon!C1053</f>
        <v>Necrozma Dawn</v>
      </c>
      <c r="C1053" s="11">
        <f>[1]Moves!B1053</f>
        <v>0</v>
      </c>
    </row>
    <row r="1054" spans="2:3" x14ac:dyDescent="0.25">
      <c r="B1054" s="11" t="str">
        <f>[1]Pokemon!C1054</f>
        <v>Necrozma Dusk</v>
      </c>
      <c r="C1054" s="11">
        <f>[1]Moves!B1054</f>
        <v>0</v>
      </c>
    </row>
    <row r="1055" spans="2:3" x14ac:dyDescent="0.25">
      <c r="B1055" s="11" t="str">
        <f>[1]Pokemon!C1055</f>
        <v>Necrozma Ultra</v>
      </c>
      <c r="C1055" s="11">
        <f>[1]Moves!B1055</f>
        <v>0</v>
      </c>
    </row>
    <row r="1056" spans="2:3" x14ac:dyDescent="0.25">
      <c r="B1056" s="11" t="str">
        <f>[1]Pokemon!C1056</f>
        <v>Magearna</v>
      </c>
      <c r="C1056" s="11">
        <f>[1]Moves!B1056</f>
        <v>0</v>
      </c>
    </row>
    <row r="1057" spans="2:3" x14ac:dyDescent="0.25">
      <c r="B1057" s="11" t="str">
        <f>[1]Pokemon!C1057</f>
        <v>Magearna Mega</v>
      </c>
      <c r="C1057" s="11">
        <f>[1]Moves!B1057</f>
        <v>0</v>
      </c>
    </row>
    <row r="1058" spans="2:3" x14ac:dyDescent="0.25">
      <c r="B1058" s="11" t="str">
        <f>[1]Pokemon!C1058</f>
        <v>Magearna Original</v>
      </c>
      <c r="C1058" s="11">
        <f>[1]Moves!B1058</f>
        <v>0</v>
      </c>
    </row>
    <row r="1059" spans="2:3" x14ac:dyDescent="0.25">
      <c r="B1059" s="11" t="str">
        <f>[1]Pokemon!C1059</f>
        <v>Magearna Original Mega</v>
      </c>
      <c r="C1059" s="11">
        <f>[1]Moves!B1059</f>
        <v>0</v>
      </c>
    </row>
    <row r="1060" spans="2:3" x14ac:dyDescent="0.25">
      <c r="B1060" s="11" t="str">
        <f>[1]Pokemon!C1060</f>
        <v>Marshadow</v>
      </c>
      <c r="C1060" s="11">
        <f>[1]Moves!B1060</f>
        <v>0</v>
      </c>
    </row>
    <row r="1061" spans="2:3" x14ac:dyDescent="0.25">
      <c r="B1061" s="11" t="str">
        <f>[1]Pokemon!C1061</f>
        <v>Poipole</v>
      </c>
      <c r="C1061" s="11">
        <f>[1]Moves!B1061</f>
        <v>0</v>
      </c>
    </row>
    <row r="1062" spans="2:3" x14ac:dyDescent="0.25">
      <c r="B1062" s="11" t="str">
        <f>[1]Pokemon!C1062</f>
        <v>Naganadel</v>
      </c>
      <c r="C1062" s="11">
        <f>[1]Moves!B1062</f>
        <v>0</v>
      </c>
    </row>
    <row r="1063" spans="2:3" x14ac:dyDescent="0.25">
      <c r="B1063" s="11" t="str">
        <f>[1]Pokemon!C1063</f>
        <v>Stakataka</v>
      </c>
      <c r="C1063" s="11">
        <f>[1]Moves!B1063</f>
        <v>0</v>
      </c>
    </row>
    <row r="1064" spans="2:3" x14ac:dyDescent="0.25">
      <c r="B1064" s="11" t="str">
        <f>[1]Pokemon!C1064</f>
        <v>Blacephalon</v>
      </c>
      <c r="C1064" s="11">
        <f>[1]Moves!B1064</f>
        <v>0</v>
      </c>
    </row>
    <row r="1065" spans="2:3" x14ac:dyDescent="0.25">
      <c r="B1065" s="11" t="str">
        <f>[1]Pokemon!C1065</f>
        <v>Zeraora</v>
      </c>
      <c r="C1065" s="11">
        <f>[1]Moves!B1065</f>
        <v>0</v>
      </c>
    </row>
    <row r="1066" spans="2:3" x14ac:dyDescent="0.25">
      <c r="B1066" s="11" t="str">
        <f>[1]Pokemon!C1066</f>
        <v>Zeraora Mega</v>
      </c>
      <c r="C1066" s="11">
        <f>[1]Moves!B1066</f>
        <v>0</v>
      </c>
    </row>
    <row r="1067" spans="2:3" x14ac:dyDescent="0.25">
      <c r="B1067" s="11" t="str">
        <f>[1]Pokemon!C1067</f>
        <v>Meltan</v>
      </c>
      <c r="C1067" s="11">
        <f>[1]Moves!B1067</f>
        <v>0</v>
      </c>
    </row>
    <row r="1068" spans="2:3" x14ac:dyDescent="0.25">
      <c r="B1068" s="11" t="str">
        <f>[1]Pokemon!C1068</f>
        <v>Melmetal</v>
      </c>
      <c r="C1068" s="11">
        <f>[1]Moves!B1068</f>
        <v>0</v>
      </c>
    </row>
    <row r="1069" spans="2:3" x14ac:dyDescent="0.25">
      <c r="B1069" s="11" t="str">
        <f>[1]Pokemon!C1069</f>
        <v>Melmetal Gmax</v>
      </c>
      <c r="C1069" s="11">
        <f>[1]Moves!B1069</f>
        <v>0</v>
      </c>
    </row>
    <row r="1070" spans="2:3" x14ac:dyDescent="0.25">
      <c r="B1070" s="11" t="str">
        <f>[1]Pokemon!C1070</f>
        <v>Grookey</v>
      </c>
      <c r="C1070" s="11">
        <f>[1]Moves!B1070</f>
        <v>0</v>
      </c>
    </row>
    <row r="1071" spans="2:3" x14ac:dyDescent="0.25">
      <c r="B1071" s="11" t="str">
        <f>[1]Pokemon!C1071</f>
        <v>Thwackey</v>
      </c>
      <c r="C1071" s="11">
        <f>[1]Moves!B1071</f>
        <v>0</v>
      </c>
    </row>
    <row r="1072" spans="2:3" x14ac:dyDescent="0.25">
      <c r="B1072" s="11" t="str">
        <f>[1]Pokemon!C1072</f>
        <v>Rillaboom</v>
      </c>
      <c r="C1072" s="11">
        <f>[1]Moves!B1072</f>
        <v>0</v>
      </c>
    </row>
    <row r="1073" spans="2:3" x14ac:dyDescent="0.25">
      <c r="B1073" s="11" t="str">
        <f>[1]Pokemon!C1073</f>
        <v>Rillaboom Gmax</v>
      </c>
      <c r="C1073" s="11">
        <f>[1]Moves!B1073</f>
        <v>0</v>
      </c>
    </row>
    <row r="1074" spans="2:3" x14ac:dyDescent="0.25">
      <c r="B1074" s="11" t="str">
        <f>[1]Pokemon!C1074</f>
        <v>Scorbunny</v>
      </c>
      <c r="C1074" s="11">
        <f>[1]Moves!B1074</f>
        <v>0</v>
      </c>
    </row>
    <row r="1075" spans="2:3" x14ac:dyDescent="0.25">
      <c r="B1075" s="11" t="str">
        <f>[1]Pokemon!C1075</f>
        <v>Raboot</v>
      </c>
      <c r="C1075" s="11">
        <f>[1]Moves!B1075</f>
        <v>0</v>
      </c>
    </row>
    <row r="1076" spans="2:3" x14ac:dyDescent="0.25">
      <c r="B1076" s="11" t="str">
        <f>[1]Pokemon!C1076</f>
        <v>Cinderace</v>
      </c>
      <c r="C1076" s="11">
        <f>[1]Moves!B1076</f>
        <v>0</v>
      </c>
    </row>
    <row r="1077" spans="2:3" x14ac:dyDescent="0.25">
      <c r="B1077" s="11" t="str">
        <f>[1]Pokemon!C1077</f>
        <v>Cinderace Gmax</v>
      </c>
      <c r="C1077" s="11">
        <f>[1]Moves!B1077</f>
        <v>0</v>
      </c>
    </row>
    <row r="1078" spans="2:3" x14ac:dyDescent="0.25">
      <c r="B1078" s="11" t="str">
        <f>[1]Pokemon!C1078</f>
        <v>Sobble</v>
      </c>
      <c r="C1078" s="11">
        <f>[1]Moves!B1078</f>
        <v>0</v>
      </c>
    </row>
    <row r="1079" spans="2:3" x14ac:dyDescent="0.25">
      <c r="B1079" s="11" t="str">
        <f>[1]Pokemon!C1079</f>
        <v>Drizzile</v>
      </c>
      <c r="C1079" s="11">
        <f>[1]Moves!B1079</f>
        <v>0</v>
      </c>
    </row>
    <row r="1080" spans="2:3" x14ac:dyDescent="0.25">
      <c r="B1080" s="11" t="str">
        <f>[1]Pokemon!C1080</f>
        <v>Inteleon</v>
      </c>
      <c r="C1080" s="11">
        <f>[1]Moves!B1080</f>
        <v>0</v>
      </c>
    </row>
    <row r="1081" spans="2:3" x14ac:dyDescent="0.25">
      <c r="B1081" s="11" t="str">
        <f>[1]Pokemon!C1081</f>
        <v>Inteleon Gmax</v>
      </c>
      <c r="C1081" s="11">
        <f>[1]Moves!B1081</f>
        <v>0</v>
      </c>
    </row>
    <row r="1082" spans="2:3" x14ac:dyDescent="0.25">
      <c r="B1082" s="11" t="str">
        <f>[1]Pokemon!C1082</f>
        <v>Skwovet</v>
      </c>
      <c r="C1082" s="11">
        <f>[1]Moves!B1082</f>
        <v>0</v>
      </c>
    </row>
    <row r="1083" spans="2:3" x14ac:dyDescent="0.25">
      <c r="B1083" s="11" t="str">
        <f>[1]Pokemon!C1083</f>
        <v>Greedent</v>
      </c>
      <c r="C1083" s="11">
        <f>[1]Moves!B1083</f>
        <v>0</v>
      </c>
    </row>
    <row r="1084" spans="2:3" x14ac:dyDescent="0.25">
      <c r="B1084" s="11" t="str">
        <f>[1]Pokemon!C1084</f>
        <v>Rookidee</v>
      </c>
      <c r="C1084" s="11">
        <f>[1]Moves!B1084</f>
        <v>0</v>
      </c>
    </row>
    <row r="1085" spans="2:3" x14ac:dyDescent="0.25">
      <c r="B1085" s="11" t="str">
        <f>[1]Pokemon!C1085</f>
        <v>Corvisquire</v>
      </c>
      <c r="C1085" s="11">
        <f>[1]Moves!B1085</f>
        <v>0</v>
      </c>
    </row>
    <row r="1086" spans="2:3" x14ac:dyDescent="0.25">
      <c r="B1086" s="11" t="str">
        <f>[1]Pokemon!C1086</f>
        <v>Corviknight</v>
      </c>
      <c r="C1086" s="11">
        <f>[1]Moves!B1086</f>
        <v>0</v>
      </c>
    </row>
    <row r="1087" spans="2:3" x14ac:dyDescent="0.25">
      <c r="B1087" s="11" t="str">
        <f>[1]Pokemon!C1087</f>
        <v>Corviknight Gmax</v>
      </c>
      <c r="C1087" s="11">
        <f>[1]Moves!B1087</f>
        <v>0</v>
      </c>
    </row>
    <row r="1088" spans="2:3" x14ac:dyDescent="0.25">
      <c r="B1088" s="11" t="str">
        <f>[1]Pokemon!C1088</f>
        <v>Blipbug</v>
      </c>
      <c r="C1088" s="11">
        <f>[1]Moves!B1088</f>
        <v>0</v>
      </c>
    </row>
    <row r="1089" spans="2:3" x14ac:dyDescent="0.25">
      <c r="B1089" s="11" t="str">
        <f>[1]Pokemon!C1089</f>
        <v>Dottler</v>
      </c>
      <c r="C1089" s="11">
        <f>[1]Moves!B1089</f>
        <v>0</v>
      </c>
    </row>
    <row r="1090" spans="2:3" x14ac:dyDescent="0.25">
      <c r="B1090" s="11" t="str">
        <f>[1]Pokemon!C1090</f>
        <v>Orbeetle</v>
      </c>
      <c r="C1090" s="11">
        <f>[1]Moves!B1090</f>
        <v>0</v>
      </c>
    </row>
    <row r="1091" spans="2:3" x14ac:dyDescent="0.25">
      <c r="B1091" s="11" t="str">
        <f>[1]Pokemon!C1091</f>
        <v>Orbeetle Gmax</v>
      </c>
      <c r="C1091" s="11">
        <f>[1]Moves!B1091</f>
        <v>0</v>
      </c>
    </row>
    <row r="1092" spans="2:3" x14ac:dyDescent="0.25">
      <c r="B1092" s="11" t="str">
        <f>[1]Pokemon!C1092</f>
        <v>Nickit</v>
      </c>
      <c r="C1092" s="11">
        <f>[1]Moves!B1092</f>
        <v>0</v>
      </c>
    </row>
    <row r="1093" spans="2:3" x14ac:dyDescent="0.25">
      <c r="B1093" s="11" t="str">
        <f>[1]Pokemon!C1093</f>
        <v>Thievul</v>
      </c>
      <c r="C1093" s="11">
        <f>[1]Moves!B1093</f>
        <v>0</v>
      </c>
    </row>
    <row r="1094" spans="2:3" x14ac:dyDescent="0.25">
      <c r="B1094" s="11" t="str">
        <f>[1]Pokemon!C1094</f>
        <v>Gossifleur</v>
      </c>
      <c r="C1094" s="11">
        <f>[1]Moves!B1094</f>
        <v>0</v>
      </c>
    </row>
    <row r="1095" spans="2:3" x14ac:dyDescent="0.25">
      <c r="B1095" s="11" t="str">
        <f>[1]Pokemon!C1095</f>
        <v>Eldegoss</v>
      </c>
      <c r="C1095" s="11">
        <f>[1]Moves!B1095</f>
        <v>0</v>
      </c>
    </row>
    <row r="1096" spans="2:3" x14ac:dyDescent="0.25">
      <c r="B1096" s="11" t="str">
        <f>[1]Pokemon!C1096</f>
        <v>Wooloo</v>
      </c>
      <c r="C1096" s="11">
        <f>[1]Moves!B1096</f>
        <v>0</v>
      </c>
    </row>
    <row r="1097" spans="2:3" x14ac:dyDescent="0.25">
      <c r="B1097" s="11" t="str">
        <f>[1]Pokemon!C1097</f>
        <v>Dubwool</v>
      </c>
      <c r="C1097" s="11">
        <f>[1]Moves!B1097</f>
        <v>0</v>
      </c>
    </row>
    <row r="1098" spans="2:3" x14ac:dyDescent="0.25">
      <c r="B1098" s="11" t="str">
        <f>[1]Pokemon!C1098</f>
        <v>Chewtle</v>
      </c>
      <c r="C1098" s="11">
        <f>[1]Moves!B1098</f>
        <v>0</v>
      </c>
    </row>
    <row r="1099" spans="2:3" x14ac:dyDescent="0.25">
      <c r="B1099" s="11" t="str">
        <f>[1]Pokemon!C1099</f>
        <v>Drednaw</v>
      </c>
      <c r="C1099" s="11">
        <f>[1]Moves!B1099</f>
        <v>0</v>
      </c>
    </row>
    <row r="1100" spans="2:3" x14ac:dyDescent="0.25">
      <c r="B1100" s="11" t="str">
        <f>[1]Pokemon!C1100</f>
        <v>Drednaw Gmax</v>
      </c>
      <c r="C1100" s="11">
        <f>[1]Moves!B1100</f>
        <v>0</v>
      </c>
    </row>
    <row r="1101" spans="2:3" x14ac:dyDescent="0.25">
      <c r="B1101" s="11" t="str">
        <f>[1]Pokemon!C1101</f>
        <v>Yamper</v>
      </c>
      <c r="C1101" s="11">
        <f>[1]Moves!B1101</f>
        <v>0</v>
      </c>
    </row>
    <row r="1102" spans="2:3" x14ac:dyDescent="0.25">
      <c r="B1102" s="11" t="str">
        <f>[1]Pokemon!C1102</f>
        <v>Boltund</v>
      </c>
      <c r="C1102" s="11">
        <f>[1]Moves!B1102</f>
        <v>0</v>
      </c>
    </row>
    <row r="1103" spans="2:3" x14ac:dyDescent="0.25">
      <c r="B1103" s="11" t="str">
        <f>[1]Pokemon!C1103</f>
        <v>Rolycoly</v>
      </c>
      <c r="C1103" s="11">
        <f>[1]Moves!B1103</f>
        <v>0</v>
      </c>
    </row>
    <row r="1104" spans="2:3" x14ac:dyDescent="0.25">
      <c r="B1104" s="11" t="str">
        <f>[1]Pokemon!C1104</f>
        <v>Carkol</v>
      </c>
      <c r="C1104" s="11">
        <f>[1]Moves!B1104</f>
        <v>0</v>
      </c>
    </row>
    <row r="1105" spans="2:3" x14ac:dyDescent="0.25">
      <c r="B1105" s="11" t="str">
        <f>[1]Pokemon!C1105</f>
        <v>Coalossal</v>
      </c>
      <c r="C1105" s="11">
        <f>[1]Moves!B1105</f>
        <v>0</v>
      </c>
    </row>
    <row r="1106" spans="2:3" x14ac:dyDescent="0.25">
      <c r="B1106" s="11" t="str">
        <f>[1]Pokemon!C1106</f>
        <v>Coalossal Gmax</v>
      </c>
      <c r="C1106" s="11">
        <f>[1]Moves!B1106</f>
        <v>0</v>
      </c>
    </row>
    <row r="1107" spans="2:3" x14ac:dyDescent="0.25">
      <c r="B1107" s="11" t="str">
        <f>[1]Pokemon!C1107</f>
        <v>Applin</v>
      </c>
      <c r="C1107" s="11">
        <f>[1]Moves!B1107</f>
        <v>0</v>
      </c>
    </row>
    <row r="1108" spans="2:3" x14ac:dyDescent="0.25">
      <c r="B1108" s="11" t="str">
        <f>[1]Pokemon!C1108</f>
        <v>Flapple</v>
      </c>
      <c r="C1108" s="11">
        <f>[1]Moves!B1108</f>
        <v>0</v>
      </c>
    </row>
    <row r="1109" spans="2:3" x14ac:dyDescent="0.25">
      <c r="B1109" s="11" t="str">
        <f>[1]Pokemon!C1109</f>
        <v>Flapple Gmax</v>
      </c>
      <c r="C1109" s="11">
        <f>[1]Moves!B1109</f>
        <v>0</v>
      </c>
    </row>
    <row r="1110" spans="2:3" x14ac:dyDescent="0.25">
      <c r="B1110" s="11" t="str">
        <f>[1]Pokemon!C1110</f>
        <v>Appletun</v>
      </c>
      <c r="C1110" s="11">
        <f>[1]Moves!B1110</f>
        <v>0</v>
      </c>
    </row>
    <row r="1111" spans="2:3" x14ac:dyDescent="0.25">
      <c r="B1111" s="11" t="str">
        <f>[1]Pokemon!C1111</f>
        <v>Appletun Gmax</v>
      </c>
      <c r="C1111" s="11">
        <f>[1]Moves!B1111</f>
        <v>0</v>
      </c>
    </row>
    <row r="1112" spans="2:3" x14ac:dyDescent="0.25">
      <c r="B1112" s="11" t="str">
        <f>[1]Pokemon!C1112</f>
        <v>Silicobra</v>
      </c>
      <c r="C1112" s="11">
        <f>[1]Moves!B1112</f>
        <v>0</v>
      </c>
    </row>
    <row r="1113" spans="2:3" x14ac:dyDescent="0.25">
      <c r="B1113" s="11" t="str">
        <f>[1]Pokemon!C1113</f>
        <v>Sandaconda</v>
      </c>
      <c r="C1113" s="11">
        <f>[1]Moves!B1113</f>
        <v>0</v>
      </c>
    </row>
    <row r="1114" spans="2:3" x14ac:dyDescent="0.25">
      <c r="B1114" s="11" t="str">
        <f>[1]Pokemon!C1114</f>
        <v>Sandaconda Gmax</v>
      </c>
      <c r="C1114" s="11">
        <f>[1]Moves!B1114</f>
        <v>0</v>
      </c>
    </row>
    <row r="1115" spans="2:3" x14ac:dyDescent="0.25">
      <c r="B1115" s="11" t="str">
        <f>[1]Pokemon!C1115</f>
        <v>Cramorant</v>
      </c>
      <c r="C1115" s="11">
        <f>[1]Moves!B1115</f>
        <v>0</v>
      </c>
    </row>
    <row r="1116" spans="2:3" x14ac:dyDescent="0.25">
      <c r="B1116" s="11" t="str">
        <f>[1]Pokemon!C1116</f>
        <v>Cramorant Gorging</v>
      </c>
      <c r="C1116" s="11">
        <f>[1]Moves!B1116</f>
        <v>0</v>
      </c>
    </row>
    <row r="1117" spans="2:3" x14ac:dyDescent="0.25">
      <c r="B1117" s="11" t="str">
        <f>[1]Pokemon!C1117</f>
        <v>Cramorant Gulping</v>
      </c>
      <c r="C1117" s="11">
        <f>[1]Moves!B1117</f>
        <v>0</v>
      </c>
    </row>
    <row r="1118" spans="2:3" x14ac:dyDescent="0.25">
      <c r="B1118" s="11" t="str">
        <f>[1]Pokemon!C1118</f>
        <v>Arrokuda</v>
      </c>
      <c r="C1118" s="11">
        <f>[1]Moves!B1118</f>
        <v>0</v>
      </c>
    </row>
    <row r="1119" spans="2:3" x14ac:dyDescent="0.25">
      <c r="B1119" s="11" t="str">
        <f>[1]Pokemon!C1119</f>
        <v>Barraskewda</v>
      </c>
      <c r="C1119" s="11">
        <f>[1]Moves!B1119</f>
        <v>0</v>
      </c>
    </row>
    <row r="1120" spans="2:3" x14ac:dyDescent="0.25">
      <c r="B1120" s="11" t="str">
        <f>[1]Pokemon!C1120</f>
        <v>Toxel</v>
      </c>
      <c r="C1120" s="11">
        <f>[1]Moves!B1120</f>
        <v>0</v>
      </c>
    </row>
    <row r="1121" spans="2:3" x14ac:dyDescent="0.25">
      <c r="B1121" s="11" t="str">
        <f>[1]Pokemon!C1121</f>
        <v>Toxtricity Amped</v>
      </c>
      <c r="C1121" s="11">
        <f>[1]Moves!B1121</f>
        <v>0</v>
      </c>
    </row>
    <row r="1122" spans="2:3" x14ac:dyDescent="0.25">
      <c r="B1122" s="11" t="str">
        <f>[1]Pokemon!C1122</f>
        <v>Toxtricity Amped Gmax</v>
      </c>
      <c r="C1122" s="11">
        <f>[1]Moves!B1122</f>
        <v>0</v>
      </c>
    </row>
    <row r="1123" spans="2:3" x14ac:dyDescent="0.25">
      <c r="B1123" s="11" t="str">
        <f>[1]Pokemon!C1123</f>
        <v>Toxtricity Low Key</v>
      </c>
      <c r="C1123" s="11">
        <f>[1]Moves!B1123</f>
        <v>0</v>
      </c>
    </row>
    <row r="1124" spans="2:3" x14ac:dyDescent="0.25">
      <c r="B1124" s="11" t="str">
        <f>[1]Pokemon!C1124</f>
        <v>Toxtricity Low Key Gmax</v>
      </c>
      <c r="C1124" s="11">
        <f>[1]Moves!B1124</f>
        <v>0</v>
      </c>
    </row>
    <row r="1125" spans="2:3" x14ac:dyDescent="0.25">
      <c r="B1125" s="11" t="str">
        <f>[1]Pokemon!C1125</f>
        <v>Sizzlipede</v>
      </c>
      <c r="C1125" s="11">
        <f>[1]Moves!B1125</f>
        <v>0</v>
      </c>
    </row>
    <row r="1126" spans="2:3" x14ac:dyDescent="0.25">
      <c r="B1126" s="11" t="str">
        <f>[1]Pokemon!C1126</f>
        <v>Centiskorch</v>
      </c>
      <c r="C1126" s="11">
        <f>[1]Moves!B1126</f>
        <v>0</v>
      </c>
    </row>
    <row r="1127" spans="2:3" x14ac:dyDescent="0.25">
      <c r="B1127" s="11" t="str">
        <f>[1]Pokemon!C1127</f>
        <v>Centiskorch Gmax</v>
      </c>
      <c r="C1127" s="11">
        <f>[1]Moves!B1127</f>
        <v>0</v>
      </c>
    </row>
    <row r="1128" spans="2:3" x14ac:dyDescent="0.25">
      <c r="B1128" s="11" t="str">
        <f>[1]Pokemon!C1128</f>
        <v>Clobbopus</v>
      </c>
      <c r="C1128" s="11">
        <f>[1]Moves!B1128</f>
        <v>0</v>
      </c>
    </row>
    <row r="1129" spans="2:3" x14ac:dyDescent="0.25">
      <c r="B1129" s="11" t="str">
        <f>[1]Pokemon!C1129</f>
        <v>Grapploct</v>
      </c>
      <c r="C1129" s="11">
        <f>[1]Moves!B1129</f>
        <v>0</v>
      </c>
    </row>
    <row r="1130" spans="2:3" x14ac:dyDescent="0.25">
      <c r="B1130" s="11" t="str">
        <f>[1]Pokemon!C1130</f>
        <v>Sinistea</v>
      </c>
      <c r="C1130" s="11">
        <f>[1]Moves!B1130</f>
        <v>0</v>
      </c>
    </row>
    <row r="1131" spans="2:3" x14ac:dyDescent="0.25">
      <c r="B1131" s="11" t="str">
        <f>[1]Pokemon!C1131</f>
        <v>Polteageist</v>
      </c>
      <c r="C1131" s="11">
        <f>[1]Moves!B1131</f>
        <v>0</v>
      </c>
    </row>
    <row r="1132" spans="2:3" x14ac:dyDescent="0.25">
      <c r="B1132" s="11" t="str">
        <f>[1]Pokemon!C1132</f>
        <v>Hatenna</v>
      </c>
      <c r="C1132" s="11">
        <f>[1]Moves!B1132</f>
        <v>0</v>
      </c>
    </row>
    <row r="1133" spans="2:3" x14ac:dyDescent="0.25">
      <c r="B1133" s="11" t="str">
        <f>[1]Pokemon!C1133</f>
        <v>Hattrem</v>
      </c>
      <c r="C1133" s="11">
        <f>[1]Moves!B1133</f>
        <v>0</v>
      </c>
    </row>
    <row r="1134" spans="2:3" x14ac:dyDescent="0.25">
      <c r="B1134" s="11" t="str">
        <f>[1]Pokemon!C1134</f>
        <v>Hatterene</v>
      </c>
      <c r="C1134" s="11">
        <f>[1]Moves!B1134</f>
        <v>0</v>
      </c>
    </row>
    <row r="1135" spans="2:3" x14ac:dyDescent="0.25">
      <c r="B1135" s="11" t="str">
        <f>[1]Pokemon!C1135</f>
        <v>Hatterene Gmax</v>
      </c>
      <c r="C1135" s="11">
        <f>[1]Moves!B1135</f>
        <v>0</v>
      </c>
    </row>
    <row r="1136" spans="2:3" x14ac:dyDescent="0.25">
      <c r="B1136" s="11" t="str">
        <f>[1]Pokemon!C1136</f>
        <v>Impidimp</v>
      </c>
      <c r="C1136" s="11">
        <f>[1]Moves!B1136</f>
        <v>0</v>
      </c>
    </row>
    <row r="1137" spans="2:3" x14ac:dyDescent="0.25">
      <c r="B1137" s="11" t="str">
        <f>[1]Pokemon!C1137</f>
        <v>Morgrem</v>
      </c>
      <c r="C1137" s="11">
        <f>[1]Moves!B1137</f>
        <v>0</v>
      </c>
    </row>
    <row r="1138" spans="2:3" x14ac:dyDescent="0.25">
      <c r="B1138" s="11" t="str">
        <f>[1]Pokemon!C1138</f>
        <v>Grimmsnarl</v>
      </c>
      <c r="C1138" s="11">
        <f>[1]Moves!B1138</f>
        <v>0</v>
      </c>
    </row>
    <row r="1139" spans="2:3" x14ac:dyDescent="0.25">
      <c r="B1139" s="11" t="str">
        <f>[1]Pokemon!C1139</f>
        <v>Grimmsnarl Gmax</v>
      </c>
      <c r="C1139" s="11">
        <f>[1]Moves!B1139</f>
        <v>0</v>
      </c>
    </row>
    <row r="1140" spans="2:3" x14ac:dyDescent="0.25">
      <c r="B1140" s="11" t="str">
        <f>[1]Pokemon!C1140</f>
        <v>Obstagoon</v>
      </c>
      <c r="C1140" s="11">
        <f>[1]Moves!B1140</f>
        <v>0</v>
      </c>
    </row>
    <row r="1141" spans="2:3" x14ac:dyDescent="0.25">
      <c r="B1141" s="11" t="str">
        <f>[1]Pokemon!C1141</f>
        <v>Perrserker</v>
      </c>
      <c r="C1141" s="11">
        <f>[1]Moves!B1141</f>
        <v>0</v>
      </c>
    </row>
    <row r="1142" spans="2:3" x14ac:dyDescent="0.25">
      <c r="B1142" s="11" t="str">
        <f>[1]Pokemon!C1142</f>
        <v>Cursola</v>
      </c>
      <c r="C1142" s="11">
        <f>[1]Moves!B1142</f>
        <v>0</v>
      </c>
    </row>
    <row r="1143" spans="2:3" x14ac:dyDescent="0.25">
      <c r="B1143" s="11" t="str">
        <f>[1]Pokemon!C1143</f>
        <v>Sirfetchd</v>
      </c>
      <c r="C1143" s="11">
        <f>[1]Moves!B1143</f>
        <v>0</v>
      </c>
    </row>
    <row r="1144" spans="2:3" x14ac:dyDescent="0.25">
      <c r="B1144" s="11" t="str">
        <f>[1]Pokemon!C1144</f>
        <v>Mr Rime</v>
      </c>
      <c r="C1144" s="11">
        <f>[1]Moves!B1144</f>
        <v>0</v>
      </c>
    </row>
    <row r="1145" spans="2:3" x14ac:dyDescent="0.25">
      <c r="B1145" s="11" t="str">
        <f>[1]Pokemon!C1145</f>
        <v>Runerigus</v>
      </c>
      <c r="C1145" s="11">
        <f>[1]Moves!B1145</f>
        <v>0</v>
      </c>
    </row>
    <row r="1146" spans="2:3" x14ac:dyDescent="0.25">
      <c r="B1146" s="11" t="str">
        <f>[1]Pokemon!C1146</f>
        <v>Milcery</v>
      </c>
      <c r="C1146" s="11">
        <f>[1]Moves!B1146</f>
        <v>0</v>
      </c>
    </row>
    <row r="1147" spans="2:3" x14ac:dyDescent="0.25">
      <c r="B1147" s="11" t="str">
        <f>[1]Pokemon!C1147</f>
        <v>Alcremie</v>
      </c>
      <c r="C1147" s="11">
        <f>[1]Moves!B1147</f>
        <v>0</v>
      </c>
    </row>
    <row r="1148" spans="2:3" x14ac:dyDescent="0.25">
      <c r="B1148" s="11" t="str">
        <f>[1]Pokemon!C1148</f>
        <v>Alcremie Gmax</v>
      </c>
      <c r="C1148" s="11">
        <f>[1]Moves!B1148</f>
        <v>0</v>
      </c>
    </row>
    <row r="1149" spans="2:3" x14ac:dyDescent="0.25">
      <c r="B1149" s="11" t="str">
        <f>[1]Pokemon!C1149</f>
        <v>Falinks</v>
      </c>
      <c r="C1149" s="11">
        <f>[1]Moves!B1149</f>
        <v>0</v>
      </c>
    </row>
    <row r="1150" spans="2:3" x14ac:dyDescent="0.25">
      <c r="B1150" s="11" t="str">
        <f>[1]Pokemon!C1150</f>
        <v>Falinks Mega</v>
      </c>
      <c r="C1150" s="11">
        <f>[1]Moves!B1150</f>
        <v>0</v>
      </c>
    </row>
    <row r="1151" spans="2:3" x14ac:dyDescent="0.25">
      <c r="B1151" s="11" t="str">
        <f>[1]Pokemon!C1151</f>
        <v>Pincurchin</v>
      </c>
      <c r="C1151" s="11">
        <f>[1]Moves!B1151</f>
        <v>0</v>
      </c>
    </row>
    <row r="1152" spans="2:3" x14ac:dyDescent="0.25">
      <c r="B1152" s="11" t="str">
        <f>[1]Pokemon!C1152</f>
        <v>Snom</v>
      </c>
      <c r="C1152" s="11">
        <f>[1]Moves!B1152</f>
        <v>0</v>
      </c>
    </row>
    <row r="1153" spans="2:3" x14ac:dyDescent="0.25">
      <c r="B1153" s="11" t="str">
        <f>[1]Pokemon!C1153</f>
        <v>Frosmoth</v>
      </c>
      <c r="C1153" s="11">
        <f>[1]Moves!B1153</f>
        <v>0</v>
      </c>
    </row>
    <row r="1154" spans="2:3" x14ac:dyDescent="0.25">
      <c r="B1154" s="11" t="str">
        <f>[1]Pokemon!C1154</f>
        <v>Stonjourner</v>
      </c>
      <c r="C1154" s="11">
        <f>[1]Moves!B1154</f>
        <v>0</v>
      </c>
    </row>
    <row r="1155" spans="2:3" x14ac:dyDescent="0.25">
      <c r="B1155" s="11" t="str">
        <f>[1]Pokemon!C1155</f>
        <v>Eiscue Ice</v>
      </c>
      <c r="C1155" s="11">
        <f>[1]Moves!B1155</f>
        <v>0</v>
      </c>
    </row>
    <row r="1156" spans="2:3" x14ac:dyDescent="0.25">
      <c r="B1156" s="11" t="str">
        <f>[1]Pokemon!C1156</f>
        <v>Eiscue Noice</v>
      </c>
      <c r="C1156" s="11">
        <f>[1]Moves!B1156</f>
        <v>0</v>
      </c>
    </row>
    <row r="1157" spans="2:3" x14ac:dyDescent="0.25">
      <c r="B1157" s="11" t="str">
        <f>[1]Pokemon!C1157</f>
        <v>Indeedee Female</v>
      </c>
      <c r="C1157" s="11">
        <f>[1]Moves!B1157</f>
        <v>0</v>
      </c>
    </row>
    <row r="1158" spans="2:3" x14ac:dyDescent="0.25">
      <c r="B1158" s="11" t="str">
        <f>[1]Pokemon!C1158</f>
        <v>Indeedee Male</v>
      </c>
      <c r="C1158" s="11">
        <f>[1]Moves!B1158</f>
        <v>0</v>
      </c>
    </row>
    <row r="1159" spans="2:3" x14ac:dyDescent="0.25">
      <c r="B1159" s="11" t="str">
        <f>[1]Pokemon!C1159</f>
        <v>Morpeko Full Belly</v>
      </c>
      <c r="C1159" s="11">
        <f>[1]Moves!B1159</f>
        <v>0</v>
      </c>
    </row>
    <row r="1160" spans="2:3" x14ac:dyDescent="0.25">
      <c r="B1160" s="11" t="str">
        <f>[1]Pokemon!C1160</f>
        <v>Morpeko Hangry</v>
      </c>
      <c r="C1160" s="11">
        <f>[1]Moves!B1160</f>
        <v>0</v>
      </c>
    </row>
    <row r="1161" spans="2:3" x14ac:dyDescent="0.25">
      <c r="B1161" s="11" t="str">
        <f>[1]Pokemon!C1161</f>
        <v>Cufant</v>
      </c>
      <c r="C1161" s="11">
        <f>[1]Moves!B1161</f>
        <v>0</v>
      </c>
    </row>
    <row r="1162" spans="2:3" x14ac:dyDescent="0.25">
      <c r="B1162" s="11" t="str">
        <f>[1]Pokemon!C1162</f>
        <v>Copperajah</v>
      </c>
      <c r="C1162" s="11">
        <f>[1]Moves!B1162</f>
        <v>0</v>
      </c>
    </row>
    <row r="1163" spans="2:3" x14ac:dyDescent="0.25">
      <c r="B1163" s="11" t="str">
        <f>[1]Pokemon!C1163</f>
        <v>Copperajah Gmax</v>
      </c>
      <c r="C1163" s="11">
        <f>[1]Moves!B1163</f>
        <v>0</v>
      </c>
    </row>
    <row r="1164" spans="2:3" x14ac:dyDescent="0.25">
      <c r="B1164" s="11" t="str">
        <f>[1]Pokemon!C1164</f>
        <v>Dracozolt</v>
      </c>
      <c r="C1164" s="11">
        <f>[1]Moves!B1164</f>
        <v>0</v>
      </c>
    </row>
    <row r="1165" spans="2:3" x14ac:dyDescent="0.25">
      <c r="B1165" s="11" t="str">
        <f>[1]Pokemon!C1165</f>
        <v>Arctozolt</v>
      </c>
      <c r="C1165" s="11">
        <f>[1]Moves!B1165</f>
        <v>0</v>
      </c>
    </row>
    <row r="1166" spans="2:3" x14ac:dyDescent="0.25">
      <c r="B1166" s="11" t="str">
        <f>[1]Pokemon!C1166</f>
        <v>Dracovish</v>
      </c>
      <c r="C1166" s="11">
        <f>[1]Moves!B1166</f>
        <v>0</v>
      </c>
    </row>
    <row r="1167" spans="2:3" x14ac:dyDescent="0.25">
      <c r="B1167" s="11" t="str">
        <f>[1]Pokemon!C1167</f>
        <v>Arctovish</v>
      </c>
      <c r="C1167" s="11">
        <f>[1]Moves!B1167</f>
        <v>0</v>
      </c>
    </row>
    <row r="1168" spans="2:3" x14ac:dyDescent="0.25">
      <c r="B1168" s="11" t="str">
        <f>[1]Pokemon!C1168</f>
        <v>Duraludon</v>
      </c>
      <c r="C1168" s="11">
        <f>[1]Moves!B1168</f>
        <v>0</v>
      </c>
    </row>
    <row r="1169" spans="2:3" x14ac:dyDescent="0.25">
      <c r="B1169" s="11" t="str">
        <f>[1]Pokemon!C1169</f>
        <v>Duraludon Gmax</v>
      </c>
      <c r="C1169" s="11">
        <f>[1]Moves!B1169</f>
        <v>0</v>
      </c>
    </row>
    <row r="1170" spans="2:3" x14ac:dyDescent="0.25">
      <c r="B1170" s="11" t="str">
        <f>[1]Pokemon!C1170</f>
        <v>Dreepy</v>
      </c>
      <c r="C1170" s="11">
        <f>[1]Moves!B1170</f>
        <v>0</v>
      </c>
    </row>
    <row r="1171" spans="2:3" x14ac:dyDescent="0.25">
      <c r="B1171" s="11" t="str">
        <f>[1]Pokemon!C1171</f>
        <v>Drakloak</v>
      </c>
      <c r="C1171" s="11">
        <f>[1]Moves!B1171</f>
        <v>0</v>
      </c>
    </row>
    <row r="1172" spans="2:3" x14ac:dyDescent="0.25">
      <c r="B1172" s="11" t="str">
        <f>[1]Pokemon!C1172</f>
        <v>Dragapult</v>
      </c>
      <c r="C1172" s="11">
        <f>[1]Moves!B1172</f>
        <v>0</v>
      </c>
    </row>
    <row r="1173" spans="2:3" x14ac:dyDescent="0.25">
      <c r="B1173" s="11" t="str">
        <f>[1]Pokemon!C1173</f>
        <v>Zacian</v>
      </c>
      <c r="C1173" s="11">
        <f>[1]Moves!B1173</f>
        <v>0</v>
      </c>
    </row>
    <row r="1174" spans="2:3" x14ac:dyDescent="0.25">
      <c r="B1174" s="11" t="str">
        <f>[1]Pokemon!C1174</f>
        <v>Zacian Crowned</v>
      </c>
      <c r="C1174" s="11">
        <f>[1]Moves!B1174</f>
        <v>0</v>
      </c>
    </row>
    <row r="1175" spans="2:3" x14ac:dyDescent="0.25">
      <c r="B1175" s="11" t="str">
        <f>[1]Pokemon!C1175</f>
        <v>Zamazenta</v>
      </c>
      <c r="C1175" s="11">
        <f>[1]Moves!B1175</f>
        <v>0</v>
      </c>
    </row>
    <row r="1176" spans="2:3" x14ac:dyDescent="0.25">
      <c r="B1176" s="11" t="str">
        <f>[1]Pokemon!C1176</f>
        <v>Zamazenta Crowned</v>
      </c>
      <c r="C1176" s="11">
        <f>[1]Moves!B1176</f>
        <v>0</v>
      </c>
    </row>
    <row r="1177" spans="2:3" x14ac:dyDescent="0.25">
      <c r="B1177" s="11" t="str">
        <f>[1]Pokemon!C1177</f>
        <v>Eternatus</v>
      </c>
      <c r="C1177" s="11">
        <f>[1]Moves!B1177</f>
        <v>0</v>
      </c>
    </row>
    <row r="1178" spans="2:3" x14ac:dyDescent="0.25">
      <c r="B1178" s="11" t="str">
        <f>[1]Pokemon!C1178</f>
        <v>Eternatus Eternamax</v>
      </c>
      <c r="C1178" s="11">
        <f>[1]Moves!B1178</f>
        <v>0</v>
      </c>
    </row>
    <row r="1179" spans="2:3" x14ac:dyDescent="0.25">
      <c r="B1179" s="11" t="str">
        <f>[1]Pokemon!C1179</f>
        <v>Kubfu</v>
      </c>
      <c r="C1179" s="11">
        <f>[1]Moves!B1179</f>
        <v>0</v>
      </c>
    </row>
    <row r="1180" spans="2:3" x14ac:dyDescent="0.25">
      <c r="B1180" s="11" t="str">
        <f>[1]Pokemon!C1180</f>
        <v>Urshifu Rapid Strike</v>
      </c>
      <c r="C1180" s="11">
        <f>[1]Moves!B1180</f>
        <v>0</v>
      </c>
    </row>
    <row r="1181" spans="2:3" x14ac:dyDescent="0.25">
      <c r="B1181" s="11" t="str">
        <f>[1]Pokemon!C1181</f>
        <v>Urshifu Rapid Strike Gmax</v>
      </c>
      <c r="C1181" s="11">
        <f>[1]Moves!B1181</f>
        <v>0</v>
      </c>
    </row>
    <row r="1182" spans="2:3" x14ac:dyDescent="0.25">
      <c r="B1182" s="11" t="str">
        <f>[1]Pokemon!C1182</f>
        <v>Urshifu Single Strike</v>
      </c>
      <c r="C1182" s="11">
        <f>[1]Moves!B1182</f>
        <v>0</v>
      </c>
    </row>
    <row r="1183" spans="2:3" x14ac:dyDescent="0.25">
      <c r="B1183" s="11" t="str">
        <f>[1]Pokemon!C1183</f>
        <v>Urshifu Single Strike Gmax</v>
      </c>
      <c r="C1183" s="11">
        <f>[1]Moves!B1183</f>
        <v>0</v>
      </c>
    </row>
    <row r="1184" spans="2:3" x14ac:dyDescent="0.25">
      <c r="B1184" s="11" t="str">
        <f>[1]Pokemon!C1184</f>
        <v>Zarude</v>
      </c>
      <c r="C1184" s="11">
        <f>[1]Moves!B1184</f>
        <v>0</v>
      </c>
    </row>
    <row r="1185" spans="2:3" x14ac:dyDescent="0.25">
      <c r="B1185" s="11" t="str">
        <f>[1]Pokemon!C1185</f>
        <v>Zarude Dada</v>
      </c>
      <c r="C1185" s="11">
        <f>[1]Moves!B1185</f>
        <v>0</v>
      </c>
    </row>
    <row r="1186" spans="2:3" x14ac:dyDescent="0.25">
      <c r="B1186" s="11" t="str">
        <f>[1]Pokemon!C1186</f>
        <v>Regieleki</v>
      </c>
      <c r="C1186" s="11">
        <f>[1]Moves!B1186</f>
        <v>0</v>
      </c>
    </row>
    <row r="1187" spans="2:3" x14ac:dyDescent="0.25">
      <c r="B1187" s="11" t="str">
        <f>[1]Pokemon!C1187</f>
        <v>Regidrago</v>
      </c>
      <c r="C1187" s="11">
        <f>[1]Moves!B1187</f>
        <v>0</v>
      </c>
    </row>
    <row r="1188" spans="2:3" x14ac:dyDescent="0.25">
      <c r="B1188" s="11" t="str">
        <f>[1]Pokemon!C1188</f>
        <v>Glastrier</v>
      </c>
      <c r="C1188" s="11">
        <f>[1]Moves!B1188</f>
        <v>0</v>
      </c>
    </row>
    <row r="1189" spans="2:3" x14ac:dyDescent="0.25">
      <c r="B1189" s="11" t="str">
        <f>[1]Pokemon!C1189</f>
        <v>Spectrier</v>
      </c>
      <c r="C1189" s="11">
        <f>[1]Moves!B1189</f>
        <v>0</v>
      </c>
    </row>
    <row r="1190" spans="2:3" x14ac:dyDescent="0.25">
      <c r="B1190" s="11" t="str">
        <f>[1]Pokemon!C1190</f>
        <v>Calyrex</v>
      </c>
      <c r="C1190" s="11">
        <f>[1]Moves!B1190</f>
        <v>0</v>
      </c>
    </row>
    <row r="1191" spans="2:3" x14ac:dyDescent="0.25">
      <c r="B1191" s="11" t="str">
        <f>[1]Pokemon!C1191</f>
        <v>Calyrex Ice</v>
      </c>
      <c r="C1191" s="11">
        <f>[1]Moves!B1191</f>
        <v>0</v>
      </c>
    </row>
    <row r="1192" spans="2:3" x14ac:dyDescent="0.25">
      <c r="B1192" s="11" t="str">
        <f>[1]Pokemon!C1192</f>
        <v>Calyrex Shadow</v>
      </c>
      <c r="C1192" s="11">
        <f>[1]Moves!B1192</f>
        <v>0</v>
      </c>
    </row>
    <row r="1193" spans="2:3" x14ac:dyDescent="0.25">
      <c r="B1193" s="11" t="str">
        <f>[1]Pokemon!C1193</f>
        <v>Wyrdeer</v>
      </c>
      <c r="C1193" s="11">
        <f>[1]Moves!B1193</f>
        <v>0</v>
      </c>
    </row>
    <row r="1194" spans="2:3" x14ac:dyDescent="0.25">
      <c r="B1194" s="11" t="str">
        <f>[1]Pokemon!C1194</f>
        <v>Kleavor</v>
      </c>
      <c r="C1194" s="11">
        <f>[1]Moves!B1194</f>
        <v>0</v>
      </c>
    </row>
    <row r="1195" spans="2:3" x14ac:dyDescent="0.25">
      <c r="B1195" s="11" t="str">
        <f>[1]Pokemon!C1195</f>
        <v>Ursaluna</v>
      </c>
      <c r="C1195" s="11">
        <f>[1]Moves!B1195</f>
        <v>0</v>
      </c>
    </row>
    <row r="1196" spans="2:3" x14ac:dyDescent="0.25">
      <c r="B1196" s="11" t="str">
        <f>[1]Pokemon!C1196</f>
        <v>Ursaluna Bloodmoon</v>
      </c>
      <c r="C1196" s="11">
        <f>[1]Moves!B1196</f>
        <v>0</v>
      </c>
    </row>
    <row r="1197" spans="2:3" x14ac:dyDescent="0.25">
      <c r="B1197" s="11" t="str">
        <f>[1]Pokemon!C1197</f>
        <v>Basculegion Female</v>
      </c>
      <c r="C1197" s="11">
        <f>[1]Moves!B1197</f>
        <v>0</v>
      </c>
    </row>
    <row r="1198" spans="2:3" x14ac:dyDescent="0.25">
      <c r="B1198" s="11" t="str">
        <f>[1]Pokemon!C1198</f>
        <v>Basculegion Male</v>
      </c>
      <c r="C1198" s="11">
        <f>[1]Moves!B1198</f>
        <v>0</v>
      </c>
    </row>
    <row r="1199" spans="2:3" x14ac:dyDescent="0.25">
      <c r="B1199" s="11" t="str">
        <f>[1]Pokemon!C1199</f>
        <v>Sneasler</v>
      </c>
      <c r="C1199" s="11">
        <f>[1]Moves!B1199</f>
        <v>0</v>
      </c>
    </row>
    <row r="1200" spans="2:3" x14ac:dyDescent="0.25">
      <c r="B1200" s="11" t="str">
        <f>[1]Pokemon!C1200</f>
        <v>Overqwil</v>
      </c>
      <c r="C1200" s="11">
        <f>[1]Moves!B1200</f>
        <v>0</v>
      </c>
    </row>
    <row r="1201" spans="2:3" x14ac:dyDescent="0.25">
      <c r="B1201" s="11" t="str">
        <f>[1]Pokemon!C1201</f>
        <v>Enamorus Incarnate</v>
      </c>
      <c r="C1201" s="11">
        <f>[1]Moves!B1201</f>
        <v>0</v>
      </c>
    </row>
    <row r="1202" spans="2:3" x14ac:dyDescent="0.25">
      <c r="B1202" s="11" t="str">
        <f>[1]Pokemon!C1202</f>
        <v>Enamorus Therian</v>
      </c>
      <c r="C1202" s="11">
        <f>[1]Moves!B1202</f>
        <v>0</v>
      </c>
    </row>
    <row r="1203" spans="2:3" x14ac:dyDescent="0.25">
      <c r="B1203" s="11" t="str">
        <f>[1]Pokemon!C1203</f>
        <v>Sprigatito</v>
      </c>
      <c r="C1203" s="11">
        <f>[1]Moves!B1203</f>
        <v>0</v>
      </c>
    </row>
    <row r="1204" spans="2:3" x14ac:dyDescent="0.25">
      <c r="B1204" s="11" t="str">
        <f>[1]Pokemon!C1204</f>
        <v>Floragato</v>
      </c>
      <c r="C1204" s="11">
        <f>[1]Moves!B1204</f>
        <v>0</v>
      </c>
    </row>
    <row r="1205" spans="2:3" x14ac:dyDescent="0.25">
      <c r="B1205" s="11" t="str">
        <f>[1]Pokemon!C1205</f>
        <v>Meowscarada</v>
      </c>
      <c r="C1205" s="11">
        <f>[1]Moves!B1205</f>
        <v>0</v>
      </c>
    </row>
    <row r="1206" spans="2:3" x14ac:dyDescent="0.25">
      <c r="B1206" s="11" t="str">
        <f>[1]Pokemon!C1206</f>
        <v>Fuecoco</v>
      </c>
      <c r="C1206" s="11">
        <f>[1]Moves!B1206</f>
        <v>0</v>
      </c>
    </row>
    <row r="1207" spans="2:3" x14ac:dyDescent="0.25">
      <c r="B1207" s="11" t="str">
        <f>[1]Pokemon!C1207</f>
        <v>Crocalor</v>
      </c>
      <c r="C1207" s="11">
        <f>[1]Moves!B1207</f>
        <v>0</v>
      </c>
    </row>
    <row r="1208" spans="2:3" x14ac:dyDescent="0.25">
      <c r="B1208" s="11" t="str">
        <f>[1]Pokemon!C1208</f>
        <v>Skeledirge</v>
      </c>
      <c r="C1208" s="11">
        <f>[1]Moves!B1208</f>
        <v>0</v>
      </c>
    </row>
    <row r="1209" spans="2:3" x14ac:dyDescent="0.25">
      <c r="B1209" s="11" t="str">
        <f>[1]Pokemon!C1209</f>
        <v>Quaxly</v>
      </c>
      <c r="C1209" s="11">
        <f>[1]Moves!B1209</f>
        <v>0</v>
      </c>
    </row>
    <row r="1210" spans="2:3" x14ac:dyDescent="0.25">
      <c r="B1210" s="11" t="str">
        <f>[1]Pokemon!C1210</f>
        <v>Quaxwell</v>
      </c>
      <c r="C1210" s="11">
        <f>[1]Moves!B1210</f>
        <v>0</v>
      </c>
    </row>
    <row r="1211" spans="2:3" x14ac:dyDescent="0.25">
      <c r="B1211" s="11" t="str">
        <f>[1]Pokemon!C1211</f>
        <v>Quaquaval</v>
      </c>
      <c r="C1211" s="11">
        <f>[1]Moves!B1211</f>
        <v>0</v>
      </c>
    </row>
    <row r="1212" spans="2:3" x14ac:dyDescent="0.25">
      <c r="B1212" s="11" t="str">
        <f>[1]Pokemon!C1212</f>
        <v>Lechonk</v>
      </c>
      <c r="C1212" s="11">
        <f>[1]Moves!B1212</f>
        <v>0</v>
      </c>
    </row>
    <row r="1213" spans="2:3" x14ac:dyDescent="0.25">
      <c r="B1213" s="11" t="str">
        <f>[1]Pokemon!C1213</f>
        <v>Oinkologne Female</v>
      </c>
      <c r="C1213" s="11">
        <f>[1]Moves!B1213</f>
        <v>0</v>
      </c>
    </row>
    <row r="1214" spans="2:3" x14ac:dyDescent="0.25">
      <c r="B1214" s="11" t="str">
        <f>[1]Pokemon!C1214</f>
        <v>Oinkologne Male</v>
      </c>
      <c r="C1214" s="11">
        <f>[1]Moves!B1214</f>
        <v>0</v>
      </c>
    </row>
    <row r="1215" spans="2:3" x14ac:dyDescent="0.25">
      <c r="B1215" s="11" t="str">
        <f>[1]Pokemon!C1215</f>
        <v>Tarountula</v>
      </c>
      <c r="C1215" s="11">
        <f>[1]Moves!B1215</f>
        <v>0</v>
      </c>
    </row>
    <row r="1216" spans="2:3" x14ac:dyDescent="0.25">
      <c r="B1216" s="11" t="str">
        <f>[1]Pokemon!C1216</f>
        <v>Spidops</v>
      </c>
      <c r="C1216" s="11">
        <f>[1]Moves!B1216</f>
        <v>0</v>
      </c>
    </row>
    <row r="1217" spans="2:3" x14ac:dyDescent="0.25">
      <c r="B1217" s="11" t="str">
        <f>[1]Pokemon!C1217</f>
        <v>Nymble</v>
      </c>
      <c r="C1217" s="11">
        <f>[1]Moves!B1217</f>
        <v>0</v>
      </c>
    </row>
    <row r="1218" spans="2:3" x14ac:dyDescent="0.25">
      <c r="B1218" s="11" t="str">
        <f>[1]Pokemon!C1218</f>
        <v>Lokix</v>
      </c>
      <c r="C1218" s="11">
        <f>[1]Moves!B1218</f>
        <v>0</v>
      </c>
    </row>
    <row r="1219" spans="2:3" x14ac:dyDescent="0.25">
      <c r="B1219" s="11" t="str">
        <f>[1]Pokemon!C1219</f>
        <v>Pawmi</v>
      </c>
      <c r="C1219" s="11">
        <f>[1]Moves!B1219</f>
        <v>0</v>
      </c>
    </row>
    <row r="1220" spans="2:3" x14ac:dyDescent="0.25">
      <c r="B1220" s="11" t="str">
        <f>[1]Pokemon!C1220</f>
        <v>Pawmo</v>
      </c>
      <c r="C1220" s="11">
        <f>[1]Moves!B1220</f>
        <v>0</v>
      </c>
    </row>
    <row r="1221" spans="2:3" x14ac:dyDescent="0.25">
      <c r="B1221" s="11" t="str">
        <f>[1]Pokemon!C1221</f>
        <v>Pawmot</v>
      </c>
      <c r="C1221" s="11">
        <f>[1]Moves!B1221</f>
        <v>0</v>
      </c>
    </row>
    <row r="1222" spans="2:3" x14ac:dyDescent="0.25">
      <c r="B1222" s="11" t="str">
        <f>[1]Pokemon!C1222</f>
        <v>Tandemaus</v>
      </c>
      <c r="C1222" s="11">
        <f>[1]Moves!B1222</f>
        <v>0</v>
      </c>
    </row>
    <row r="1223" spans="2:3" x14ac:dyDescent="0.25">
      <c r="B1223" s="11" t="str">
        <f>[1]Pokemon!C1223</f>
        <v>Maushold Family Of Four</v>
      </c>
      <c r="C1223" s="11">
        <f>[1]Moves!B1223</f>
        <v>0</v>
      </c>
    </row>
    <row r="1224" spans="2:3" x14ac:dyDescent="0.25">
      <c r="B1224" s="11" t="str">
        <f>[1]Pokemon!C1224</f>
        <v>Maushold Family Of Three</v>
      </c>
      <c r="C1224" s="11">
        <f>[1]Moves!B1224</f>
        <v>0</v>
      </c>
    </row>
    <row r="1225" spans="2:3" x14ac:dyDescent="0.25">
      <c r="B1225" s="11" t="str">
        <f>[1]Pokemon!C1225</f>
        <v>Fidough</v>
      </c>
      <c r="C1225" s="11">
        <f>[1]Moves!B1225</f>
        <v>0</v>
      </c>
    </row>
    <row r="1226" spans="2:3" x14ac:dyDescent="0.25">
      <c r="B1226" s="11" t="str">
        <f>[1]Pokemon!C1226</f>
        <v>Dachsbun</v>
      </c>
      <c r="C1226" s="11">
        <f>[1]Moves!B1226</f>
        <v>0</v>
      </c>
    </row>
    <row r="1227" spans="2:3" x14ac:dyDescent="0.25">
      <c r="B1227" s="11" t="str">
        <f>[1]Pokemon!C1227</f>
        <v>Smoliv</v>
      </c>
      <c r="C1227" s="11">
        <f>[1]Moves!B1227</f>
        <v>0</v>
      </c>
    </row>
    <row r="1228" spans="2:3" x14ac:dyDescent="0.25">
      <c r="B1228" s="11" t="str">
        <f>[1]Pokemon!C1228</f>
        <v>Dolliv</v>
      </c>
      <c r="C1228" s="11">
        <f>[1]Moves!B1228</f>
        <v>0</v>
      </c>
    </row>
    <row r="1229" spans="2:3" x14ac:dyDescent="0.25">
      <c r="B1229" s="11" t="str">
        <f>[1]Pokemon!C1229</f>
        <v>Arboliva</v>
      </c>
      <c r="C1229" s="11">
        <f>[1]Moves!B1229</f>
        <v>0</v>
      </c>
    </row>
    <row r="1230" spans="2:3" x14ac:dyDescent="0.25">
      <c r="B1230" s="11" t="str">
        <f>[1]Pokemon!C1230</f>
        <v>Squawkabilly Blue Plumage</v>
      </c>
      <c r="C1230" s="11">
        <f>[1]Moves!B1230</f>
        <v>0</v>
      </c>
    </row>
    <row r="1231" spans="2:3" x14ac:dyDescent="0.25">
      <c r="B1231" s="11" t="str">
        <f>[1]Pokemon!C1231</f>
        <v>Squawkabilly Green Plumage</v>
      </c>
      <c r="C1231" s="11">
        <f>[1]Moves!B1231</f>
        <v>0</v>
      </c>
    </row>
    <row r="1232" spans="2:3" x14ac:dyDescent="0.25">
      <c r="B1232" s="11" t="str">
        <f>[1]Pokemon!C1232</f>
        <v>Squawkabilly White Plumage</v>
      </c>
      <c r="C1232" s="11">
        <f>[1]Moves!B1232</f>
        <v>0</v>
      </c>
    </row>
    <row r="1233" spans="2:3" x14ac:dyDescent="0.25">
      <c r="B1233" s="11" t="str">
        <f>[1]Pokemon!C1233</f>
        <v>Squawkabilly Yellow Plumage</v>
      </c>
      <c r="C1233" s="11">
        <f>[1]Moves!B1233</f>
        <v>0</v>
      </c>
    </row>
    <row r="1234" spans="2:3" x14ac:dyDescent="0.25">
      <c r="B1234" s="11" t="str">
        <f>[1]Pokemon!C1234</f>
        <v>Nacli</v>
      </c>
      <c r="C1234" s="11">
        <f>[1]Moves!B1234</f>
        <v>0</v>
      </c>
    </row>
    <row r="1235" spans="2:3" x14ac:dyDescent="0.25">
      <c r="B1235" s="11" t="str">
        <f>[1]Pokemon!C1235</f>
        <v>Naclstack</v>
      </c>
      <c r="C1235" s="11">
        <f>[1]Moves!B1235</f>
        <v>0</v>
      </c>
    </row>
    <row r="1236" spans="2:3" x14ac:dyDescent="0.25">
      <c r="B1236" s="11" t="str">
        <f>[1]Pokemon!C1236</f>
        <v>Garganacl</v>
      </c>
      <c r="C1236" s="11">
        <f>[1]Moves!B1236</f>
        <v>0</v>
      </c>
    </row>
    <row r="1237" spans="2:3" x14ac:dyDescent="0.25">
      <c r="B1237" s="11" t="str">
        <f>[1]Pokemon!C1237</f>
        <v>Charcadet</v>
      </c>
      <c r="C1237" s="11">
        <f>[1]Moves!B1237</f>
        <v>0</v>
      </c>
    </row>
    <row r="1238" spans="2:3" x14ac:dyDescent="0.25">
      <c r="B1238" s="11" t="str">
        <f>[1]Pokemon!C1238</f>
        <v>Armarouge</v>
      </c>
      <c r="C1238" s="11">
        <f>[1]Moves!B1238</f>
        <v>0</v>
      </c>
    </row>
    <row r="1239" spans="2:3" x14ac:dyDescent="0.25">
      <c r="B1239" s="11" t="str">
        <f>[1]Pokemon!C1239</f>
        <v>Ceruledge</v>
      </c>
      <c r="C1239" s="11">
        <f>[1]Moves!B1239</f>
        <v>0</v>
      </c>
    </row>
    <row r="1240" spans="2:3" x14ac:dyDescent="0.25">
      <c r="B1240" s="11" t="str">
        <f>[1]Pokemon!C1240</f>
        <v>Tadbulb</v>
      </c>
      <c r="C1240" s="11">
        <f>[1]Moves!B1240</f>
        <v>0</v>
      </c>
    </row>
    <row r="1241" spans="2:3" x14ac:dyDescent="0.25">
      <c r="B1241" s="11" t="str">
        <f>[1]Pokemon!C1241</f>
        <v>Bellibolt</v>
      </c>
      <c r="C1241" s="11">
        <f>[1]Moves!B1241</f>
        <v>0</v>
      </c>
    </row>
    <row r="1242" spans="2:3" x14ac:dyDescent="0.25">
      <c r="B1242" s="11" t="str">
        <f>[1]Pokemon!C1242</f>
        <v>Wattrel</v>
      </c>
      <c r="C1242" s="11">
        <f>[1]Moves!B1242</f>
        <v>0</v>
      </c>
    </row>
    <row r="1243" spans="2:3" x14ac:dyDescent="0.25">
      <c r="B1243" s="11" t="str">
        <f>[1]Pokemon!C1243</f>
        <v>Kilowattrel</v>
      </c>
      <c r="C1243" s="11">
        <f>[1]Moves!B1243</f>
        <v>0</v>
      </c>
    </row>
    <row r="1244" spans="2:3" x14ac:dyDescent="0.25">
      <c r="B1244" s="11" t="str">
        <f>[1]Pokemon!C1244</f>
        <v>Maschiff</v>
      </c>
      <c r="C1244" s="11">
        <f>[1]Moves!B1244</f>
        <v>0</v>
      </c>
    </row>
    <row r="1245" spans="2:3" x14ac:dyDescent="0.25">
      <c r="B1245" s="11" t="str">
        <f>[1]Pokemon!C1245</f>
        <v>Mabosstiff</v>
      </c>
      <c r="C1245" s="11">
        <f>[1]Moves!B1245</f>
        <v>0</v>
      </c>
    </row>
    <row r="1246" spans="2:3" x14ac:dyDescent="0.25">
      <c r="B1246" s="11" t="str">
        <f>[1]Pokemon!C1246</f>
        <v>Shroodle</v>
      </c>
      <c r="C1246" s="11">
        <f>[1]Moves!B1246</f>
        <v>0</v>
      </c>
    </row>
    <row r="1247" spans="2:3" x14ac:dyDescent="0.25">
      <c r="B1247" s="11" t="str">
        <f>[1]Pokemon!C1247</f>
        <v>Grafaiai</v>
      </c>
      <c r="C1247" s="11">
        <f>[1]Moves!B1247</f>
        <v>0</v>
      </c>
    </row>
    <row r="1248" spans="2:3" x14ac:dyDescent="0.25">
      <c r="B1248" s="11" t="str">
        <f>[1]Pokemon!C1248</f>
        <v>Bramblin</v>
      </c>
      <c r="C1248" s="11">
        <f>[1]Moves!B1248</f>
        <v>0</v>
      </c>
    </row>
    <row r="1249" spans="2:3" x14ac:dyDescent="0.25">
      <c r="B1249" s="11" t="str">
        <f>[1]Pokemon!C1249</f>
        <v>Brambleghast</v>
      </c>
      <c r="C1249" s="11">
        <f>[1]Moves!B1249</f>
        <v>0</v>
      </c>
    </row>
    <row r="1250" spans="2:3" x14ac:dyDescent="0.25">
      <c r="B1250" s="11" t="str">
        <f>[1]Pokemon!C1250</f>
        <v>Toedscool</v>
      </c>
      <c r="C1250" s="11">
        <f>[1]Moves!B1250</f>
        <v>0</v>
      </c>
    </row>
    <row r="1251" spans="2:3" x14ac:dyDescent="0.25">
      <c r="B1251" s="11" t="str">
        <f>[1]Pokemon!C1251</f>
        <v>Toedscruel</v>
      </c>
      <c r="C1251" s="11">
        <f>[1]Moves!B1251</f>
        <v>0</v>
      </c>
    </row>
    <row r="1252" spans="2:3" x14ac:dyDescent="0.25">
      <c r="B1252" s="11" t="str">
        <f>[1]Pokemon!C1252</f>
        <v>Klawf</v>
      </c>
      <c r="C1252" s="11">
        <f>[1]Moves!B1252</f>
        <v>0</v>
      </c>
    </row>
    <row r="1253" spans="2:3" x14ac:dyDescent="0.25">
      <c r="B1253" s="11" t="str">
        <f>[1]Pokemon!C1253</f>
        <v>Capsakid</v>
      </c>
      <c r="C1253" s="11">
        <f>[1]Moves!B1253</f>
        <v>0</v>
      </c>
    </row>
    <row r="1254" spans="2:3" x14ac:dyDescent="0.25">
      <c r="B1254" s="11" t="str">
        <f>[1]Pokemon!C1254</f>
        <v>Scovillain</v>
      </c>
      <c r="C1254" s="11">
        <f>[1]Moves!B1254</f>
        <v>0</v>
      </c>
    </row>
    <row r="1255" spans="2:3" x14ac:dyDescent="0.25">
      <c r="B1255" s="11" t="str">
        <f>[1]Pokemon!C1255</f>
        <v>Scovillain Mega</v>
      </c>
      <c r="C1255" s="11">
        <f>[1]Moves!B1255</f>
        <v>0</v>
      </c>
    </row>
    <row r="1256" spans="2:3" x14ac:dyDescent="0.25">
      <c r="B1256" s="11" t="str">
        <f>[1]Pokemon!C1256</f>
        <v>Rellor</v>
      </c>
      <c r="C1256" s="11">
        <f>[1]Moves!B1256</f>
        <v>0</v>
      </c>
    </row>
    <row r="1257" spans="2:3" x14ac:dyDescent="0.25">
      <c r="B1257" s="11" t="str">
        <f>[1]Pokemon!C1257</f>
        <v>Rabsca</v>
      </c>
      <c r="C1257" s="11">
        <f>[1]Moves!B1257</f>
        <v>0</v>
      </c>
    </row>
    <row r="1258" spans="2:3" x14ac:dyDescent="0.25">
      <c r="B1258" s="11" t="str">
        <f>[1]Pokemon!C1258</f>
        <v>Flittle</v>
      </c>
      <c r="C1258" s="11">
        <f>[1]Moves!B1258</f>
        <v>0</v>
      </c>
    </row>
    <row r="1259" spans="2:3" x14ac:dyDescent="0.25">
      <c r="B1259" s="11" t="str">
        <f>[1]Pokemon!C1259</f>
        <v>Espathra</v>
      </c>
      <c r="C1259" s="11">
        <f>[1]Moves!B1259</f>
        <v>0</v>
      </c>
    </row>
    <row r="1260" spans="2:3" x14ac:dyDescent="0.25">
      <c r="B1260" s="11" t="str">
        <f>[1]Pokemon!C1260</f>
        <v>Tinkatink</v>
      </c>
      <c r="C1260" s="11">
        <f>[1]Moves!B1260</f>
        <v>0</v>
      </c>
    </row>
    <row r="1261" spans="2:3" x14ac:dyDescent="0.25">
      <c r="B1261" s="11" t="str">
        <f>[1]Pokemon!C1261</f>
        <v>Tinkatuff</v>
      </c>
      <c r="C1261" s="11">
        <f>[1]Moves!B1261</f>
        <v>0</v>
      </c>
    </row>
    <row r="1262" spans="2:3" x14ac:dyDescent="0.25">
      <c r="B1262" s="11" t="str">
        <f>[1]Pokemon!C1262</f>
        <v>Tinkaton</v>
      </c>
      <c r="C1262" s="11">
        <f>[1]Moves!B1262</f>
        <v>0</v>
      </c>
    </row>
    <row r="1263" spans="2:3" x14ac:dyDescent="0.25">
      <c r="B1263" s="11" t="str">
        <f>[1]Pokemon!C1263</f>
        <v>Wiglett</v>
      </c>
      <c r="C1263" s="11">
        <f>[1]Moves!B1263</f>
        <v>0</v>
      </c>
    </row>
    <row r="1264" spans="2:3" x14ac:dyDescent="0.25">
      <c r="B1264" s="11" t="str">
        <f>[1]Pokemon!C1264</f>
        <v>Wugtrio</v>
      </c>
      <c r="C1264" s="11">
        <f>[1]Moves!B1264</f>
        <v>0</v>
      </c>
    </row>
    <row r="1265" spans="2:3" x14ac:dyDescent="0.25">
      <c r="B1265" s="11" t="str">
        <f>[1]Pokemon!C1265</f>
        <v>Bombirdier</v>
      </c>
      <c r="C1265" s="11">
        <f>[1]Moves!B1265</f>
        <v>0</v>
      </c>
    </row>
    <row r="1266" spans="2:3" x14ac:dyDescent="0.25">
      <c r="B1266" s="11" t="str">
        <f>[1]Pokemon!C1266</f>
        <v>Finizen</v>
      </c>
      <c r="C1266" s="11">
        <f>[1]Moves!B1266</f>
        <v>0</v>
      </c>
    </row>
    <row r="1267" spans="2:3" x14ac:dyDescent="0.25">
      <c r="B1267" s="11" t="str">
        <f>[1]Pokemon!C1267</f>
        <v>Palafin Hero</v>
      </c>
      <c r="C1267" s="11">
        <f>[1]Moves!B1267</f>
        <v>0</v>
      </c>
    </row>
    <row r="1268" spans="2:3" x14ac:dyDescent="0.25">
      <c r="B1268" s="11" t="str">
        <f>[1]Pokemon!C1268</f>
        <v>Palafin Zero</v>
      </c>
      <c r="C1268" s="11">
        <f>[1]Moves!B1268</f>
        <v>0</v>
      </c>
    </row>
    <row r="1269" spans="2:3" x14ac:dyDescent="0.25">
      <c r="B1269" s="11" t="str">
        <f>[1]Pokemon!C1269</f>
        <v>Varoom</v>
      </c>
      <c r="C1269" s="11">
        <f>[1]Moves!B1269</f>
        <v>0</v>
      </c>
    </row>
    <row r="1270" spans="2:3" x14ac:dyDescent="0.25">
      <c r="B1270" s="11" t="str">
        <f>[1]Pokemon!C1270</f>
        <v>Revavroom</v>
      </c>
      <c r="C1270" s="11">
        <f>[1]Moves!B1270</f>
        <v>0</v>
      </c>
    </row>
    <row r="1271" spans="2:3" x14ac:dyDescent="0.25">
      <c r="B1271" s="11" t="str">
        <f>[1]Pokemon!C1271</f>
        <v>Cyclizar</v>
      </c>
      <c r="C1271" s="11">
        <f>[1]Moves!B1271</f>
        <v>0</v>
      </c>
    </row>
    <row r="1272" spans="2:3" x14ac:dyDescent="0.25">
      <c r="B1272" s="11" t="str">
        <f>[1]Pokemon!C1272</f>
        <v>Orthworm</v>
      </c>
      <c r="C1272" s="11">
        <f>[1]Moves!B1272</f>
        <v>0</v>
      </c>
    </row>
    <row r="1273" spans="2:3" x14ac:dyDescent="0.25">
      <c r="B1273" s="11" t="str">
        <f>[1]Pokemon!C1273</f>
        <v>Glimmet</v>
      </c>
      <c r="C1273" s="11">
        <f>[1]Moves!B1273</f>
        <v>0</v>
      </c>
    </row>
    <row r="1274" spans="2:3" x14ac:dyDescent="0.25">
      <c r="B1274" s="11" t="str">
        <f>[1]Pokemon!C1274</f>
        <v>Glimmora</v>
      </c>
      <c r="C1274" s="11">
        <f>[1]Moves!B1274</f>
        <v>0</v>
      </c>
    </row>
    <row r="1275" spans="2:3" x14ac:dyDescent="0.25">
      <c r="B1275" s="11" t="str">
        <f>[1]Pokemon!C1275</f>
        <v>Glimmora Mega</v>
      </c>
      <c r="C1275" s="11">
        <f>[1]Moves!B1275</f>
        <v>0</v>
      </c>
    </row>
    <row r="1276" spans="2:3" x14ac:dyDescent="0.25">
      <c r="B1276" s="11" t="str">
        <f>[1]Pokemon!C1276</f>
        <v>Greavard</v>
      </c>
      <c r="C1276" s="11">
        <f>[1]Moves!B1276</f>
        <v>0</v>
      </c>
    </row>
    <row r="1277" spans="2:3" x14ac:dyDescent="0.25">
      <c r="B1277" s="11" t="str">
        <f>[1]Pokemon!C1277</f>
        <v>Houndstone</v>
      </c>
      <c r="C1277" s="11">
        <f>[1]Moves!B1277</f>
        <v>0</v>
      </c>
    </row>
    <row r="1278" spans="2:3" x14ac:dyDescent="0.25">
      <c r="B1278" s="11" t="str">
        <f>[1]Pokemon!C1278</f>
        <v>Flamigo</v>
      </c>
      <c r="C1278" s="11">
        <f>[1]Moves!B1278</f>
        <v>0</v>
      </c>
    </row>
    <row r="1279" spans="2:3" x14ac:dyDescent="0.25">
      <c r="B1279" s="11" t="str">
        <f>[1]Pokemon!C1279</f>
        <v>Cetoddle</v>
      </c>
      <c r="C1279" s="11">
        <f>[1]Moves!B1279</f>
        <v>0</v>
      </c>
    </row>
    <row r="1280" spans="2:3" x14ac:dyDescent="0.25">
      <c r="B1280" s="11" t="str">
        <f>[1]Pokemon!C1280</f>
        <v>Cetitan</v>
      </c>
      <c r="C1280" s="11">
        <f>[1]Moves!B1280</f>
        <v>0</v>
      </c>
    </row>
    <row r="1281" spans="2:3" x14ac:dyDescent="0.25">
      <c r="B1281" s="11" t="str">
        <f>[1]Pokemon!C1281</f>
        <v>Veluza</v>
      </c>
      <c r="C1281" s="11">
        <f>[1]Moves!B1281</f>
        <v>0</v>
      </c>
    </row>
    <row r="1282" spans="2:3" x14ac:dyDescent="0.25">
      <c r="B1282" s="11" t="str">
        <f>[1]Pokemon!C1282</f>
        <v>Dondozo</v>
      </c>
      <c r="C1282" s="11">
        <f>[1]Moves!B1282</f>
        <v>0</v>
      </c>
    </row>
    <row r="1283" spans="2:3" x14ac:dyDescent="0.25">
      <c r="B1283" s="11" t="str">
        <f>[1]Pokemon!C1283</f>
        <v>Tatsugiri Curly</v>
      </c>
      <c r="C1283" s="11">
        <f>[1]Moves!B1283</f>
        <v>0</v>
      </c>
    </row>
    <row r="1284" spans="2:3" x14ac:dyDescent="0.25">
      <c r="B1284" s="11" t="str">
        <f>[1]Pokemon!C1284</f>
        <v>Tatsugiri Curly Mega</v>
      </c>
      <c r="C1284" s="11">
        <f>[1]Moves!B1284</f>
        <v>0</v>
      </c>
    </row>
    <row r="1285" spans="2:3" x14ac:dyDescent="0.25">
      <c r="B1285" s="11" t="str">
        <f>[1]Pokemon!C1285</f>
        <v>Tatsugiri Droopy</v>
      </c>
      <c r="C1285" s="11">
        <f>[1]Moves!B1285</f>
        <v>0</v>
      </c>
    </row>
    <row r="1286" spans="2:3" x14ac:dyDescent="0.25">
      <c r="B1286" s="11" t="str">
        <f>[1]Pokemon!C1286</f>
        <v>Tatsugiri Droopy Mega</v>
      </c>
      <c r="C1286" s="11">
        <f>[1]Moves!B1286</f>
        <v>0</v>
      </c>
    </row>
    <row r="1287" spans="2:3" x14ac:dyDescent="0.25">
      <c r="B1287" s="11" t="str">
        <f>[1]Pokemon!C1287</f>
        <v>Tatsugiri Stretchy</v>
      </c>
      <c r="C1287" s="11">
        <f>[1]Moves!B1287</f>
        <v>0</v>
      </c>
    </row>
    <row r="1288" spans="2:3" x14ac:dyDescent="0.25">
      <c r="B1288" s="11" t="str">
        <f>[1]Pokemon!C1288</f>
        <v>Tatsugiri Stretchy Mega</v>
      </c>
      <c r="C1288" s="11">
        <f>[1]Moves!B1288</f>
        <v>0</v>
      </c>
    </row>
    <row r="1289" spans="2:3" x14ac:dyDescent="0.25">
      <c r="B1289" s="11" t="str">
        <f>[1]Pokemon!C1289</f>
        <v>Annihilape</v>
      </c>
      <c r="C1289" s="11">
        <f>[1]Moves!B1289</f>
        <v>0</v>
      </c>
    </row>
    <row r="1290" spans="2:3" x14ac:dyDescent="0.25">
      <c r="B1290" s="11" t="str">
        <f>[1]Pokemon!C1290</f>
        <v>Clodsire</v>
      </c>
      <c r="C1290" s="11">
        <f>[1]Moves!B1290</f>
        <v>0</v>
      </c>
    </row>
    <row r="1291" spans="2:3" x14ac:dyDescent="0.25">
      <c r="B1291" s="11" t="str">
        <f>[1]Pokemon!C1291</f>
        <v>Farigiraf</v>
      </c>
      <c r="C1291" s="11">
        <f>[1]Moves!B1291</f>
        <v>0</v>
      </c>
    </row>
    <row r="1292" spans="2:3" x14ac:dyDescent="0.25">
      <c r="B1292" s="11" t="str">
        <f>[1]Pokemon!C1292</f>
        <v>Dudunsparce Three Segment</v>
      </c>
      <c r="C1292" s="11">
        <f>[1]Moves!B1292</f>
        <v>0</v>
      </c>
    </row>
    <row r="1293" spans="2:3" x14ac:dyDescent="0.25">
      <c r="B1293" s="11" t="str">
        <f>[1]Pokemon!C1293</f>
        <v>Dudunsparce Two Segment</v>
      </c>
      <c r="C1293" s="11">
        <f>[1]Moves!B1293</f>
        <v>0</v>
      </c>
    </row>
    <row r="1294" spans="2:3" x14ac:dyDescent="0.25">
      <c r="B1294" s="11" t="str">
        <f>[1]Pokemon!C1294</f>
        <v>Kingambit</v>
      </c>
      <c r="C1294" s="11">
        <f>[1]Moves!B1294</f>
        <v>0</v>
      </c>
    </row>
    <row r="1295" spans="2:3" x14ac:dyDescent="0.25">
      <c r="B1295" s="11" t="str">
        <f>[1]Pokemon!C1295</f>
        <v>Great Tusk</v>
      </c>
      <c r="C1295" s="11">
        <f>[1]Moves!B1295</f>
        <v>0</v>
      </c>
    </row>
    <row r="1296" spans="2:3" x14ac:dyDescent="0.25">
      <c r="B1296" s="11" t="str">
        <f>[1]Pokemon!C1296</f>
        <v>Scream Tail</v>
      </c>
      <c r="C1296" s="11">
        <f>[1]Moves!B1296</f>
        <v>0</v>
      </c>
    </row>
    <row r="1297" spans="2:3" x14ac:dyDescent="0.25">
      <c r="B1297" s="11" t="str">
        <f>[1]Pokemon!C1297</f>
        <v>Brute Bonnet</v>
      </c>
      <c r="C1297" s="11">
        <f>[1]Moves!B1297</f>
        <v>0</v>
      </c>
    </row>
    <row r="1298" spans="2:3" x14ac:dyDescent="0.25">
      <c r="B1298" s="11" t="str">
        <f>[1]Pokemon!C1298</f>
        <v>Flutter Mane</v>
      </c>
      <c r="C1298" s="11">
        <f>[1]Moves!B1298</f>
        <v>0</v>
      </c>
    </row>
    <row r="1299" spans="2:3" x14ac:dyDescent="0.25">
      <c r="B1299" s="11" t="str">
        <f>[1]Pokemon!C1299</f>
        <v>Slither Wing</v>
      </c>
      <c r="C1299" s="11">
        <f>[1]Moves!B1299</f>
        <v>0</v>
      </c>
    </row>
    <row r="1300" spans="2:3" x14ac:dyDescent="0.25">
      <c r="B1300" s="11" t="str">
        <f>[1]Pokemon!C1300</f>
        <v>Sandy Shocks</v>
      </c>
      <c r="C1300" s="11">
        <f>[1]Moves!B1300</f>
        <v>0</v>
      </c>
    </row>
    <row r="1301" spans="2:3" x14ac:dyDescent="0.25">
      <c r="B1301" s="11" t="str">
        <f>[1]Pokemon!C1301</f>
        <v>Iron Treads</v>
      </c>
      <c r="C1301" s="11">
        <f>[1]Moves!B1301</f>
        <v>0</v>
      </c>
    </row>
    <row r="1302" spans="2:3" x14ac:dyDescent="0.25">
      <c r="B1302" s="11" t="str">
        <f>[1]Pokemon!C1302</f>
        <v>Iron Bundle</v>
      </c>
      <c r="C1302" s="11">
        <f>[1]Moves!B1302</f>
        <v>0</v>
      </c>
    </row>
    <row r="1303" spans="2:3" x14ac:dyDescent="0.25">
      <c r="B1303" s="11" t="str">
        <f>[1]Pokemon!C1303</f>
        <v>Iron Hands</v>
      </c>
      <c r="C1303" s="11">
        <f>[1]Moves!B1303</f>
        <v>0</v>
      </c>
    </row>
    <row r="1304" spans="2:3" x14ac:dyDescent="0.25">
      <c r="B1304" s="11" t="str">
        <f>[1]Pokemon!C1304</f>
        <v>Iron Jugulis</v>
      </c>
      <c r="C1304" s="11">
        <f>[1]Moves!B1304</f>
        <v>0</v>
      </c>
    </row>
    <row r="1305" spans="2:3" x14ac:dyDescent="0.25">
      <c r="B1305" s="11" t="str">
        <f>[1]Pokemon!C1305</f>
        <v>Iron Moth</v>
      </c>
      <c r="C1305" s="11">
        <f>[1]Moves!B1305</f>
        <v>0</v>
      </c>
    </row>
    <row r="1306" spans="2:3" x14ac:dyDescent="0.25">
      <c r="B1306" s="11" t="str">
        <f>[1]Pokemon!C1306</f>
        <v>Iron Thorns</v>
      </c>
      <c r="C1306" s="11">
        <f>[1]Moves!B1306</f>
        <v>0</v>
      </c>
    </row>
    <row r="1307" spans="2:3" x14ac:dyDescent="0.25">
      <c r="B1307" s="11" t="str">
        <f>[1]Pokemon!C1307</f>
        <v>Frigibax</v>
      </c>
      <c r="C1307" s="11">
        <f>[1]Moves!B1307</f>
        <v>0</v>
      </c>
    </row>
    <row r="1308" spans="2:3" x14ac:dyDescent="0.25">
      <c r="B1308" s="11" t="str">
        <f>[1]Pokemon!C1308</f>
        <v>Arctibax</v>
      </c>
      <c r="C1308" s="11">
        <f>[1]Moves!B1308</f>
        <v>0</v>
      </c>
    </row>
    <row r="1309" spans="2:3" x14ac:dyDescent="0.25">
      <c r="B1309" s="11" t="str">
        <f>[1]Pokemon!C1309</f>
        <v>Baxcalibur</v>
      </c>
      <c r="C1309" s="11">
        <f>[1]Moves!B1309</f>
        <v>0</v>
      </c>
    </row>
    <row r="1310" spans="2:3" x14ac:dyDescent="0.25">
      <c r="B1310" s="11" t="str">
        <f>[1]Pokemon!C1310</f>
        <v>Baxcalibur Mega</v>
      </c>
      <c r="C1310" s="11">
        <f>[1]Moves!B1310</f>
        <v>0</v>
      </c>
    </row>
    <row r="1311" spans="2:3" x14ac:dyDescent="0.25">
      <c r="B1311" s="11" t="str">
        <f>[1]Pokemon!C1311</f>
        <v>Gimmighoul</v>
      </c>
      <c r="C1311" s="11">
        <f>[1]Moves!B1311</f>
        <v>0</v>
      </c>
    </row>
    <row r="1312" spans="2:3" x14ac:dyDescent="0.25">
      <c r="B1312" s="11" t="str">
        <f>[1]Pokemon!C1312</f>
        <v>Gimmighoul Roaming</v>
      </c>
      <c r="C1312" s="11">
        <f>[1]Moves!B1312</f>
        <v>0</v>
      </c>
    </row>
    <row r="1313" spans="2:3" x14ac:dyDescent="0.25">
      <c r="B1313" s="11" t="str">
        <f>[1]Pokemon!C1313</f>
        <v>Gholdengo</v>
      </c>
      <c r="C1313" s="11">
        <f>[1]Moves!B1313</f>
        <v>0</v>
      </c>
    </row>
    <row r="1314" spans="2:3" x14ac:dyDescent="0.25">
      <c r="B1314" s="11" t="str">
        <f>[1]Pokemon!C1314</f>
        <v>Wo Chien</v>
      </c>
      <c r="C1314" s="11">
        <f>[1]Moves!B1314</f>
        <v>0</v>
      </c>
    </row>
    <row r="1315" spans="2:3" x14ac:dyDescent="0.25">
      <c r="B1315" s="11" t="str">
        <f>[1]Pokemon!C1315</f>
        <v>Chien Pao</v>
      </c>
      <c r="C1315" s="11">
        <f>[1]Moves!B1315</f>
        <v>0</v>
      </c>
    </row>
    <row r="1316" spans="2:3" x14ac:dyDescent="0.25">
      <c r="B1316" s="11" t="str">
        <f>[1]Pokemon!C1316</f>
        <v>Ting Lu</v>
      </c>
      <c r="C1316" s="11">
        <f>[1]Moves!B1316</f>
        <v>0</v>
      </c>
    </row>
    <row r="1317" spans="2:3" x14ac:dyDescent="0.25">
      <c r="B1317" s="11" t="str">
        <f>[1]Pokemon!C1317</f>
        <v>Chi Yu</v>
      </c>
      <c r="C1317" s="11">
        <f>[1]Moves!B1317</f>
        <v>0</v>
      </c>
    </row>
    <row r="1318" spans="2:3" x14ac:dyDescent="0.25">
      <c r="B1318" s="11" t="str">
        <f>[1]Pokemon!C1318</f>
        <v>Roaring Moon</v>
      </c>
      <c r="C1318" s="11">
        <f>[1]Moves!B1318</f>
        <v>0</v>
      </c>
    </row>
    <row r="1319" spans="2:3" x14ac:dyDescent="0.25">
      <c r="B1319" s="11" t="str">
        <f>[1]Pokemon!C1319</f>
        <v>Iron Valiant</v>
      </c>
      <c r="C1319" s="11">
        <f>[1]Moves!B1319</f>
        <v>0</v>
      </c>
    </row>
    <row r="1320" spans="2:3" x14ac:dyDescent="0.25">
      <c r="B1320" s="11" t="str">
        <f>[1]Pokemon!C1320</f>
        <v>Koraidon</v>
      </c>
      <c r="C1320" s="11">
        <f>[1]Moves!B1320</f>
        <v>0</v>
      </c>
    </row>
    <row r="1321" spans="2:3" x14ac:dyDescent="0.25">
      <c r="B1321" s="11" t="str">
        <f>[1]Pokemon!C1321</f>
        <v>Koraidon Gliding Build</v>
      </c>
      <c r="C1321" s="11">
        <f>[1]Moves!B1321</f>
        <v>0</v>
      </c>
    </row>
    <row r="1322" spans="2:3" x14ac:dyDescent="0.25">
      <c r="B1322" s="11" t="str">
        <f>[1]Pokemon!C1322</f>
        <v>Koraidon Limited Build</v>
      </c>
      <c r="C1322" s="11">
        <f>[1]Moves!B1322</f>
        <v>0</v>
      </c>
    </row>
    <row r="1323" spans="2:3" x14ac:dyDescent="0.25">
      <c r="B1323" s="11" t="str">
        <f>[1]Pokemon!C1323</f>
        <v>Koraidon Sprinting Build</v>
      </c>
      <c r="C1323" s="11">
        <f>[1]Moves!B1323</f>
        <v>0</v>
      </c>
    </row>
    <row r="1324" spans="2:3" x14ac:dyDescent="0.25">
      <c r="B1324" s="11" t="str">
        <f>[1]Pokemon!C1324</f>
        <v>Koraidon Swimming Build</v>
      </c>
      <c r="C1324" s="11">
        <f>[1]Moves!B1324</f>
        <v>0</v>
      </c>
    </row>
    <row r="1325" spans="2:3" x14ac:dyDescent="0.25">
      <c r="B1325" s="11" t="str">
        <f>[1]Pokemon!C1325</f>
        <v>Miraidon</v>
      </c>
      <c r="C1325" s="11">
        <f>[1]Moves!B1325</f>
        <v>0</v>
      </c>
    </row>
    <row r="1326" spans="2:3" x14ac:dyDescent="0.25">
      <c r="B1326" s="11" t="str">
        <f>[1]Pokemon!C1326</f>
        <v>Miraidon Aquatic Mode</v>
      </c>
      <c r="C1326" s="11">
        <f>[1]Moves!B1326</f>
        <v>0</v>
      </c>
    </row>
    <row r="1327" spans="2:3" x14ac:dyDescent="0.25">
      <c r="B1327" s="11" t="str">
        <f>[1]Pokemon!C1327</f>
        <v>Miraidon Drive Mode</v>
      </c>
      <c r="C1327" s="11">
        <f>[1]Moves!B1327</f>
        <v>0</v>
      </c>
    </row>
    <row r="1328" spans="2:3" x14ac:dyDescent="0.25">
      <c r="B1328" s="11" t="str">
        <f>[1]Pokemon!C1328</f>
        <v>Miraidon Glide Mode</v>
      </c>
      <c r="C1328" s="11">
        <f>[1]Moves!B1328</f>
        <v>0</v>
      </c>
    </row>
    <row r="1329" spans="2:3" x14ac:dyDescent="0.25">
      <c r="B1329" s="11" t="str">
        <f>[1]Pokemon!C1329</f>
        <v>Miraidon Low Power Mode</v>
      </c>
      <c r="C1329" s="11">
        <f>[1]Moves!B1329</f>
        <v>0</v>
      </c>
    </row>
    <row r="1330" spans="2:3" x14ac:dyDescent="0.25">
      <c r="B1330" s="11" t="str">
        <f>[1]Pokemon!C1330</f>
        <v>Walking Wake</v>
      </c>
      <c r="C1330" s="11">
        <f>[1]Moves!B1330</f>
        <v>0</v>
      </c>
    </row>
    <row r="1331" spans="2:3" x14ac:dyDescent="0.25">
      <c r="B1331" s="11" t="str">
        <f>[1]Pokemon!C1331</f>
        <v>Iron Leaves</v>
      </c>
      <c r="C1331" s="11">
        <f>[1]Moves!B1331</f>
        <v>0</v>
      </c>
    </row>
    <row r="1332" spans="2:3" x14ac:dyDescent="0.25">
      <c r="B1332" s="11" t="str">
        <f>[1]Pokemon!C1332</f>
        <v>Dipplin</v>
      </c>
      <c r="C1332" s="11">
        <f>[1]Moves!B1332</f>
        <v>0</v>
      </c>
    </row>
    <row r="1333" spans="2:3" x14ac:dyDescent="0.25">
      <c r="B1333" s="11" t="str">
        <f>[1]Pokemon!C1333</f>
        <v>Poltchageist</v>
      </c>
      <c r="C1333" s="11">
        <f>[1]Moves!B1333</f>
        <v>0</v>
      </c>
    </row>
    <row r="1334" spans="2:3" x14ac:dyDescent="0.25">
      <c r="B1334" s="11" t="str">
        <f>[1]Pokemon!C1334</f>
        <v>Sinistcha</v>
      </c>
      <c r="C1334" s="11">
        <f>[1]Moves!B1334</f>
        <v>0</v>
      </c>
    </row>
    <row r="1335" spans="2:3" x14ac:dyDescent="0.25">
      <c r="B1335" s="11" t="str">
        <f>[1]Pokemon!C1335</f>
        <v>Okidogi</v>
      </c>
      <c r="C1335" s="11">
        <f>[1]Moves!B1335</f>
        <v>0</v>
      </c>
    </row>
    <row r="1336" spans="2:3" x14ac:dyDescent="0.25">
      <c r="B1336" s="11" t="str">
        <f>[1]Pokemon!C1336</f>
        <v>Munkidori</v>
      </c>
      <c r="C1336" s="11">
        <f>[1]Moves!B1336</f>
        <v>0</v>
      </c>
    </row>
    <row r="1337" spans="2:3" x14ac:dyDescent="0.25">
      <c r="B1337" s="11" t="str">
        <f>[1]Pokemon!C1337</f>
        <v>Fezandipiti</v>
      </c>
      <c r="C1337" s="11">
        <f>[1]Moves!B1337</f>
        <v>0</v>
      </c>
    </row>
    <row r="1338" spans="2:3" x14ac:dyDescent="0.25">
      <c r="B1338" s="11" t="str">
        <f>[1]Pokemon!C1338</f>
        <v>Ogerpon</v>
      </c>
      <c r="C1338" s="11">
        <f>[1]Moves!B1338</f>
        <v>0</v>
      </c>
    </row>
    <row r="1339" spans="2:3" x14ac:dyDescent="0.25">
      <c r="B1339" s="11" t="str">
        <f>[1]Pokemon!C1339</f>
        <v>Ogerpon Cornerstone Mask</v>
      </c>
      <c r="C1339" s="11">
        <f>[1]Moves!B1339</f>
        <v>0</v>
      </c>
    </row>
    <row r="1340" spans="2:3" x14ac:dyDescent="0.25">
      <c r="B1340" s="11" t="str">
        <f>[1]Pokemon!C1340</f>
        <v>Ogerpon Hearthflame Mask</v>
      </c>
      <c r="C1340" s="11">
        <f>[1]Moves!B1340</f>
        <v>0</v>
      </c>
    </row>
    <row r="1341" spans="2:3" x14ac:dyDescent="0.25">
      <c r="B1341" s="11" t="str">
        <f>[1]Pokemon!C1341</f>
        <v>Ogerpon Wellspring Mask</v>
      </c>
      <c r="C1341" s="11">
        <f>[1]Moves!B1341</f>
        <v>0</v>
      </c>
    </row>
    <row r="1342" spans="2:3" x14ac:dyDescent="0.25">
      <c r="B1342" s="11" t="str">
        <f>[1]Pokemon!C1342</f>
        <v>Archaludon</v>
      </c>
      <c r="C1342" s="11">
        <f>[1]Moves!B1342</f>
        <v>0</v>
      </c>
    </row>
    <row r="1343" spans="2:3" x14ac:dyDescent="0.25">
      <c r="B1343" s="11" t="str">
        <f>[1]Pokemon!C1343</f>
        <v>Hydrapple</v>
      </c>
      <c r="C1343" s="11">
        <f>[1]Moves!B1343</f>
        <v>0</v>
      </c>
    </row>
    <row r="1344" spans="2:3" x14ac:dyDescent="0.25">
      <c r="B1344" s="11" t="str">
        <f>[1]Pokemon!C1344</f>
        <v>Gouging Fire</v>
      </c>
      <c r="C1344" s="11">
        <f>[1]Moves!B1344</f>
        <v>0</v>
      </c>
    </row>
    <row r="1345" spans="2:3" x14ac:dyDescent="0.25">
      <c r="B1345" s="11" t="str">
        <f>[1]Pokemon!C1345</f>
        <v>Raging Bolt</v>
      </c>
      <c r="C1345" s="11">
        <f>[1]Moves!B1345</f>
        <v>0</v>
      </c>
    </row>
    <row r="1346" spans="2:3" x14ac:dyDescent="0.25">
      <c r="B1346" s="11" t="str">
        <f>[1]Pokemon!C1346</f>
        <v>Iron Boulder</v>
      </c>
      <c r="C1346" s="11">
        <f>[1]Moves!B1346</f>
        <v>0</v>
      </c>
    </row>
    <row r="1347" spans="2:3" x14ac:dyDescent="0.25">
      <c r="B1347" s="11" t="str">
        <f>[1]Pokemon!C1347</f>
        <v>Iron Crown</v>
      </c>
      <c r="C1347" s="11">
        <f>[1]Moves!B1347</f>
        <v>0</v>
      </c>
    </row>
    <row r="1348" spans="2:3" x14ac:dyDescent="0.25">
      <c r="B1348" s="11" t="str">
        <f>[1]Pokemon!C1348</f>
        <v>Terapagos</v>
      </c>
      <c r="C1348" s="11">
        <f>[1]Moves!B1348</f>
        <v>0</v>
      </c>
    </row>
    <row r="1349" spans="2:3" x14ac:dyDescent="0.25">
      <c r="B1349" s="11" t="str">
        <f>[1]Pokemon!C1349</f>
        <v>Terapagos Stellar</v>
      </c>
      <c r="C1349" s="11">
        <f>[1]Moves!B1349</f>
        <v>0</v>
      </c>
    </row>
    <row r="1350" spans="2:3" x14ac:dyDescent="0.25">
      <c r="B1350" s="11" t="str">
        <f>[1]Pokemon!C1350</f>
        <v>Terapagos Terastal</v>
      </c>
      <c r="C1350" s="11">
        <f>[1]Moves!B1350</f>
        <v>0</v>
      </c>
    </row>
    <row r="1351" spans="2:3" x14ac:dyDescent="0.25">
      <c r="B1351" s="11" t="str">
        <f>[1]Pokemon!C1351</f>
        <v>Pecharunt</v>
      </c>
      <c r="C1351" s="11">
        <f>[1]Moves!B1351</f>
        <v>0</v>
      </c>
    </row>
    <row r="1352" spans="2:3" x14ac:dyDescent="0.25">
      <c r="B1352" s="11">
        <f>[1]Pokemon!C1352</f>
        <v>0</v>
      </c>
      <c r="C1352" s="11">
        <f>[1]Moves!B1352</f>
        <v>0</v>
      </c>
    </row>
    <row r="1353" spans="2:3" x14ac:dyDescent="0.25">
      <c r="B1353" s="11">
        <f>[1]Pokemon!C1353</f>
        <v>0</v>
      </c>
      <c r="C1353" s="11">
        <f>[1]Moves!B1353</f>
        <v>0</v>
      </c>
    </row>
    <row r="1354" spans="2:3" x14ac:dyDescent="0.25">
      <c r="B1354" s="11">
        <f>[1]Pokemon!C1354</f>
        <v>0</v>
      </c>
      <c r="C1354" s="11">
        <f>[1]Moves!B1354</f>
        <v>0</v>
      </c>
    </row>
    <row r="1355" spans="2:3" x14ac:dyDescent="0.25">
      <c r="B1355" s="11">
        <f>[1]Pokemon!C1355</f>
        <v>0</v>
      </c>
      <c r="C1355" s="11">
        <f>[1]Moves!B1355</f>
        <v>0</v>
      </c>
    </row>
    <row r="1356" spans="2:3" x14ac:dyDescent="0.25">
      <c r="B1356" s="11">
        <f>[1]Pokemon!C1356</f>
        <v>0</v>
      </c>
      <c r="C1356" s="11">
        <f>[1]Moves!B1356</f>
        <v>0</v>
      </c>
    </row>
    <row r="1357" spans="2:3" x14ac:dyDescent="0.25">
      <c r="B1357" s="11">
        <f>[1]Pokemon!C1357</f>
        <v>0</v>
      </c>
      <c r="C1357" s="11">
        <f>[1]Moves!B1357</f>
        <v>0</v>
      </c>
    </row>
    <row r="1358" spans="2:3" x14ac:dyDescent="0.25">
      <c r="B1358" s="11">
        <f>[1]Pokemon!C1358</f>
        <v>0</v>
      </c>
      <c r="C1358" s="11">
        <f>[1]Moves!B1358</f>
        <v>0</v>
      </c>
    </row>
    <row r="1359" spans="2:3" x14ac:dyDescent="0.25">
      <c r="B1359" s="11">
        <f>[1]Pokemon!C1359</f>
        <v>0</v>
      </c>
      <c r="C1359" s="11">
        <f>[1]Moves!B1359</f>
        <v>0</v>
      </c>
    </row>
    <row r="1360" spans="2:3" x14ac:dyDescent="0.25">
      <c r="B1360" s="11">
        <f>[1]Pokemon!C1360</f>
        <v>0</v>
      </c>
      <c r="C1360" s="11">
        <f>[1]Moves!B1360</f>
        <v>0</v>
      </c>
    </row>
    <row r="1361" spans="2:3" x14ac:dyDescent="0.25">
      <c r="B1361" s="11">
        <f>[1]Pokemon!C1361</f>
        <v>0</v>
      </c>
      <c r="C1361" s="11">
        <f>[1]Moves!B1361</f>
        <v>0</v>
      </c>
    </row>
    <row r="1362" spans="2:3" x14ac:dyDescent="0.25">
      <c r="B1362" s="11">
        <f>[1]Pokemon!C1362</f>
        <v>0</v>
      </c>
      <c r="C1362" s="11">
        <f>[1]Moves!B1362</f>
        <v>0</v>
      </c>
    </row>
    <row r="1363" spans="2:3" x14ac:dyDescent="0.25">
      <c r="B1363" s="11">
        <f>[1]Pokemon!C1363</f>
        <v>0</v>
      </c>
      <c r="C1363" s="11">
        <f>[1]Moves!B1363</f>
        <v>0</v>
      </c>
    </row>
    <row r="1364" spans="2:3" x14ac:dyDescent="0.25">
      <c r="B1364" s="11">
        <f>[1]Pokemon!C1364</f>
        <v>0</v>
      </c>
      <c r="C1364" s="11">
        <f>[1]Moves!B1364</f>
        <v>0</v>
      </c>
    </row>
    <row r="1365" spans="2:3" x14ac:dyDescent="0.25">
      <c r="B1365" s="11">
        <f>[1]Pokemon!C1365</f>
        <v>0</v>
      </c>
      <c r="C1365" s="11">
        <f>[1]Moves!B1365</f>
        <v>0</v>
      </c>
    </row>
    <row r="1366" spans="2:3" x14ac:dyDescent="0.25">
      <c r="B1366" s="11">
        <f>[1]Pokemon!C1366</f>
        <v>0</v>
      </c>
      <c r="C1366" s="11">
        <f>[1]Moves!B1366</f>
        <v>0</v>
      </c>
    </row>
    <row r="1367" spans="2:3" x14ac:dyDescent="0.25">
      <c r="B1367" s="11">
        <f>[1]Pokemon!C1367</f>
        <v>0</v>
      </c>
      <c r="C1367" s="11">
        <f>[1]Moves!B1367</f>
        <v>0</v>
      </c>
    </row>
    <row r="1368" spans="2:3" x14ac:dyDescent="0.25">
      <c r="B1368" s="11">
        <f>[1]Pokemon!C1368</f>
        <v>0</v>
      </c>
      <c r="C1368" s="11">
        <f>[1]Moves!B1368</f>
        <v>0</v>
      </c>
    </row>
    <row r="1369" spans="2:3" x14ac:dyDescent="0.25">
      <c r="B1369" s="11">
        <f>[1]Pokemon!C1369</f>
        <v>0</v>
      </c>
      <c r="C1369" s="11">
        <f>[1]Moves!B1369</f>
        <v>0</v>
      </c>
    </row>
    <row r="1370" spans="2:3" x14ac:dyDescent="0.25">
      <c r="B1370" s="11">
        <f>[1]Pokemon!C1370</f>
        <v>0</v>
      </c>
      <c r="C1370" s="11">
        <f>[1]Moves!B1370</f>
        <v>0</v>
      </c>
    </row>
    <row r="1371" spans="2:3" x14ac:dyDescent="0.25">
      <c r="B1371" s="11">
        <f>[1]Pokemon!C1371</f>
        <v>0</v>
      </c>
      <c r="C1371" s="11">
        <f>[1]Moves!B1371</f>
        <v>0</v>
      </c>
    </row>
    <row r="1372" spans="2:3" x14ac:dyDescent="0.25">
      <c r="B1372" s="11">
        <f>[1]Pokemon!C1372</f>
        <v>0</v>
      </c>
      <c r="C1372" s="11">
        <f>[1]Moves!B1372</f>
        <v>0</v>
      </c>
    </row>
    <row r="1373" spans="2:3" x14ac:dyDescent="0.25">
      <c r="B1373" s="11">
        <f>[1]Pokemon!C1373</f>
        <v>0</v>
      </c>
      <c r="C1373" s="11">
        <f>[1]Moves!B1373</f>
        <v>0</v>
      </c>
    </row>
    <row r="1374" spans="2:3" x14ac:dyDescent="0.25">
      <c r="B1374" s="11">
        <f>[1]Pokemon!C1374</f>
        <v>0</v>
      </c>
      <c r="C1374" s="11">
        <f>[1]Moves!B1374</f>
        <v>0</v>
      </c>
    </row>
    <row r="1375" spans="2:3" x14ac:dyDescent="0.25">
      <c r="B1375" s="11">
        <f>[1]Pokemon!C1375</f>
        <v>0</v>
      </c>
      <c r="C1375" s="11">
        <f>[1]Moves!B1375</f>
        <v>0</v>
      </c>
    </row>
    <row r="1376" spans="2:3" x14ac:dyDescent="0.25">
      <c r="B1376" s="11">
        <f>[1]Pokemon!C1376</f>
        <v>0</v>
      </c>
      <c r="C1376" s="11">
        <f>[1]Moves!B1376</f>
        <v>0</v>
      </c>
    </row>
    <row r="1377" spans="2:3" x14ac:dyDescent="0.25">
      <c r="B1377" s="11">
        <f>[1]Pokemon!C1377</f>
        <v>0</v>
      </c>
      <c r="C1377" s="11">
        <f>[1]Moves!B1377</f>
        <v>0</v>
      </c>
    </row>
    <row r="1378" spans="2:3" x14ac:dyDescent="0.25">
      <c r="B1378" s="11">
        <f>[1]Pokemon!C1378</f>
        <v>0</v>
      </c>
      <c r="C1378" s="11">
        <f>[1]Moves!B1378</f>
        <v>0</v>
      </c>
    </row>
    <row r="1379" spans="2:3" x14ac:dyDescent="0.25">
      <c r="B1379" s="11">
        <f>[1]Pokemon!C1379</f>
        <v>0</v>
      </c>
      <c r="C1379" s="11">
        <f>[1]Moves!B1379</f>
        <v>0</v>
      </c>
    </row>
    <row r="1380" spans="2:3" x14ac:dyDescent="0.25">
      <c r="B1380" s="11">
        <f>[1]Pokemon!C1380</f>
        <v>0</v>
      </c>
      <c r="C1380" s="11">
        <f>[1]Moves!B1380</f>
        <v>0</v>
      </c>
    </row>
    <row r="1381" spans="2:3" x14ac:dyDescent="0.25">
      <c r="B1381" s="11">
        <f>[1]Pokemon!C1381</f>
        <v>0</v>
      </c>
      <c r="C1381" s="11">
        <f>[1]Moves!B1381</f>
        <v>0</v>
      </c>
    </row>
    <row r="1382" spans="2:3" x14ac:dyDescent="0.25">
      <c r="B1382" s="11">
        <f>[1]Pokemon!C1382</f>
        <v>0</v>
      </c>
      <c r="C1382" s="11">
        <f>[1]Moves!B1382</f>
        <v>0</v>
      </c>
    </row>
    <row r="1383" spans="2:3" x14ac:dyDescent="0.25">
      <c r="B1383" s="11">
        <f>[1]Pokemon!C1383</f>
        <v>0</v>
      </c>
      <c r="C1383" s="11">
        <f>[1]Moves!B1383</f>
        <v>0</v>
      </c>
    </row>
    <row r="1384" spans="2:3" x14ac:dyDescent="0.25">
      <c r="B1384" s="11">
        <f>[1]Pokemon!C1384</f>
        <v>0</v>
      </c>
      <c r="C1384" s="11">
        <f>[1]Moves!B1384</f>
        <v>0</v>
      </c>
    </row>
    <row r="1385" spans="2:3" x14ac:dyDescent="0.25">
      <c r="B1385" s="11">
        <f>[1]Pokemon!C1385</f>
        <v>0</v>
      </c>
      <c r="C1385" s="11">
        <f>[1]Moves!B1385</f>
        <v>0</v>
      </c>
    </row>
    <row r="1386" spans="2:3" x14ac:dyDescent="0.25">
      <c r="B1386" s="11">
        <f>[1]Pokemon!C1386</f>
        <v>0</v>
      </c>
      <c r="C1386" s="11">
        <f>[1]Moves!B1386</f>
        <v>0</v>
      </c>
    </row>
    <row r="1387" spans="2:3" x14ac:dyDescent="0.25">
      <c r="B1387" s="11">
        <f>[1]Pokemon!C1387</f>
        <v>0</v>
      </c>
      <c r="C1387" s="11">
        <f>[1]Moves!B1387</f>
        <v>0</v>
      </c>
    </row>
    <row r="1388" spans="2:3" x14ac:dyDescent="0.25">
      <c r="B1388" s="11">
        <f>[1]Pokemon!C1388</f>
        <v>0</v>
      </c>
      <c r="C1388" s="11">
        <f>[1]Moves!B1388</f>
        <v>0</v>
      </c>
    </row>
    <row r="1389" spans="2:3" x14ac:dyDescent="0.25">
      <c r="B1389" s="11">
        <f>[1]Pokemon!C1389</f>
        <v>0</v>
      </c>
      <c r="C1389" s="11">
        <f>[1]Moves!B1389</f>
        <v>0</v>
      </c>
    </row>
    <row r="1390" spans="2:3" x14ac:dyDescent="0.25">
      <c r="B1390" s="11">
        <f>[1]Pokemon!C1390</f>
        <v>0</v>
      </c>
      <c r="C1390" s="11">
        <f>[1]Moves!B1390</f>
        <v>0</v>
      </c>
    </row>
    <row r="1391" spans="2:3" x14ac:dyDescent="0.25">
      <c r="B1391" s="11">
        <f>[1]Pokemon!C1391</f>
        <v>0</v>
      </c>
      <c r="C1391" s="11">
        <f>[1]Moves!B1391</f>
        <v>0</v>
      </c>
    </row>
    <row r="1392" spans="2:3" x14ac:dyDescent="0.25">
      <c r="B1392" s="11">
        <f>[1]Pokemon!C1392</f>
        <v>0</v>
      </c>
      <c r="C1392" s="11">
        <f>[1]Moves!B1392</f>
        <v>0</v>
      </c>
    </row>
    <row r="1393" spans="2:3" x14ac:dyDescent="0.25">
      <c r="B1393" s="11">
        <f>[1]Pokemon!C1393</f>
        <v>0</v>
      </c>
      <c r="C1393" s="11">
        <f>[1]Moves!B1393</f>
        <v>0</v>
      </c>
    </row>
    <row r="1394" spans="2:3" x14ac:dyDescent="0.25">
      <c r="B1394" s="11">
        <f>[1]Pokemon!C1394</f>
        <v>0</v>
      </c>
      <c r="C1394" s="11">
        <f>[1]Moves!B1394</f>
        <v>0</v>
      </c>
    </row>
    <row r="1395" spans="2:3" x14ac:dyDescent="0.25">
      <c r="B1395" s="11">
        <f>[1]Pokemon!C1395</f>
        <v>0</v>
      </c>
      <c r="C1395" s="11">
        <f>[1]Moves!B1395</f>
        <v>0</v>
      </c>
    </row>
    <row r="1396" spans="2:3" x14ac:dyDescent="0.25">
      <c r="B1396" s="11">
        <f>[1]Pokemon!C1396</f>
        <v>0</v>
      </c>
      <c r="C1396" s="11">
        <f>[1]Moves!B1396</f>
        <v>0</v>
      </c>
    </row>
    <row r="1397" spans="2:3" x14ac:dyDescent="0.25">
      <c r="B1397" s="11">
        <f>[1]Pokemon!C1397</f>
        <v>0</v>
      </c>
      <c r="C1397" s="11">
        <f>[1]Moves!B1397</f>
        <v>0</v>
      </c>
    </row>
    <row r="1398" spans="2:3" x14ac:dyDescent="0.25">
      <c r="B1398" s="11">
        <f>[1]Pokemon!C1398</f>
        <v>0</v>
      </c>
      <c r="C1398" s="11">
        <f>[1]Moves!B1398</f>
        <v>0</v>
      </c>
    </row>
    <row r="1399" spans="2:3" x14ac:dyDescent="0.25">
      <c r="B1399" s="11">
        <f>[1]Pokemon!C1399</f>
        <v>0</v>
      </c>
      <c r="C1399" s="11">
        <f>[1]Moves!B1399</f>
        <v>0</v>
      </c>
    </row>
    <row r="1400" spans="2:3" x14ac:dyDescent="0.25">
      <c r="B1400" s="11">
        <f>[1]Pokemon!C1400</f>
        <v>0</v>
      </c>
      <c r="C1400" s="11">
        <f>[1]Moves!B1400</f>
        <v>0</v>
      </c>
    </row>
    <row r="1401" spans="2:3" x14ac:dyDescent="0.25">
      <c r="B1401" s="11">
        <f>[1]Pokemon!C1401</f>
        <v>0</v>
      </c>
      <c r="C1401" s="11">
        <f>[1]Moves!B1401</f>
        <v>0</v>
      </c>
    </row>
    <row r="1402" spans="2:3" x14ac:dyDescent="0.25">
      <c r="B1402" s="11">
        <f>[1]Pokemon!C1402</f>
        <v>0</v>
      </c>
      <c r="C1402" s="11">
        <f>[1]Moves!B1402</f>
        <v>0</v>
      </c>
    </row>
    <row r="1403" spans="2:3" x14ac:dyDescent="0.25">
      <c r="B1403" s="11">
        <f>[1]Pokemon!C1403</f>
        <v>0</v>
      </c>
      <c r="C1403" s="11">
        <f>[1]Moves!B1403</f>
        <v>0</v>
      </c>
    </row>
    <row r="1404" spans="2:3" x14ac:dyDescent="0.25">
      <c r="B1404" s="11">
        <f>[1]Pokemon!C1404</f>
        <v>0</v>
      </c>
      <c r="C1404" s="11">
        <f>[1]Moves!B1404</f>
        <v>0</v>
      </c>
    </row>
    <row r="1405" spans="2:3" x14ac:dyDescent="0.25">
      <c r="B1405" s="11">
        <f>[1]Pokemon!C1405</f>
        <v>0</v>
      </c>
      <c r="C1405" s="11">
        <f>[1]Moves!B1405</f>
        <v>0</v>
      </c>
    </row>
    <row r="1406" spans="2:3" x14ac:dyDescent="0.25">
      <c r="B1406" s="11">
        <f>[1]Pokemon!C1406</f>
        <v>0</v>
      </c>
      <c r="C1406" s="11">
        <f>[1]Moves!B1406</f>
        <v>0</v>
      </c>
    </row>
    <row r="1407" spans="2:3" x14ac:dyDescent="0.25">
      <c r="B1407" s="11">
        <f>[1]Pokemon!C1407</f>
        <v>0</v>
      </c>
      <c r="C1407" s="11">
        <f>[1]Moves!B1407</f>
        <v>0</v>
      </c>
    </row>
    <row r="1408" spans="2:3" x14ac:dyDescent="0.25">
      <c r="B1408" s="11">
        <f>[1]Pokemon!C1408</f>
        <v>0</v>
      </c>
      <c r="C1408" s="11">
        <f>[1]Moves!B1408</f>
        <v>0</v>
      </c>
    </row>
    <row r="1409" spans="2:3" x14ac:dyDescent="0.25">
      <c r="B1409" s="11">
        <f>[1]Pokemon!C1409</f>
        <v>0</v>
      </c>
      <c r="C1409" s="11">
        <f>[1]Moves!B1409</f>
        <v>0</v>
      </c>
    </row>
    <row r="1410" spans="2:3" x14ac:dyDescent="0.25">
      <c r="B1410" s="11">
        <f>[1]Pokemon!C1410</f>
        <v>0</v>
      </c>
      <c r="C1410" s="11">
        <f>[1]Moves!B1410</f>
        <v>0</v>
      </c>
    </row>
    <row r="1411" spans="2:3" x14ac:dyDescent="0.25">
      <c r="B1411" s="11">
        <f>[1]Pokemon!C1411</f>
        <v>0</v>
      </c>
      <c r="C1411" s="11">
        <f>[1]Moves!B1411</f>
        <v>0</v>
      </c>
    </row>
    <row r="1412" spans="2:3" x14ac:dyDescent="0.25">
      <c r="B1412" s="11">
        <f>[1]Pokemon!C1412</f>
        <v>0</v>
      </c>
      <c r="C1412" s="11">
        <f>[1]Moves!B1412</f>
        <v>0</v>
      </c>
    </row>
    <row r="1413" spans="2:3" x14ac:dyDescent="0.25">
      <c r="B1413" s="11">
        <f>[1]Pokemon!C1413</f>
        <v>0</v>
      </c>
      <c r="C1413" s="11">
        <f>[1]Moves!B1413</f>
        <v>0</v>
      </c>
    </row>
    <row r="1414" spans="2:3" x14ac:dyDescent="0.25">
      <c r="B1414" s="11">
        <f>[1]Pokemon!C1414</f>
        <v>0</v>
      </c>
      <c r="C1414" s="11">
        <f>[1]Moves!B1414</f>
        <v>0</v>
      </c>
    </row>
    <row r="1415" spans="2:3" x14ac:dyDescent="0.25">
      <c r="B1415" s="11">
        <f>[1]Pokemon!C1415</f>
        <v>0</v>
      </c>
      <c r="C1415" s="11">
        <f>[1]Moves!B1415</f>
        <v>0</v>
      </c>
    </row>
    <row r="1416" spans="2:3" x14ac:dyDescent="0.25">
      <c r="B1416" s="11">
        <f>[1]Pokemon!C1416</f>
        <v>0</v>
      </c>
      <c r="C1416" s="11">
        <f>[1]Moves!B1416</f>
        <v>0</v>
      </c>
    </row>
    <row r="1417" spans="2:3" x14ac:dyDescent="0.25">
      <c r="B1417" s="11">
        <f>[1]Pokemon!C1417</f>
        <v>0</v>
      </c>
      <c r="C1417" s="11">
        <f>[1]Moves!B1417</f>
        <v>0</v>
      </c>
    </row>
    <row r="1418" spans="2:3" x14ac:dyDescent="0.25">
      <c r="B1418" s="11">
        <f>[1]Pokemon!C1418</f>
        <v>0</v>
      </c>
      <c r="C1418" s="11">
        <f>[1]Moves!B1418</f>
        <v>0</v>
      </c>
    </row>
    <row r="1419" spans="2:3" x14ac:dyDescent="0.25">
      <c r="B1419" s="11">
        <f>[1]Pokemon!C1419</f>
        <v>0</v>
      </c>
      <c r="C1419" s="11">
        <f>[1]Moves!B1419</f>
        <v>0</v>
      </c>
    </row>
    <row r="1420" spans="2:3" x14ac:dyDescent="0.25">
      <c r="B1420" s="11">
        <f>[1]Pokemon!C1420</f>
        <v>0</v>
      </c>
      <c r="C1420" s="11">
        <f>[1]Moves!B1420</f>
        <v>0</v>
      </c>
    </row>
    <row r="1421" spans="2:3" x14ac:dyDescent="0.25">
      <c r="B1421" s="11">
        <f>[1]Pokemon!C1421</f>
        <v>0</v>
      </c>
      <c r="C1421" s="11">
        <f>[1]Moves!B1421</f>
        <v>0</v>
      </c>
    </row>
    <row r="1422" spans="2:3" x14ac:dyDescent="0.25">
      <c r="B1422" s="11">
        <f>[1]Pokemon!C1422</f>
        <v>0</v>
      </c>
      <c r="C1422" s="11">
        <f>[1]Moves!B1422</f>
        <v>0</v>
      </c>
    </row>
    <row r="1423" spans="2:3" x14ac:dyDescent="0.25">
      <c r="B1423" s="11">
        <f>[1]Pokemon!C1423</f>
        <v>0</v>
      </c>
      <c r="C1423" s="11">
        <f>[1]Moves!B1423</f>
        <v>0</v>
      </c>
    </row>
    <row r="1424" spans="2:3" x14ac:dyDescent="0.25">
      <c r="B1424" s="11">
        <f>[1]Pokemon!C1424</f>
        <v>0</v>
      </c>
      <c r="C1424" s="11">
        <f>[1]Moves!B1424</f>
        <v>0</v>
      </c>
    </row>
    <row r="1425" spans="2:3" x14ac:dyDescent="0.25">
      <c r="B1425" s="11">
        <f>[1]Pokemon!C1425</f>
        <v>0</v>
      </c>
      <c r="C1425" s="11">
        <f>[1]Moves!B1425</f>
        <v>0</v>
      </c>
    </row>
    <row r="1426" spans="2:3" x14ac:dyDescent="0.25">
      <c r="B1426" s="11">
        <f>[1]Pokemon!C1426</f>
        <v>0</v>
      </c>
      <c r="C1426" s="11">
        <f>[1]Moves!B1426</f>
        <v>0</v>
      </c>
    </row>
    <row r="1427" spans="2:3" x14ac:dyDescent="0.25">
      <c r="B1427" s="11">
        <f>[1]Pokemon!C1427</f>
        <v>0</v>
      </c>
      <c r="C1427" s="11">
        <f>[1]Moves!B1427</f>
        <v>0</v>
      </c>
    </row>
    <row r="1428" spans="2:3" x14ac:dyDescent="0.25">
      <c r="B1428" s="11">
        <f>[1]Pokemon!C1428</f>
        <v>0</v>
      </c>
      <c r="C1428" s="11">
        <f>[1]Moves!B1428</f>
        <v>0</v>
      </c>
    </row>
    <row r="1429" spans="2:3" x14ac:dyDescent="0.25">
      <c r="B1429" s="11">
        <f>[1]Pokemon!C1429</f>
        <v>0</v>
      </c>
      <c r="C1429" s="11">
        <f>[1]Moves!B1429</f>
        <v>0</v>
      </c>
    </row>
    <row r="1430" spans="2:3" x14ac:dyDescent="0.25">
      <c r="B1430" s="11">
        <f>[1]Pokemon!C1430</f>
        <v>0</v>
      </c>
      <c r="C1430" s="11">
        <f>[1]Moves!B1430</f>
        <v>0</v>
      </c>
    </row>
    <row r="1431" spans="2:3" x14ac:dyDescent="0.25">
      <c r="B1431" s="11">
        <f>[1]Pokemon!C1431</f>
        <v>0</v>
      </c>
      <c r="C1431" s="11">
        <f>[1]Moves!B1431</f>
        <v>0</v>
      </c>
    </row>
    <row r="1432" spans="2:3" x14ac:dyDescent="0.25">
      <c r="B1432" s="11">
        <f>[1]Pokemon!C1432</f>
        <v>0</v>
      </c>
      <c r="C1432" s="11">
        <f>[1]Moves!B1432</f>
        <v>0</v>
      </c>
    </row>
    <row r="1433" spans="2:3" x14ac:dyDescent="0.25">
      <c r="B1433" s="11">
        <f>[1]Pokemon!C1433</f>
        <v>0</v>
      </c>
      <c r="C1433" s="11">
        <f>[1]Moves!B1433</f>
        <v>0</v>
      </c>
    </row>
    <row r="1434" spans="2:3" x14ac:dyDescent="0.25">
      <c r="B1434" s="11">
        <f>[1]Pokemon!C1434</f>
        <v>0</v>
      </c>
      <c r="C1434" s="11">
        <f>[1]Moves!B1434</f>
        <v>0</v>
      </c>
    </row>
    <row r="1435" spans="2:3" x14ac:dyDescent="0.25">
      <c r="B1435" s="11">
        <f>[1]Pokemon!C1435</f>
        <v>0</v>
      </c>
      <c r="C1435" s="11">
        <f>[1]Moves!B1435</f>
        <v>0</v>
      </c>
    </row>
    <row r="1436" spans="2:3" x14ac:dyDescent="0.25">
      <c r="B1436" s="11">
        <f>[1]Pokemon!C1436</f>
        <v>0</v>
      </c>
      <c r="C1436" s="11">
        <f>[1]Moves!B1436</f>
        <v>0</v>
      </c>
    </row>
    <row r="1437" spans="2:3" x14ac:dyDescent="0.25">
      <c r="B1437" s="11">
        <f>[1]Pokemon!C1437</f>
        <v>0</v>
      </c>
      <c r="C1437" s="11">
        <f>[1]Moves!B1437</f>
        <v>0</v>
      </c>
    </row>
    <row r="1438" spans="2:3" x14ac:dyDescent="0.25">
      <c r="B1438" s="11">
        <f>[1]Pokemon!C1438</f>
        <v>0</v>
      </c>
      <c r="C1438" s="11">
        <f>[1]Moves!B1438</f>
        <v>0</v>
      </c>
    </row>
    <row r="1439" spans="2:3" x14ac:dyDescent="0.25">
      <c r="B1439" s="11">
        <f>[1]Pokemon!C1439</f>
        <v>0</v>
      </c>
      <c r="C1439" s="11">
        <f>[1]Moves!B1439</f>
        <v>0</v>
      </c>
    </row>
    <row r="1440" spans="2:3" x14ac:dyDescent="0.25">
      <c r="B1440" s="11">
        <f>[1]Pokemon!C1440</f>
        <v>0</v>
      </c>
      <c r="C1440" s="11">
        <f>[1]Moves!B1440</f>
        <v>0</v>
      </c>
    </row>
    <row r="1441" spans="2:3" x14ac:dyDescent="0.25">
      <c r="B1441" s="11">
        <f>[1]Pokemon!C1441</f>
        <v>0</v>
      </c>
      <c r="C1441" s="11">
        <f>[1]Moves!B1441</f>
        <v>0</v>
      </c>
    </row>
    <row r="1442" spans="2:3" x14ac:dyDescent="0.25">
      <c r="B1442" s="11">
        <f>[1]Pokemon!C1442</f>
        <v>0</v>
      </c>
      <c r="C1442" s="11">
        <f>[1]Moves!B1442</f>
        <v>0</v>
      </c>
    </row>
    <row r="1443" spans="2:3" x14ac:dyDescent="0.25">
      <c r="B1443" s="11">
        <f>[1]Pokemon!C1443</f>
        <v>0</v>
      </c>
      <c r="C1443" s="11">
        <f>[1]Moves!B1443</f>
        <v>0</v>
      </c>
    </row>
    <row r="1444" spans="2:3" x14ac:dyDescent="0.25">
      <c r="B1444" s="11">
        <f>[1]Pokemon!C1444</f>
        <v>0</v>
      </c>
      <c r="C1444" s="11">
        <f>[1]Moves!B1444</f>
        <v>0</v>
      </c>
    </row>
    <row r="1445" spans="2:3" x14ac:dyDescent="0.25">
      <c r="B1445" s="11">
        <f>[1]Pokemon!C1445</f>
        <v>0</v>
      </c>
      <c r="C1445" s="11">
        <f>[1]Moves!B1445</f>
        <v>0</v>
      </c>
    </row>
    <row r="1446" spans="2:3" x14ac:dyDescent="0.25">
      <c r="B1446" s="11">
        <f>[1]Pokemon!C1446</f>
        <v>0</v>
      </c>
      <c r="C1446" s="11">
        <f>[1]Moves!B1446</f>
        <v>0</v>
      </c>
    </row>
    <row r="1447" spans="2:3" x14ac:dyDescent="0.25">
      <c r="B1447" s="11">
        <f>[1]Pokemon!C1447</f>
        <v>0</v>
      </c>
      <c r="C1447" s="11">
        <f>[1]Moves!B1447</f>
        <v>0</v>
      </c>
    </row>
    <row r="1448" spans="2:3" x14ac:dyDescent="0.25">
      <c r="B1448" s="11">
        <f>[1]Pokemon!C1448</f>
        <v>0</v>
      </c>
      <c r="C1448" s="11">
        <f>[1]Moves!B1448</f>
        <v>0</v>
      </c>
    </row>
    <row r="1449" spans="2:3" x14ac:dyDescent="0.25">
      <c r="B1449" s="11">
        <f>[1]Pokemon!C1449</f>
        <v>0</v>
      </c>
      <c r="C1449" s="11">
        <f>[1]Moves!B1449</f>
        <v>0</v>
      </c>
    </row>
    <row r="1450" spans="2:3" x14ac:dyDescent="0.25">
      <c r="B1450" s="11">
        <f>[1]Pokemon!C1450</f>
        <v>0</v>
      </c>
      <c r="C1450" s="11">
        <f>[1]Moves!B1450</f>
        <v>0</v>
      </c>
    </row>
    <row r="1451" spans="2:3" x14ac:dyDescent="0.25">
      <c r="B1451" s="11">
        <f>[1]Pokemon!C1451</f>
        <v>0</v>
      </c>
      <c r="C1451" s="11">
        <f>[1]Moves!B1451</f>
        <v>0</v>
      </c>
    </row>
    <row r="1452" spans="2:3" x14ac:dyDescent="0.25">
      <c r="B1452" s="11">
        <f>[1]Pokemon!C1452</f>
        <v>0</v>
      </c>
      <c r="C1452" s="11">
        <f>[1]Moves!B1452</f>
        <v>0</v>
      </c>
    </row>
    <row r="1453" spans="2:3" x14ac:dyDescent="0.25">
      <c r="B1453" s="11">
        <f>[1]Pokemon!C1453</f>
        <v>0</v>
      </c>
      <c r="C1453" s="11">
        <f>[1]Moves!B1453</f>
        <v>0</v>
      </c>
    </row>
    <row r="1454" spans="2:3" x14ac:dyDescent="0.25">
      <c r="B1454" s="11">
        <f>[1]Pokemon!C1454</f>
        <v>0</v>
      </c>
      <c r="C1454" s="11">
        <f>[1]Moves!B1454</f>
        <v>0</v>
      </c>
    </row>
    <row r="1455" spans="2:3" x14ac:dyDescent="0.25">
      <c r="B1455" s="11">
        <f>[1]Pokemon!C1455</f>
        <v>0</v>
      </c>
      <c r="C1455" s="11">
        <f>[1]Moves!B1455</f>
        <v>0</v>
      </c>
    </row>
    <row r="1456" spans="2:3" x14ac:dyDescent="0.25">
      <c r="B1456" s="11">
        <f>[1]Pokemon!C1456</f>
        <v>0</v>
      </c>
      <c r="C1456" s="11">
        <f>[1]Moves!B1456</f>
        <v>0</v>
      </c>
    </row>
    <row r="1457" spans="2:3" x14ac:dyDescent="0.25">
      <c r="B1457" s="11">
        <f>[1]Pokemon!C1457</f>
        <v>0</v>
      </c>
      <c r="C1457" s="11">
        <f>[1]Moves!B1457</f>
        <v>0</v>
      </c>
    </row>
    <row r="1458" spans="2:3" x14ac:dyDescent="0.25">
      <c r="B1458" s="11">
        <f>[1]Pokemon!C1458</f>
        <v>0</v>
      </c>
      <c r="C1458" s="11">
        <f>[1]Moves!B1458</f>
        <v>0</v>
      </c>
    </row>
    <row r="1459" spans="2:3" x14ac:dyDescent="0.25">
      <c r="B1459" s="11">
        <f>[1]Pokemon!C1459</f>
        <v>0</v>
      </c>
      <c r="C1459" s="11">
        <f>[1]Moves!B1459</f>
        <v>0</v>
      </c>
    </row>
    <row r="1460" spans="2:3" x14ac:dyDescent="0.25">
      <c r="B1460" s="11">
        <f>[1]Pokemon!C1460</f>
        <v>0</v>
      </c>
      <c r="C1460" s="11">
        <f>[1]Moves!B1460</f>
        <v>0</v>
      </c>
    </row>
    <row r="1461" spans="2:3" x14ac:dyDescent="0.25">
      <c r="B1461" s="11">
        <f>[1]Pokemon!C1461</f>
        <v>0</v>
      </c>
      <c r="C1461" s="11">
        <f>[1]Moves!B1461</f>
        <v>0</v>
      </c>
    </row>
    <row r="1462" spans="2:3" x14ac:dyDescent="0.25">
      <c r="B1462" s="11">
        <f>[1]Pokemon!C1462</f>
        <v>0</v>
      </c>
      <c r="C1462" s="11">
        <f>[1]Moves!B1462</f>
        <v>0</v>
      </c>
    </row>
    <row r="1463" spans="2:3" x14ac:dyDescent="0.25">
      <c r="B1463" s="11">
        <f>[1]Pokemon!C1463</f>
        <v>0</v>
      </c>
      <c r="C1463" s="11">
        <f>[1]Moves!B1463</f>
        <v>0</v>
      </c>
    </row>
    <row r="1464" spans="2:3" x14ac:dyDescent="0.25">
      <c r="B1464" s="11">
        <f>[1]Pokemon!C1464</f>
        <v>0</v>
      </c>
      <c r="C1464" s="11">
        <f>[1]Moves!B1464</f>
        <v>0</v>
      </c>
    </row>
    <row r="1465" spans="2:3" x14ac:dyDescent="0.25">
      <c r="B1465" s="11">
        <f>[1]Pokemon!C1465</f>
        <v>0</v>
      </c>
      <c r="C1465" s="11">
        <f>[1]Moves!B1465</f>
        <v>0</v>
      </c>
    </row>
    <row r="1466" spans="2:3" x14ac:dyDescent="0.25">
      <c r="B1466" s="11">
        <f>[1]Pokemon!C1466</f>
        <v>0</v>
      </c>
      <c r="C1466" s="11">
        <f>[1]Moves!B1466</f>
        <v>0</v>
      </c>
    </row>
    <row r="1467" spans="2:3" x14ac:dyDescent="0.25">
      <c r="B1467" s="11">
        <f>[1]Pokemon!C1467</f>
        <v>0</v>
      </c>
      <c r="C1467" s="11">
        <f>[1]Moves!B1467</f>
        <v>0</v>
      </c>
    </row>
    <row r="1468" spans="2:3" x14ac:dyDescent="0.25">
      <c r="B1468" s="11">
        <f>[1]Pokemon!C1468</f>
        <v>0</v>
      </c>
      <c r="C1468" s="11">
        <f>[1]Moves!B1468</f>
        <v>0</v>
      </c>
    </row>
    <row r="1469" spans="2:3" x14ac:dyDescent="0.25">
      <c r="B1469" s="11">
        <f>[1]Pokemon!C1469</f>
        <v>0</v>
      </c>
      <c r="C1469" s="11">
        <f>[1]Moves!B1469</f>
        <v>0</v>
      </c>
    </row>
    <row r="1470" spans="2:3" x14ac:dyDescent="0.25">
      <c r="B1470" s="11">
        <f>[1]Pokemon!C1470</f>
        <v>0</v>
      </c>
      <c r="C1470" s="11">
        <f>[1]Moves!B1470</f>
        <v>0</v>
      </c>
    </row>
    <row r="1471" spans="2:3" x14ac:dyDescent="0.25">
      <c r="B1471" s="11">
        <f>[1]Pokemon!C1471</f>
        <v>0</v>
      </c>
      <c r="C1471" s="11">
        <f>[1]Moves!B1471</f>
        <v>0</v>
      </c>
    </row>
    <row r="1472" spans="2:3" x14ac:dyDescent="0.25">
      <c r="B1472" s="11">
        <f>[1]Pokemon!C1472</f>
        <v>0</v>
      </c>
      <c r="C1472" s="11">
        <f>[1]Moves!B1472</f>
        <v>0</v>
      </c>
    </row>
    <row r="1473" spans="2:3" x14ac:dyDescent="0.25">
      <c r="B1473" s="11">
        <f>[1]Pokemon!C1473</f>
        <v>0</v>
      </c>
      <c r="C1473" s="11">
        <f>[1]Moves!B1473</f>
        <v>0</v>
      </c>
    </row>
    <row r="1474" spans="2:3" x14ac:dyDescent="0.25">
      <c r="B1474" s="11">
        <f>[1]Pokemon!C1474</f>
        <v>0</v>
      </c>
      <c r="C1474" s="11">
        <f>[1]Moves!B1474</f>
        <v>0</v>
      </c>
    </row>
    <row r="1475" spans="2:3" x14ac:dyDescent="0.25">
      <c r="B1475" s="11">
        <f>[1]Pokemon!C1475</f>
        <v>0</v>
      </c>
      <c r="C1475" s="11">
        <f>[1]Moves!B1475</f>
        <v>0</v>
      </c>
    </row>
    <row r="1476" spans="2:3" x14ac:dyDescent="0.25">
      <c r="B1476" s="11">
        <f>[1]Pokemon!C1476</f>
        <v>0</v>
      </c>
      <c r="C1476" s="11">
        <f>[1]Moves!B1476</f>
        <v>0</v>
      </c>
    </row>
    <row r="1477" spans="2:3" x14ac:dyDescent="0.25">
      <c r="B1477" s="11">
        <f>[1]Pokemon!C1477</f>
        <v>0</v>
      </c>
      <c r="C1477" s="11">
        <f>[1]Moves!B1477</f>
        <v>0</v>
      </c>
    </row>
    <row r="1478" spans="2:3" x14ac:dyDescent="0.25">
      <c r="B1478" s="11">
        <f>[1]Pokemon!C1478</f>
        <v>0</v>
      </c>
      <c r="C1478" s="11">
        <f>[1]Moves!B1478</f>
        <v>0</v>
      </c>
    </row>
    <row r="1479" spans="2:3" x14ac:dyDescent="0.25">
      <c r="B1479" s="11">
        <f>[1]Pokemon!C1479</f>
        <v>0</v>
      </c>
      <c r="C1479" s="11">
        <f>[1]Moves!B1479</f>
        <v>0</v>
      </c>
    </row>
    <row r="1480" spans="2:3" x14ac:dyDescent="0.25">
      <c r="B1480" s="11">
        <f>[1]Pokemon!C1480</f>
        <v>0</v>
      </c>
      <c r="C1480" s="11">
        <f>[1]Moves!B1480</f>
        <v>0</v>
      </c>
    </row>
    <row r="1481" spans="2:3" x14ac:dyDescent="0.25">
      <c r="B1481" s="11">
        <f>[1]Pokemon!C1481</f>
        <v>0</v>
      </c>
      <c r="C1481" s="11">
        <f>[1]Moves!B1481</f>
        <v>0</v>
      </c>
    </row>
    <row r="1482" spans="2:3" x14ac:dyDescent="0.25">
      <c r="B1482" s="11">
        <f>[1]Pokemon!C1482</f>
        <v>0</v>
      </c>
      <c r="C1482" s="11">
        <f>[1]Moves!B1482</f>
        <v>0</v>
      </c>
    </row>
    <row r="1483" spans="2:3" x14ac:dyDescent="0.25">
      <c r="B1483" s="11">
        <f>[1]Pokemon!C1483</f>
        <v>0</v>
      </c>
      <c r="C1483" s="11">
        <f>[1]Moves!B1483</f>
        <v>0</v>
      </c>
    </row>
    <row r="1484" spans="2:3" x14ac:dyDescent="0.25">
      <c r="B1484" s="11">
        <f>[1]Pokemon!C1484</f>
        <v>0</v>
      </c>
      <c r="C1484" s="11">
        <f>[1]Moves!B1484</f>
        <v>0</v>
      </c>
    </row>
    <row r="1485" spans="2:3" x14ac:dyDescent="0.25">
      <c r="B1485" s="11">
        <f>[1]Pokemon!C1485</f>
        <v>0</v>
      </c>
      <c r="C1485" s="11">
        <f>[1]Moves!B1485</f>
        <v>0</v>
      </c>
    </row>
    <row r="1486" spans="2:3" x14ac:dyDescent="0.25">
      <c r="B1486" s="11">
        <f>[1]Pokemon!C1486</f>
        <v>0</v>
      </c>
      <c r="C1486" s="11">
        <f>[1]Moves!B1486</f>
        <v>0</v>
      </c>
    </row>
    <row r="1487" spans="2:3" x14ac:dyDescent="0.25">
      <c r="B1487" s="11">
        <f>[1]Pokemon!C1487</f>
        <v>0</v>
      </c>
      <c r="C1487" s="11">
        <f>[1]Moves!B1487</f>
        <v>0</v>
      </c>
    </row>
    <row r="1488" spans="2:3" x14ac:dyDescent="0.25">
      <c r="B1488" s="11">
        <f>[1]Pokemon!C1488</f>
        <v>0</v>
      </c>
      <c r="C1488" s="11">
        <f>[1]Moves!B1488</f>
        <v>0</v>
      </c>
    </row>
    <row r="1489" spans="2:3" x14ac:dyDescent="0.25">
      <c r="B1489" s="11">
        <f>[1]Pokemon!C1489</f>
        <v>0</v>
      </c>
      <c r="C1489" s="11">
        <f>[1]Moves!B1489</f>
        <v>0</v>
      </c>
    </row>
    <row r="1490" spans="2:3" x14ac:dyDescent="0.25">
      <c r="B1490" s="11">
        <f>[1]Pokemon!C1490</f>
        <v>0</v>
      </c>
      <c r="C1490" s="11">
        <f>[1]Moves!B1490</f>
        <v>0</v>
      </c>
    </row>
    <row r="1491" spans="2:3" x14ac:dyDescent="0.25">
      <c r="B1491" s="11">
        <f>[1]Pokemon!C1491</f>
        <v>0</v>
      </c>
      <c r="C1491" s="11">
        <f>[1]Moves!B1491</f>
        <v>0</v>
      </c>
    </row>
    <row r="1492" spans="2:3" x14ac:dyDescent="0.25">
      <c r="B1492" s="11">
        <f>[1]Pokemon!C1492</f>
        <v>0</v>
      </c>
      <c r="C1492" s="11">
        <f>[1]Moves!B1492</f>
        <v>0</v>
      </c>
    </row>
    <row r="1493" spans="2:3" x14ac:dyDescent="0.25">
      <c r="B1493" s="11">
        <f>[1]Pokemon!C1493</f>
        <v>0</v>
      </c>
      <c r="C1493" s="11">
        <f>[1]Moves!B1493</f>
        <v>0</v>
      </c>
    </row>
    <row r="1494" spans="2:3" x14ac:dyDescent="0.25">
      <c r="B1494" s="11">
        <f>[1]Pokemon!C1494</f>
        <v>0</v>
      </c>
      <c r="C1494" s="11">
        <f>[1]Moves!B1494</f>
        <v>0</v>
      </c>
    </row>
    <row r="1495" spans="2:3" x14ac:dyDescent="0.25">
      <c r="B1495" s="11">
        <f>[1]Pokemon!C1495</f>
        <v>0</v>
      </c>
      <c r="C1495" s="11">
        <f>[1]Moves!B1495</f>
        <v>0</v>
      </c>
    </row>
    <row r="1496" spans="2:3" x14ac:dyDescent="0.25">
      <c r="B1496" s="11">
        <f>[1]Pokemon!C1496</f>
        <v>0</v>
      </c>
      <c r="C1496" s="11">
        <f>[1]Moves!B1496</f>
        <v>0</v>
      </c>
    </row>
    <row r="1497" spans="2:3" x14ac:dyDescent="0.25">
      <c r="B1497" s="11">
        <f>[1]Pokemon!C1497</f>
        <v>0</v>
      </c>
      <c r="C1497" s="11">
        <f>[1]Moves!B1497</f>
        <v>0</v>
      </c>
    </row>
    <row r="1498" spans="2:3" x14ac:dyDescent="0.25">
      <c r="B1498" s="11">
        <f>[1]Pokemon!C1498</f>
        <v>0</v>
      </c>
      <c r="C1498" s="11">
        <f>[1]Moves!B1498</f>
        <v>0</v>
      </c>
    </row>
    <row r="1499" spans="2:3" x14ac:dyDescent="0.25">
      <c r="B1499" s="11">
        <f>[1]Pokemon!C1499</f>
        <v>0</v>
      </c>
      <c r="C1499" s="11">
        <f>[1]Moves!B1499</f>
        <v>0</v>
      </c>
    </row>
    <row r="1500" spans="2:3" x14ac:dyDescent="0.25">
      <c r="B1500" s="11">
        <f>[1]Pokemon!C1500</f>
        <v>0</v>
      </c>
      <c r="C1500" s="11">
        <f>[1]Moves!B1500</f>
        <v>0</v>
      </c>
    </row>
    <row r="1501" spans="2:3" x14ac:dyDescent="0.25">
      <c r="B1501" s="11">
        <f>[1]Pokemon!C1501</f>
        <v>0</v>
      </c>
      <c r="C1501" s="11">
        <f>[1]Moves!B1501</f>
        <v>0</v>
      </c>
    </row>
    <row r="1502" spans="2:3" x14ac:dyDescent="0.25">
      <c r="B1502" s="11">
        <f>[1]Pokemon!C1502</f>
        <v>0</v>
      </c>
      <c r="C1502" s="11">
        <f>[1]Moves!B1502</f>
        <v>0</v>
      </c>
    </row>
    <row r="1503" spans="2:3" x14ac:dyDescent="0.25">
      <c r="B1503" s="11">
        <f>[1]Pokemon!C1503</f>
        <v>0</v>
      </c>
      <c r="C1503" s="11">
        <f>[1]Moves!B1503</f>
        <v>0</v>
      </c>
    </row>
    <row r="1504" spans="2:3" x14ac:dyDescent="0.25">
      <c r="B1504" s="11">
        <f>[1]Pokemon!C1504</f>
        <v>0</v>
      </c>
      <c r="C1504" s="11">
        <f>[1]Moves!B1504</f>
        <v>0</v>
      </c>
    </row>
    <row r="1505" spans="2:3" x14ac:dyDescent="0.25">
      <c r="B1505" s="11">
        <f>[1]Pokemon!C1505</f>
        <v>0</v>
      </c>
      <c r="C1505" s="11">
        <f>[1]Moves!B1505</f>
        <v>0</v>
      </c>
    </row>
    <row r="1506" spans="2:3" x14ac:dyDescent="0.25">
      <c r="B1506" s="11">
        <f>[1]Pokemon!C1506</f>
        <v>0</v>
      </c>
      <c r="C1506" s="11">
        <f>[1]Moves!B1506</f>
        <v>0</v>
      </c>
    </row>
    <row r="1507" spans="2:3" x14ac:dyDescent="0.25">
      <c r="B1507" s="11">
        <f>[1]Pokemon!C1507</f>
        <v>0</v>
      </c>
      <c r="C1507" s="11">
        <f>[1]Moves!B1507</f>
        <v>0</v>
      </c>
    </row>
    <row r="1508" spans="2:3" x14ac:dyDescent="0.25">
      <c r="B1508" s="11">
        <f>[1]Pokemon!C1508</f>
        <v>0</v>
      </c>
      <c r="C1508" s="11">
        <f>[1]Moves!B1508</f>
        <v>0</v>
      </c>
    </row>
    <row r="1509" spans="2:3" x14ac:dyDescent="0.25">
      <c r="B1509" s="11">
        <f>[1]Pokemon!C1509</f>
        <v>0</v>
      </c>
      <c r="C1509" s="11">
        <f>[1]Moves!B1509</f>
        <v>0</v>
      </c>
    </row>
    <row r="1510" spans="2:3" x14ac:dyDescent="0.25">
      <c r="B1510" s="11">
        <f>[1]Pokemon!C1510</f>
        <v>0</v>
      </c>
      <c r="C1510" s="11">
        <f>[1]Moves!B1510</f>
        <v>0</v>
      </c>
    </row>
    <row r="1511" spans="2:3" x14ac:dyDescent="0.25">
      <c r="B1511" s="11">
        <f>[1]Pokemon!C1511</f>
        <v>0</v>
      </c>
      <c r="C1511" s="11">
        <f>[1]Moves!B1511</f>
        <v>0</v>
      </c>
    </row>
    <row r="1512" spans="2:3" x14ac:dyDescent="0.25">
      <c r="B1512" s="11">
        <f>[1]Pokemon!C1512</f>
        <v>0</v>
      </c>
      <c r="C1512" s="11">
        <f>[1]Moves!B1512</f>
        <v>0</v>
      </c>
    </row>
    <row r="1513" spans="2:3" x14ac:dyDescent="0.25">
      <c r="B1513" s="11">
        <f>[1]Pokemon!C1513</f>
        <v>0</v>
      </c>
      <c r="C1513" s="11">
        <f>[1]Moves!B1513</f>
        <v>0</v>
      </c>
    </row>
    <row r="1514" spans="2:3" x14ac:dyDescent="0.25">
      <c r="B1514" s="11">
        <f>[1]Pokemon!C1514</f>
        <v>0</v>
      </c>
      <c r="C1514" s="11">
        <f>[1]Moves!B1514</f>
        <v>0</v>
      </c>
    </row>
    <row r="1515" spans="2:3" x14ac:dyDescent="0.25">
      <c r="B1515" s="11">
        <f>[1]Pokemon!C1515</f>
        <v>0</v>
      </c>
      <c r="C1515" s="11">
        <f>[1]Moves!B1515</f>
        <v>0</v>
      </c>
    </row>
    <row r="1516" spans="2:3" x14ac:dyDescent="0.25">
      <c r="B1516" s="11">
        <f>[1]Pokemon!C1516</f>
        <v>0</v>
      </c>
      <c r="C1516" s="11">
        <f>[1]Moves!B1516</f>
        <v>0</v>
      </c>
    </row>
    <row r="1517" spans="2:3" x14ac:dyDescent="0.25">
      <c r="B1517" s="11">
        <f>[1]Pokemon!C1517</f>
        <v>0</v>
      </c>
      <c r="C1517" s="11">
        <f>[1]Moves!B1517</f>
        <v>0</v>
      </c>
    </row>
    <row r="1518" spans="2:3" x14ac:dyDescent="0.25">
      <c r="B1518" s="11">
        <f>[1]Pokemon!C1518</f>
        <v>0</v>
      </c>
      <c r="C1518" s="11">
        <f>[1]Moves!B1518</f>
        <v>0</v>
      </c>
    </row>
    <row r="1519" spans="2:3" x14ac:dyDescent="0.25">
      <c r="B1519" s="11">
        <f>[1]Pokemon!C1519</f>
        <v>0</v>
      </c>
      <c r="C1519" s="11">
        <f>[1]Moves!B1519</f>
        <v>0</v>
      </c>
    </row>
    <row r="1520" spans="2:3" x14ac:dyDescent="0.25">
      <c r="B1520" s="11">
        <f>[1]Pokemon!C1520</f>
        <v>0</v>
      </c>
      <c r="C1520" s="11">
        <f>[1]Moves!B1520</f>
        <v>0</v>
      </c>
    </row>
    <row r="1521" spans="2:3" x14ac:dyDescent="0.25">
      <c r="B1521" s="11">
        <f>[1]Pokemon!C1521</f>
        <v>0</v>
      </c>
      <c r="C1521" s="11">
        <f>[1]Moves!B1521</f>
        <v>0</v>
      </c>
    </row>
    <row r="1522" spans="2:3" x14ac:dyDescent="0.25">
      <c r="B1522" s="11">
        <f>[1]Pokemon!C1522</f>
        <v>0</v>
      </c>
      <c r="C1522" s="11">
        <f>[1]Moves!B1522</f>
        <v>0</v>
      </c>
    </row>
    <row r="1523" spans="2:3" x14ac:dyDescent="0.25">
      <c r="B1523" s="11">
        <f>[1]Pokemon!C1523</f>
        <v>0</v>
      </c>
      <c r="C1523" s="11">
        <f>[1]Moves!B1523</f>
        <v>0</v>
      </c>
    </row>
    <row r="1524" spans="2:3" x14ac:dyDescent="0.25">
      <c r="B1524" s="11">
        <f>[1]Pokemon!C1524</f>
        <v>0</v>
      </c>
      <c r="C1524" s="11">
        <f>[1]Moves!B1524</f>
        <v>0</v>
      </c>
    </row>
    <row r="1525" spans="2:3" x14ac:dyDescent="0.25">
      <c r="B1525" s="11">
        <f>[1]Pokemon!C1525</f>
        <v>0</v>
      </c>
      <c r="C1525" s="11">
        <f>[1]Moves!B1525</f>
        <v>0</v>
      </c>
    </row>
    <row r="1526" spans="2:3" x14ac:dyDescent="0.25">
      <c r="B1526" s="11">
        <f>[1]Pokemon!C1526</f>
        <v>0</v>
      </c>
      <c r="C1526" s="11">
        <f>[1]Moves!B1526</f>
        <v>0</v>
      </c>
    </row>
    <row r="1527" spans="2:3" x14ac:dyDescent="0.25">
      <c r="B1527" s="11">
        <f>[1]Pokemon!C1527</f>
        <v>0</v>
      </c>
      <c r="C1527" s="11">
        <f>[1]Moves!B1527</f>
        <v>0</v>
      </c>
    </row>
    <row r="1528" spans="2:3" x14ac:dyDescent="0.25">
      <c r="B1528" s="11">
        <f>[1]Pokemon!C1528</f>
        <v>0</v>
      </c>
      <c r="C1528" s="11">
        <f>[1]Moves!B1528</f>
        <v>0</v>
      </c>
    </row>
    <row r="1529" spans="2:3" x14ac:dyDescent="0.25">
      <c r="B1529" s="11">
        <f>[1]Pokemon!C1529</f>
        <v>0</v>
      </c>
      <c r="C1529" s="11">
        <f>[1]Moves!B1529</f>
        <v>0</v>
      </c>
    </row>
    <row r="1530" spans="2:3" x14ac:dyDescent="0.25">
      <c r="B1530" s="11">
        <f>[1]Pokemon!C1530</f>
        <v>0</v>
      </c>
      <c r="C1530" s="11">
        <f>[1]Moves!B1530</f>
        <v>0</v>
      </c>
    </row>
    <row r="1531" spans="2:3" x14ac:dyDescent="0.25">
      <c r="B1531" s="11">
        <f>[1]Pokemon!C1531</f>
        <v>0</v>
      </c>
      <c r="C1531" s="11">
        <f>[1]Moves!B1531</f>
        <v>0</v>
      </c>
    </row>
    <row r="1532" spans="2:3" x14ac:dyDescent="0.25">
      <c r="B1532" s="11">
        <f>[1]Pokemon!C1532</f>
        <v>0</v>
      </c>
      <c r="C1532" s="11">
        <f>[1]Moves!B1532</f>
        <v>0</v>
      </c>
    </row>
    <row r="1533" spans="2:3" x14ac:dyDescent="0.25">
      <c r="B1533" s="11">
        <f>[1]Pokemon!C1533</f>
        <v>0</v>
      </c>
      <c r="C1533" s="11">
        <f>[1]Moves!B1533</f>
        <v>0</v>
      </c>
    </row>
    <row r="1534" spans="2:3" x14ac:dyDescent="0.25">
      <c r="B1534" s="11">
        <f>[1]Pokemon!C1534</f>
        <v>0</v>
      </c>
      <c r="C1534" s="11">
        <f>[1]Moves!B1534</f>
        <v>0</v>
      </c>
    </row>
    <row r="1535" spans="2:3" x14ac:dyDescent="0.25">
      <c r="B1535" s="11">
        <f>[1]Pokemon!C1535</f>
        <v>0</v>
      </c>
      <c r="C1535" s="11">
        <f>[1]Moves!B1535</f>
        <v>0</v>
      </c>
    </row>
    <row r="1536" spans="2:3" x14ac:dyDescent="0.25">
      <c r="B1536" s="11">
        <f>[1]Pokemon!C1536</f>
        <v>0</v>
      </c>
      <c r="C1536" s="11">
        <f>[1]Moves!B1536</f>
        <v>0</v>
      </c>
    </row>
    <row r="1537" spans="2:3" x14ac:dyDescent="0.25">
      <c r="B1537" s="11">
        <f>[1]Pokemon!C1537</f>
        <v>0</v>
      </c>
      <c r="C1537" s="11">
        <f>[1]Moves!B1537</f>
        <v>0</v>
      </c>
    </row>
    <row r="1538" spans="2:3" x14ac:dyDescent="0.25">
      <c r="B1538" s="11">
        <f>[1]Pokemon!C1538</f>
        <v>0</v>
      </c>
      <c r="C1538" s="11">
        <f>[1]Moves!B1538</f>
        <v>0</v>
      </c>
    </row>
    <row r="1539" spans="2:3" x14ac:dyDescent="0.25">
      <c r="B1539" s="11">
        <f>[1]Pokemon!C1539</f>
        <v>0</v>
      </c>
      <c r="C1539" s="11">
        <f>[1]Moves!B1539</f>
        <v>0</v>
      </c>
    </row>
    <row r="1540" spans="2:3" x14ac:dyDescent="0.25">
      <c r="B1540" s="11">
        <f>[1]Pokemon!C1540</f>
        <v>0</v>
      </c>
      <c r="C1540" s="11">
        <f>[1]Moves!B1540</f>
        <v>0</v>
      </c>
    </row>
    <row r="1541" spans="2:3" x14ac:dyDescent="0.25">
      <c r="B1541" s="11">
        <f>[1]Pokemon!C1541</f>
        <v>0</v>
      </c>
      <c r="C1541" s="11">
        <f>[1]Moves!B1541</f>
        <v>0</v>
      </c>
    </row>
    <row r="1542" spans="2:3" x14ac:dyDescent="0.25">
      <c r="B1542" s="11">
        <f>[1]Pokemon!C1542</f>
        <v>0</v>
      </c>
      <c r="C1542" s="11">
        <f>[1]Moves!B1542</f>
        <v>0</v>
      </c>
    </row>
    <row r="1543" spans="2:3" x14ac:dyDescent="0.25">
      <c r="B1543" s="11">
        <f>[1]Pokemon!C1543</f>
        <v>0</v>
      </c>
      <c r="C1543" s="11">
        <f>[1]Moves!B1543</f>
        <v>0</v>
      </c>
    </row>
    <row r="1544" spans="2:3" x14ac:dyDescent="0.25">
      <c r="B1544" s="11">
        <f>[1]Pokemon!C1544</f>
        <v>0</v>
      </c>
      <c r="C1544" s="11">
        <f>[1]Moves!B1544</f>
        <v>0</v>
      </c>
    </row>
    <row r="1545" spans="2:3" x14ac:dyDescent="0.25">
      <c r="B1545" s="11">
        <f>[1]Pokemon!C1545</f>
        <v>0</v>
      </c>
      <c r="C1545" s="11">
        <f>[1]Moves!B1545</f>
        <v>0</v>
      </c>
    </row>
    <row r="1546" spans="2:3" x14ac:dyDescent="0.25">
      <c r="B1546" s="11">
        <f>[1]Pokemon!C1546</f>
        <v>0</v>
      </c>
      <c r="C1546" s="11">
        <f>[1]Moves!B1546</f>
        <v>0</v>
      </c>
    </row>
    <row r="1547" spans="2:3" x14ac:dyDescent="0.25">
      <c r="B1547" s="11">
        <f>[1]Pokemon!C1547</f>
        <v>0</v>
      </c>
      <c r="C1547" s="11">
        <f>[1]Moves!B1547</f>
        <v>0</v>
      </c>
    </row>
    <row r="1548" spans="2:3" x14ac:dyDescent="0.25">
      <c r="B1548" s="11">
        <f>[1]Pokemon!C1548</f>
        <v>0</v>
      </c>
      <c r="C1548" s="11">
        <f>[1]Moves!B1548</f>
        <v>0</v>
      </c>
    </row>
    <row r="1549" spans="2:3" x14ac:dyDescent="0.25">
      <c r="B1549" s="11">
        <f>[1]Pokemon!C1549</f>
        <v>0</v>
      </c>
      <c r="C1549" s="11">
        <f>[1]Moves!B1549</f>
        <v>0</v>
      </c>
    </row>
    <row r="1550" spans="2:3" x14ac:dyDescent="0.25">
      <c r="B1550" s="11">
        <f>[1]Pokemon!C1550</f>
        <v>0</v>
      </c>
      <c r="C1550" s="11">
        <f>[1]Moves!B1550</f>
        <v>0</v>
      </c>
    </row>
    <row r="1551" spans="2:3" x14ac:dyDescent="0.25">
      <c r="B1551" s="11">
        <f>[1]Pokemon!C1551</f>
        <v>0</v>
      </c>
      <c r="C1551" s="11">
        <f>[1]Moves!B1551</f>
        <v>0</v>
      </c>
    </row>
    <row r="1552" spans="2:3" x14ac:dyDescent="0.25">
      <c r="B1552" s="11">
        <f>[1]Pokemon!C1552</f>
        <v>0</v>
      </c>
      <c r="C1552" s="11">
        <f>[1]Moves!B1552</f>
        <v>0</v>
      </c>
    </row>
    <row r="1553" spans="2:3" x14ac:dyDescent="0.25">
      <c r="B1553" s="11">
        <f>[1]Pokemon!C1553</f>
        <v>0</v>
      </c>
      <c r="C1553" s="11">
        <f>[1]Moves!B1553</f>
        <v>0</v>
      </c>
    </row>
    <row r="1554" spans="2:3" x14ac:dyDescent="0.25">
      <c r="B1554" s="11">
        <f>[1]Pokemon!C1554</f>
        <v>0</v>
      </c>
      <c r="C1554" s="11">
        <f>[1]Moves!B1554</f>
        <v>0</v>
      </c>
    </row>
    <row r="1555" spans="2:3" x14ac:dyDescent="0.25">
      <c r="B1555" s="11">
        <f>[1]Pokemon!C1555</f>
        <v>0</v>
      </c>
      <c r="C1555" s="11">
        <f>[1]Moves!B1555</f>
        <v>0</v>
      </c>
    </row>
    <row r="1556" spans="2:3" x14ac:dyDescent="0.25">
      <c r="B1556" s="11">
        <f>[1]Pokemon!C1556</f>
        <v>0</v>
      </c>
      <c r="C1556" s="11">
        <f>[1]Moves!B1556</f>
        <v>0</v>
      </c>
    </row>
    <row r="1557" spans="2:3" x14ac:dyDescent="0.25">
      <c r="B1557" s="11">
        <f>[1]Pokemon!C1557</f>
        <v>0</v>
      </c>
      <c r="C1557" s="11">
        <f>[1]Moves!B1557</f>
        <v>0</v>
      </c>
    </row>
    <row r="1558" spans="2:3" x14ac:dyDescent="0.25">
      <c r="B1558" s="11">
        <f>[1]Pokemon!C1558</f>
        <v>0</v>
      </c>
      <c r="C1558" s="11">
        <f>[1]Moves!B1558</f>
        <v>0</v>
      </c>
    </row>
    <row r="1559" spans="2:3" x14ac:dyDescent="0.25">
      <c r="B1559" s="11">
        <f>[1]Pokemon!C1559</f>
        <v>0</v>
      </c>
      <c r="C1559" s="11">
        <f>[1]Moves!B1559</f>
        <v>0</v>
      </c>
    </row>
    <row r="1560" spans="2:3" x14ac:dyDescent="0.25">
      <c r="B1560" s="11">
        <f>[1]Pokemon!C1560</f>
        <v>0</v>
      </c>
      <c r="C1560" s="11">
        <f>[1]Moves!B1560</f>
        <v>0</v>
      </c>
    </row>
    <row r="1561" spans="2:3" x14ac:dyDescent="0.25">
      <c r="B1561" s="11">
        <f>[1]Pokemon!C1561</f>
        <v>0</v>
      </c>
      <c r="C1561" s="11">
        <f>[1]Moves!B1561</f>
        <v>0</v>
      </c>
    </row>
    <row r="1562" spans="2:3" x14ac:dyDescent="0.25">
      <c r="B1562" s="11">
        <f>[1]Pokemon!C1562</f>
        <v>0</v>
      </c>
      <c r="C1562" s="11">
        <f>[1]Moves!B1562</f>
        <v>0</v>
      </c>
    </row>
    <row r="1563" spans="2:3" x14ac:dyDescent="0.25">
      <c r="B1563" s="11">
        <f>[1]Pokemon!C1563</f>
        <v>0</v>
      </c>
      <c r="C1563" s="11">
        <f>[1]Moves!B1563</f>
        <v>0</v>
      </c>
    </row>
    <row r="1564" spans="2:3" x14ac:dyDescent="0.25">
      <c r="B1564" s="11">
        <f>[1]Pokemon!C1564</f>
        <v>0</v>
      </c>
      <c r="C1564" s="11">
        <f>[1]Moves!B1564</f>
        <v>0</v>
      </c>
    </row>
    <row r="1565" spans="2:3" x14ac:dyDescent="0.25">
      <c r="B1565" s="11">
        <f>[1]Pokemon!C1565</f>
        <v>0</v>
      </c>
      <c r="C1565" s="11">
        <f>[1]Moves!B1565</f>
        <v>0</v>
      </c>
    </row>
    <row r="1566" spans="2:3" x14ac:dyDescent="0.25">
      <c r="B1566" s="11">
        <f>[1]Pokemon!C1566</f>
        <v>0</v>
      </c>
      <c r="C1566" s="11">
        <f>[1]Moves!B1566</f>
        <v>0</v>
      </c>
    </row>
    <row r="1567" spans="2:3" x14ac:dyDescent="0.25">
      <c r="B1567" s="11">
        <f>[1]Pokemon!C1567</f>
        <v>0</v>
      </c>
      <c r="C1567" s="11">
        <f>[1]Moves!B1567</f>
        <v>0</v>
      </c>
    </row>
    <row r="1568" spans="2:3" x14ac:dyDescent="0.25">
      <c r="B1568" s="11">
        <f>[1]Pokemon!C1568</f>
        <v>0</v>
      </c>
      <c r="C1568" s="11">
        <f>[1]Moves!B1568</f>
        <v>0</v>
      </c>
    </row>
    <row r="1569" spans="2:3" x14ac:dyDescent="0.25">
      <c r="B1569" s="11">
        <f>[1]Pokemon!C1569</f>
        <v>0</v>
      </c>
      <c r="C1569" s="11">
        <f>[1]Moves!B1569</f>
        <v>0</v>
      </c>
    </row>
    <row r="1570" spans="2:3" x14ac:dyDescent="0.25">
      <c r="B1570" s="11">
        <f>[1]Pokemon!C1570</f>
        <v>0</v>
      </c>
      <c r="C1570" s="11">
        <f>[1]Moves!B1570</f>
        <v>0</v>
      </c>
    </row>
    <row r="1571" spans="2:3" x14ac:dyDescent="0.25">
      <c r="B1571" s="11">
        <f>[1]Pokemon!C1571</f>
        <v>0</v>
      </c>
      <c r="C1571" s="11">
        <f>[1]Moves!B1571</f>
        <v>0</v>
      </c>
    </row>
    <row r="1572" spans="2:3" x14ac:dyDescent="0.25">
      <c r="B1572" s="11">
        <f>[1]Pokemon!C1572</f>
        <v>0</v>
      </c>
      <c r="C1572" s="11">
        <f>[1]Moves!B1572</f>
        <v>0</v>
      </c>
    </row>
    <row r="1573" spans="2:3" x14ac:dyDescent="0.25">
      <c r="B1573" s="11">
        <f>[1]Pokemon!C1573</f>
        <v>0</v>
      </c>
      <c r="C1573" s="11">
        <f>[1]Moves!B1573</f>
        <v>0</v>
      </c>
    </row>
    <row r="1574" spans="2:3" x14ac:dyDescent="0.25">
      <c r="B1574" s="11">
        <f>[1]Pokemon!C1574</f>
        <v>0</v>
      </c>
      <c r="C1574" s="11">
        <f>[1]Moves!B1574</f>
        <v>0</v>
      </c>
    </row>
    <row r="1575" spans="2:3" x14ac:dyDescent="0.25">
      <c r="B1575" s="11">
        <f>[1]Pokemon!C1575</f>
        <v>0</v>
      </c>
      <c r="C1575" s="11">
        <f>[1]Moves!B1575</f>
        <v>0</v>
      </c>
    </row>
    <row r="1576" spans="2:3" x14ac:dyDescent="0.25">
      <c r="B1576" s="11">
        <f>[1]Pokemon!C1576</f>
        <v>0</v>
      </c>
      <c r="C1576" s="11">
        <f>[1]Moves!B1576</f>
        <v>0</v>
      </c>
    </row>
    <row r="1577" spans="2:3" x14ac:dyDescent="0.25">
      <c r="B1577" s="11">
        <f>[1]Pokemon!C1577</f>
        <v>0</v>
      </c>
      <c r="C1577" s="11">
        <f>[1]Moves!B1577</f>
        <v>0</v>
      </c>
    </row>
    <row r="1578" spans="2:3" x14ac:dyDescent="0.25">
      <c r="B1578" s="11">
        <f>[1]Pokemon!C1578</f>
        <v>0</v>
      </c>
      <c r="C1578" s="11">
        <f>[1]Moves!B1578</f>
        <v>0</v>
      </c>
    </row>
    <row r="1579" spans="2:3" x14ac:dyDescent="0.25">
      <c r="B1579" s="11">
        <f>[1]Pokemon!C1579</f>
        <v>0</v>
      </c>
      <c r="C1579" s="11">
        <f>[1]Moves!B1579</f>
        <v>0</v>
      </c>
    </row>
    <row r="1580" spans="2:3" x14ac:dyDescent="0.25">
      <c r="B1580" s="11">
        <f>[1]Pokemon!C1580</f>
        <v>0</v>
      </c>
      <c r="C1580" s="11">
        <f>[1]Moves!B1580</f>
        <v>0</v>
      </c>
    </row>
    <row r="1581" spans="2:3" x14ac:dyDescent="0.25">
      <c r="B1581" s="11">
        <f>[1]Pokemon!C1581</f>
        <v>0</v>
      </c>
      <c r="C1581" s="11">
        <f>[1]Moves!B1581</f>
        <v>0</v>
      </c>
    </row>
    <row r="1582" spans="2:3" x14ac:dyDescent="0.25">
      <c r="B1582" s="11">
        <f>[1]Pokemon!C1582</f>
        <v>0</v>
      </c>
      <c r="C1582" s="11">
        <f>[1]Moves!B1582</f>
        <v>0</v>
      </c>
    </row>
    <row r="1583" spans="2:3" x14ac:dyDescent="0.25">
      <c r="B1583" s="11">
        <f>[1]Pokemon!C1583</f>
        <v>0</v>
      </c>
      <c r="C1583" s="11">
        <f>[1]Moves!B1583</f>
        <v>0</v>
      </c>
    </row>
    <row r="1584" spans="2:3" x14ac:dyDescent="0.25">
      <c r="B1584" s="11">
        <f>[1]Pokemon!C1584</f>
        <v>0</v>
      </c>
      <c r="C1584" s="11">
        <f>[1]Moves!B1584</f>
        <v>0</v>
      </c>
    </row>
    <row r="1585" spans="2:3" x14ac:dyDescent="0.25">
      <c r="B1585" s="11">
        <f>[1]Pokemon!C1585</f>
        <v>0</v>
      </c>
      <c r="C1585" s="11">
        <f>[1]Moves!B1585</f>
        <v>0</v>
      </c>
    </row>
    <row r="1586" spans="2:3" x14ac:dyDescent="0.25">
      <c r="B1586" s="11">
        <f>[1]Pokemon!C1586</f>
        <v>0</v>
      </c>
      <c r="C1586" s="11">
        <f>[1]Moves!B1586</f>
        <v>0</v>
      </c>
    </row>
    <row r="1587" spans="2:3" x14ac:dyDescent="0.25">
      <c r="B1587" s="11">
        <f>[1]Pokemon!C1587</f>
        <v>0</v>
      </c>
      <c r="C1587" s="11">
        <f>[1]Moves!B1587</f>
        <v>0</v>
      </c>
    </row>
    <row r="1588" spans="2:3" x14ac:dyDescent="0.25">
      <c r="B1588" s="11">
        <f>[1]Pokemon!C1588</f>
        <v>0</v>
      </c>
      <c r="C1588" s="11">
        <f>[1]Moves!B1588</f>
        <v>0</v>
      </c>
    </row>
    <row r="1589" spans="2:3" x14ac:dyDescent="0.25">
      <c r="B1589" s="11">
        <f>[1]Pokemon!C1589</f>
        <v>0</v>
      </c>
      <c r="C1589" s="11">
        <f>[1]Moves!B1589</f>
        <v>0</v>
      </c>
    </row>
    <row r="1590" spans="2:3" x14ac:dyDescent="0.25">
      <c r="B1590" s="11">
        <f>[1]Pokemon!C1590</f>
        <v>0</v>
      </c>
      <c r="C1590" s="11">
        <f>[1]Moves!B1590</f>
        <v>0</v>
      </c>
    </row>
    <row r="1591" spans="2:3" x14ac:dyDescent="0.25">
      <c r="B1591" s="11">
        <f>[1]Pokemon!C1591</f>
        <v>0</v>
      </c>
      <c r="C1591" s="11">
        <f>[1]Moves!B1591</f>
        <v>0</v>
      </c>
    </row>
    <row r="1592" spans="2:3" x14ac:dyDescent="0.25">
      <c r="B1592" s="11">
        <f>[1]Pokemon!C1592</f>
        <v>0</v>
      </c>
      <c r="C1592" s="11">
        <f>[1]Moves!B1592</f>
        <v>0</v>
      </c>
    </row>
    <row r="1593" spans="2:3" x14ac:dyDescent="0.25">
      <c r="B1593" s="11">
        <f>[1]Pokemon!C1593</f>
        <v>0</v>
      </c>
      <c r="C1593" s="11">
        <f>[1]Moves!B1593</f>
        <v>0</v>
      </c>
    </row>
    <row r="1594" spans="2:3" x14ac:dyDescent="0.25">
      <c r="B1594" s="11">
        <f>[1]Pokemon!C1594</f>
        <v>0</v>
      </c>
      <c r="C1594" s="11">
        <f>[1]Moves!B1594</f>
        <v>0</v>
      </c>
    </row>
    <row r="1595" spans="2:3" x14ac:dyDescent="0.25">
      <c r="B1595" s="11">
        <f>[1]Pokemon!C1595</f>
        <v>0</v>
      </c>
      <c r="C1595" s="11">
        <f>[1]Moves!B1595</f>
        <v>0</v>
      </c>
    </row>
    <row r="1596" spans="2:3" x14ac:dyDescent="0.25">
      <c r="B1596" s="11">
        <f>[1]Pokemon!C1596</f>
        <v>0</v>
      </c>
      <c r="C1596" s="11">
        <f>[1]Moves!B1596</f>
        <v>0</v>
      </c>
    </row>
    <row r="1597" spans="2:3" x14ac:dyDescent="0.25">
      <c r="B1597" s="11">
        <f>[1]Pokemon!C1597</f>
        <v>0</v>
      </c>
      <c r="C1597" s="11">
        <f>[1]Moves!B1597</f>
        <v>0</v>
      </c>
    </row>
    <row r="1598" spans="2:3" x14ac:dyDescent="0.25">
      <c r="B1598" s="11">
        <f>[1]Pokemon!C1598</f>
        <v>0</v>
      </c>
      <c r="C1598" s="11">
        <f>[1]Moves!B1598</f>
        <v>0</v>
      </c>
    </row>
    <row r="1599" spans="2:3" x14ac:dyDescent="0.25">
      <c r="B1599" s="11">
        <f>[1]Pokemon!C1599</f>
        <v>0</v>
      </c>
      <c r="C1599" s="11">
        <f>[1]Moves!B1599</f>
        <v>0</v>
      </c>
    </row>
    <row r="1600" spans="2:3" x14ac:dyDescent="0.25">
      <c r="B1600" s="11">
        <f>[1]Pokemon!C1600</f>
        <v>0</v>
      </c>
      <c r="C1600" s="11">
        <f>[1]Moves!B1600</f>
        <v>0</v>
      </c>
    </row>
    <row r="1601" spans="2:3" x14ac:dyDescent="0.25">
      <c r="B1601" s="11">
        <f>[1]Pokemon!C1601</f>
        <v>0</v>
      </c>
      <c r="C1601" s="11">
        <f>[1]Moves!B1601</f>
        <v>0</v>
      </c>
    </row>
    <row r="1602" spans="2:3" x14ac:dyDescent="0.25">
      <c r="B1602" s="11">
        <f>[1]Pokemon!C1602</f>
        <v>0</v>
      </c>
      <c r="C1602" s="11">
        <f>[1]Moves!B1602</f>
        <v>0</v>
      </c>
    </row>
    <row r="1603" spans="2:3" x14ac:dyDescent="0.25">
      <c r="B1603" s="11">
        <f>[1]Pokemon!C1603</f>
        <v>0</v>
      </c>
      <c r="C1603" s="11">
        <f>[1]Moves!B1603</f>
        <v>0</v>
      </c>
    </row>
    <row r="1604" spans="2:3" x14ac:dyDescent="0.25">
      <c r="B1604" s="11">
        <f>[1]Pokemon!C1604</f>
        <v>0</v>
      </c>
      <c r="C1604" s="11">
        <f>[1]Moves!B1604</f>
        <v>0</v>
      </c>
    </row>
    <row r="1605" spans="2:3" x14ac:dyDescent="0.25">
      <c r="B1605" s="11">
        <f>[1]Pokemon!C1605</f>
        <v>0</v>
      </c>
      <c r="C1605" s="11">
        <f>[1]Moves!B1605</f>
        <v>0</v>
      </c>
    </row>
    <row r="1606" spans="2:3" x14ac:dyDescent="0.25">
      <c r="B1606" s="11">
        <f>[1]Pokemon!C1606</f>
        <v>0</v>
      </c>
      <c r="C1606" s="11">
        <f>[1]Moves!B1606</f>
        <v>0</v>
      </c>
    </row>
    <row r="1607" spans="2:3" x14ac:dyDescent="0.25">
      <c r="B1607" s="11">
        <f>[1]Pokemon!C1607</f>
        <v>0</v>
      </c>
      <c r="C1607" s="11">
        <f>[1]Moves!B1607</f>
        <v>0</v>
      </c>
    </row>
    <row r="1608" spans="2:3" x14ac:dyDescent="0.25">
      <c r="B1608" s="11">
        <f>[1]Pokemon!C1608</f>
        <v>0</v>
      </c>
      <c r="C1608" s="11">
        <f>[1]Moves!B1608</f>
        <v>0</v>
      </c>
    </row>
    <row r="1609" spans="2:3" x14ac:dyDescent="0.25">
      <c r="B1609" s="11">
        <f>[1]Pokemon!C1609</f>
        <v>0</v>
      </c>
      <c r="C1609" s="11">
        <f>[1]Moves!B1609</f>
        <v>0</v>
      </c>
    </row>
    <row r="1610" spans="2:3" x14ac:dyDescent="0.25">
      <c r="B1610" s="11">
        <f>[1]Pokemon!C1610</f>
        <v>0</v>
      </c>
      <c r="C1610" s="11">
        <f>[1]Moves!B1610</f>
        <v>0</v>
      </c>
    </row>
    <row r="1611" spans="2:3" x14ac:dyDescent="0.25">
      <c r="B1611" s="11">
        <f>[1]Pokemon!C1611</f>
        <v>0</v>
      </c>
      <c r="C1611" s="11">
        <f>[1]Moves!B1611</f>
        <v>0</v>
      </c>
    </row>
    <row r="1612" spans="2:3" x14ac:dyDescent="0.25">
      <c r="B1612" s="11">
        <f>[1]Pokemon!C1612</f>
        <v>0</v>
      </c>
      <c r="C1612" s="11">
        <f>[1]Moves!B1612</f>
        <v>0</v>
      </c>
    </row>
    <row r="1613" spans="2:3" x14ac:dyDescent="0.25">
      <c r="B1613" s="11">
        <f>[1]Pokemon!C1613</f>
        <v>0</v>
      </c>
      <c r="C1613" s="11">
        <f>[1]Moves!B1613</f>
        <v>0</v>
      </c>
    </row>
    <row r="1614" spans="2:3" x14ac:dyDescent="0.25">
      <c r="B1614" s="11">
        <f>[1]Pokemon!C1614</f>
        <v>0</v>
      </c>
      <c r="C1614" s="11">
        <f>[1]Moves!B1614</f>
        <v>0</v>
      </c>
    </row>
    <row r="1615" spans="2:3" x14ac:dyDescent="0.25">
      <c r="B1615" s="11">
        <f>[1]Pokemon!C1615</f>
        <v>0</v>
      </c>
      <c r="C1615" s="11">
        <f>[1]Moves!B1615</f>
        <v>0</v>
      </c>
    </row>
    <row r="1616" spans="2:3" x14ac:dyDescent="0.25">
      <c r="B1616" s="11">
        <f>[1]Pokemon!C1616</f>
        <v>0</v>
      </c>
      <c r="C1616" s="11">
        <f>[1]Moves!B1616</f>
        <v>0</v>
      </c>
    </row>
    <row r="1617" spans="2:3" x14ac:dyDescent="0.25">
      <c r="B1617" s="11">
        <f>[1]Pokemon!C1617</f>
        <v>0</v>
      </c>
      <c r="C1617" s="11">
        <f>[1]Moves!B1617</f>
        <v>0</v>
      </c>
    </row>
    <row r="1618" spans="2:3" x14ac:dyDescent="0.25">
      <c r="B1618" s="11">
        <f>[1]Pokemon!C1618</f>
        <v>0</v>
      </c>
      <c r="C1618" s="11">
        <f>[1]Moves!B1618</f>
        <v>0</v>
      </c>
    </row>
    <row r="1619" spans="2:3" x14ac:dyDescent="0.25">
      <c r="B1619" s="11">
        <f>[1]Pokemon!C1619</f>
        <v>0</v>
      </c>
      <c r="C1619" s="11">
        <f>[1]Moves!B1619</f>
        <v>0</v>
      </c>
    </row>
    <row r="1620" spans="2:3" x14ac:dyDescent="0.25">
      <c r="B1620" s="11">
        <f>[1]Pokemon!C1620</f>
        <v>0</v>
      </c>
      <c r="C1620" s="11">
        <f>[1]Moves!B1620</f>
        <v>0</v>
      </c>
    </row>
    <row r="1621" spans="2:3" x14ac:dyDescent="0.25">
      <c r="B1621" s="11">
        <f>[1]Pokemon!C1621</f>
        <v>0</v>
      </c>
      <c r="C1621" s="11">
        <f>[1]Moves!B1621</f>
        <v>0</v>
      </c>
    </row>
    <row r="1622" spans="2:3" x14ac:dyDescent="0.25">
      <c r="B1622" s="11">
        <f>[1]Pokemon!C1622</f>
        <v>0</v>
      </c>
      <c r="C1622" s="11">
        <f>[1]Moves!B1622</f>
        <v>0</v>
      </c>
    </row>
    <row r="1623" spans="2:3" x14ac:dyDescent="0.25">
      <c r="B1623" s="11">
        <f>[1]Pokemon!C1623</f>
        <v>0</v>
      </c>
      <c r="C1623" s="11">
        <f>[1]Moves!B1623</f>
        <v>0</v>
      </c>
    </row>
    <row r="1624" spans="2:3" x14ac:dyDescent="0.25">
      <c r="B1624" s="11">
        <f>[1]Pokemon!C1624</f>
        <v>0</v>
      </c>
      <c r="C1624" s="11">
        <f>[1]Moves!B1624</f>
        <v>0</v>
      </c>
    </row>
    <row r="1625" spans="2:3" x14ac:dyDescent="0.25">
      <c r="B1625" s="11">
        <f>[1]Pokemon!C1625</f>
        <v>0</v>
      </c>
      <c r="C1625" s="11">
        <f>[1]Moves!B1625</f>
        <v>0</v>
      </c>
    </row>
    <row r="1626" spans="2:3" x14ac:dyDescent="0.25">
      <c r="B1626" s="11">
        <f>[1]Pokemon!C1626</f>
        <v>0</v>
      </c>
      <c r="C1626" s="11">
        <f>[1]Moves!B1626</f>
        <v>0</v>
      </c>
    </row>
    <row r="1627" spans="2:3" x14ac:dyDescent="0.25">
      <c r="B1627" s="11">
        <f>[1]Pokemon!C1627</f>
        <v>0</v>
      </c>
      <c r="C1627" s="11">
        <f>[1]Moves!B1627</f>
        <v>0</v>
      </c>
    </row>
    <row r="1628" spans="2:3" x14ac:dyDescent="0.25">
      <c r="B1628" s="11">
        <f>[1]Pokemon!C1628</f>
        <v>0</v>
      </c>
      <c r="C1628" s="11">
        <f>[1]Moves!B1628</f>
        <v>0</v>
      </c>
    </row>
    <row r="1629" spans="2:3" x14ac:dyDescent="0.25">
      <c r="B1629" s="11">
        <f>[1]Pokemon!C1629</f>
        <v>0</v>
      </c>
      <c r="C1629" s="11">
        <f>[1]Moves!B1629</f>
        <v>0</v>
      </c>
    </row>
    <row r="1630" spans="2:3" x14ac:dyDescent="0.25">
      <c r="B1630" s="11">
        <f>[1]Pokemon!C1630</f>
        <v>0</v>
      </c>
      <c r="C1630" s="11">
        <f>[1]Moves!B1630</f>
        <v>0</v>
      </c>
    </row>
    <row r="1631" spans="2:3" x14ac:dyDescent="0.25">
      <c r="B1631" s="11">
        <f>[1]Pokemon!C1631</f>
        <v>0</v>
      </c>
      <c r="C1631" s="11">
        <f>[1]Moves!B1631</f>
        <v>0</v>
      </c>
    </row>
    <row r="1632" spans="2:3" x14ac:dyDescent="0.25">
      <c r="B1632" s="11">
        <f>[1]Pokemon!C1632</f>
        <v>0</v>
      </c>
      <c r="C1632" s="11">
        <f>[1]Moves!B1632</f>
        <v>0</v>
      </c>
    </row>
    <row r="1633" spans="2:3" x14ac:dyDescent="0.25">
      <c r="B1633" s="11">
        <f>[1]Pokemon!C1633</f>
        <v>0</v>
      </c>
      <c r="C1633" s="11">
        <f>[1]Moves!B1633</f>
        <v>0</v>
      </c>
    </row>
    <row r="1634" spans="2:3" x14ac:dyDescent="0.25">
      <c r="B1634" s="11">
        <f>[1]Pokemon!C1634</f>
        <v>0</v>
      </c>
      <c r="C1634" s="11">
        <f>[1]Moves!B1634</f>
        <v>0</v>
      </c>
    </row>
    <row r="1635" spans="2:3" x14ac:dyDescent="0.25">
      <c r="B1635" s="11">
        <f>[1]Pokemon!C1635</f>
        <v>0</v>
      </c>
      <c r="C1635" s="11">
        <f>[1]Moves!B1635</f>
        <v>0</v>
      </c>
    </row>
    <row r="1636" spans="2:3" x14ac:dyDescent="0.25">
      <c r="B1636" s="11">
        <f>[1]Pokemon!C1636</f>
        <v>0</v>
      </c>
      <c r="C1636" s="11">
        <f>[1]Moves!B1636</f>
        <v>0</v>
      </c>
    </row>
    <row r="1637" spans="2:3" x14ac:dyDescent="0.25">
      <c r="B1637" s="11">
        <f>[1]Pokemon!C1637</f>
        <v>0</v>
      </c>
      <c r="C1637" s="11">
        <f>[1]Moves!B1637</f>
        <v>0</v>
      </c>
    </row>
    <row r="1638" spans="2:3" x14ac:dyDescent="0.25">
      <c r="B1638" s="11">
        <f>[1]Pokemon!C1638</f>
        <v>0</v>
      </c>
      <c r="C1638" s="11">
        <f>[1]Moves!B1638</f>
        <v>0</v>
      </c>
    </row>
    <row r="1639" spans="2:3" x14ac:dyDescent="0.25">
      <c r="B1639" s="11">
        <f>[1]Pokemon!C1639</f>
        <v>0</v>
      </c>
      <c r="C1639" s="11">
        <f>[1]Moves!B1639</f>
        <v>0</v>
      </c>
    </row>
    <row r="1640" spans="2:3" x14ac:dyDescent="0.25">
      <c r="B1640" s="11">
        <f>[1]Pokemon!C1640</f>
        <v>0</v>
      </c>
      <c r="C1640" s="11">
        <f>[1]Moves!B1640</f>
        <v>0</v>
      </c>
    </row>
    <row r="1641" spans="2:3" x14ac:dyDescent="0.25">
      <c r="B1641" s="11">
        <f>[1]Pokemon!C1641</f>
        <v>0</v>
      </c>
      <c r="C1641" s="11">
        <f>[1]Moves!B1641</f>
        <v>0</v>
      </c>
    </row>
    <row r="1642" spans="2:3" x14ac:dyDescent="0.25">
      <c r="B1642" s="11">
        <f>[1]Pokemon!C1642</f>
        <v>0</v>
      </c>
      <c r="C1642" s="11">
        <f>[1]Moves!B1642</f>
        <v>0</v>
      </c>
    </row>
    <row r="1643" spans="2:3" x14ac:dyDescent="0.25">
      <c r="B1643" s="11">
        <f>[1]Pokemon!C1643</f>
        <v>0</v>
      </c>
      <c r="C1643" s="11">
        <f>[1]Moves!B1643</f>
        <v>0</v>
      </c>
    </row>
    <row r="1644" spans="2:3" x14ac:dyDescent="0.25">
      <c r="B1644" s="11">
        <f>[1]Pokemon!C1644</f>
        <v>0</v>
      </c>
      <c r="C1644" s="11">
        <f>[1]Moves!B1644</f>
        <v>0</v>
      </c>
    </row>
    <row r="1645" spans="2:3" x14ac:dyDescent="0.25">
      <c r="B1645" s="11">
        <f>[1]Pokemon!C1645</f>
        <v>0</v>
      </c>
      <c r="C1645" s="11">
        <f>[1]Moves!B1645</f>
        <v>0</v>
      </c>
    </row>
    <row r="1646" spans="2:3" x14ac:dyDescent="0.25">
      <c r="B1646" s="11">
        <f>[1]Pokemon!C1646</f>
        <v>0</v>
      </c>
      <c r="C1646" s="11">
        <f>[1]Moves!B1646</f>
        <v>0</v>
      </c>
    </row>
    <row r="1647" spans="2:3" x14ac:dyDescent="0.25">
      <c r="B1647" s="11">
        <f>[1]Pokemon!C1647</f>
        <v>0</v>
      </c>
      <c r="C1647" s="11">
        <f>[1]Moves!B1647</f>
        <v>0</v>
      </c>
    </row>
    <row r="1648" spans="2:3" x14ac:dyDescent="0.25">
      <c r="B1648" s="11">
        <f>[1]Pokemon!C1648</f>
        <v>0</v>
      </c>
      <c r="C1648" s="11">
        <f>[1]Moves!B1648</f>
        <v>0</v>
      </c>
    </row>
    <row r="1649" spans="2:3" x14ac:dyDescent="0.25">
      <c r="B1649" s="11">
        <f>[1]Pokemon!C1649</f>
        <v>0</v>
      </c>
      <c r="C1649" s="11">
        <f>[1]Moves!B1649</f>
        <v>0</v>
      </c>
    </row>
    <row r="1650" spans="2:3" x14ac:dyDescent="0.25">
      <c r="B1650" s="11">
        <f>[1]Pokemon!C1650</f>
        <v>0</v>
      </c>
      <c r="C1650" s="11">
        <f>[1]Moves!B1650</f>
        <v>0</v>
      </c>
    </row>
    <row r="1651" spans="2:3" x14ac:dyDescent="0.25">
      <c r="B1651" s="11">
        <f>[1]Pokemon!C1651</f>
        <v>0</v>
      </c>
      <c r="C1651" s="11">
        <f>[1]Moves!B1651</f>
        <v>0</v>
      </c>
    </row>
    <row r="1652" spans="2:3" x14ac:dyDescent="0.25">
      <c r="B1652" s="11">
        <f>[1]Pokemon!C1652</f>
        <v>0</v>
      </c>
      <c r="C1652" s="11">
        <f>[1]Moves!B1652</f>
        <v>0</v>
      </c>
    </row>
    <row r="1653" spans="2:3" x14ac:dyDescent="0.25">
      <c r="B1653" s="11">
        <f>[1]Pokemon!C1653</f>
        <v>0</v>
      </c>
      <c r="C1653" s="11">
        <f>[1]Moves!B1653</f>
        <v>0</v>
      </c>
    </row>
    <row r="1654" spans="2:3" x14ac:dyDescent="0.25">
      <c r="B1654" s="11">
        <f>[1]Pokemon!C1654</f>
        <v>0</v>
      </c>
      <c r="C1654" s="11">
        <f>[1]Moves!B1654</f>
        <v>0</v>
      </c>
    </row>
    <row r="1655" spans="2:3" x14ac:dyDescent="0.25">
      <c r="B1655" s="11">
        <f>[1]Pokemon!C1655</f>
        <v>0</v>
      </c>
      <c r="C1655" s="11">
        <f>[1]Moves!B1655</f>
        <v>0</v>
      </c>
    </row>
    <row r="1656" spans="2:3" x14ac:dyDescent="0.25">
      <c r="B1656" s="11">
        <f>[1]Pokemon!C1656</f>
        <v>0</v>
      </c>
      <c r="C1656" s="11">
        <f>[1]Moves!B1656</f>
        <v>0</v>
      </c>
    </row>
    <row r="1657" spans="2:3" x14ac:dyDescent="0.25">
      <c r="B1657" s="11">
        <f>[1]Pokemon!C1657</f>
        <v>0</v>
      </c>
      <c r="C1657" s="11">
        <f>[1]Moves!B1657</f>
        <v>0</v>
      </c>
    </row>
    <row r="1658" spans="2:3" x14ac:dyDescent="0.25">
      <c r="B1658" s="11">
        <f>[1]Pokemon!C1658</f>
        <v>0</v>
      </c>
      <c r="C1658" s="11">
        <f>[1]Moves!B1658</f>
        <v>0</v>
      </c>
    </row>
    <row r="1659" spans="2:3" x14ac:dyDescent="0.25">
      <c r="B1659" s="11">
        <f>[1]Pokemon!C1659</f>
        <v>0</v>
      </c>
      <c r="C1659" s="11">
        <f>[1]Moves!B1659</f>
        <v>0</v>
      </c>
    </row>
    <row r="1660" spans="2:3" x14ac:dyDescent="0.25">
      <c r="B1660" s="11">
        <f>[1]Pokemon!C1660</f>
        <v>0</v>
      </c>
      <c r="C1660" s="11">
        <f>[1]Moves!B1660</f>
        <v>0</v>
      </c>
    </row>
    <row r="1661" spans="2:3" x14ac:dyDescent="0.25">
      <c r="B1661" s="11">
        <f>[1]Pokemon!C1661</f>
        <v>0</v>
      </c>
      <c r="C1661" s="11">
        <f>[1]Moves!B1661</f>
        <v>0</v>
      </c>
    </row>
    <row r="1662" spans="2:3" x14ac:dyDescent="0.25">
      <c r="B1662" s="11">
        <f>[1]Pokemon!C1662</f>
        <v>0</v>
      </c>
      <c r="C1662" s="11">
        <f>[1]Moves!B1662</f>
        <v>0</v>
      </c>
    </row>
    <row r="1663" spans="2:3" x14ac:dyDescent="0.25">
      <c r="B1663" s="11">
        <f>[1]Pokemon!C1663</f>
        <v>0</v>
      </c>
      <c r="C1663" s="11">
        <f>[1]Moves!B1663</f>
        <v>0</v>
      </c>
    </row>
    <row r="1664" spans="2:3" x14ac:dyDescent="0.25">
      <c r="B1664" s="11">
        <f>[1]Pokemon!C1664</f>
        <v>0</v>
      </c>
      <c r="C1664" s="11">
        <f>[1]Moves!B1664</f>
        <v>0</v>
      </c>
    </row>
    <row r="1665" spans="2:3" x14ac:dyDescent="0.25">
      <c r="B1665" s="11">
        <f>[1]Pokemon!C1665</f>
        <v>0</v>
      </c>
      <c r="C1665" s="11">
        <f>[1]Moves!B1665</f>
        <v>0</v>
      </c>
    </row>
    <row r="1666" spans="2:3" x14ac:dyDescent="0.25">
      <c r="B1666" s="11">
        <f>[1]Pokemon!C1666</f>
        <v>0</v>
      </c>
      <c r="C1666" s="11">
        <f>[1]Moves!B1666</f>
        <v>0</v>
      </c>
    </row>
    <row r="1667" spans="2:3" x14ac:dyDescent="0.25">
      <c r="B1667" s="11">
        <f>[1]Pokemon!C1667</f>
        <v>0</v>
      </c>
      <c r="C1667" s="11">
        <f>[1]Moves!B1667</f>
        <v>0</v>
      </c>
    </row>
    <row r="1668" spans="2:3" x14ac:dyDescent="0.25">
      <c r="B1668" s="11">
        <f>[1]Pokemon!C1668</f>
        <v>0</v>
      </c>
      <c r="C1668" s="11">
        <f>[1]Moves!B1668</f>
        <v>0</v>
      </c>
    </row>
    <row r="1669" spans="2:3" x14ac:dyDescent="0.25">
      <c r="B1669" s="11">
        <f>[1]Pokemon!C1669</f>
        <v>0</v>
      </c>
      <c r="C1669" s="11">
        <f>[1]Moves!B1669</f>
        <v>0</v>
      </c>
    </row>
    <row r="1670" spans="2:3" x14ac:dyDescent="0.25">
      <c r="B1670" s="11">
        <f>[1]Pokemon!C1670</f>
        <v>0</v>
      </c>
      <c r="C1670" s="11">
        <f>[1]Moves!B1670</f>
        <v>0</v>
      </c>
    </row>
    <row r="1671" spans="2:3" x14ac:dyDescent="0.25">
      <c r="B1671" s="11">
        <f>[1]Pokemon!C1671</f>
        <v>0</v>
      </c>
      <c r="C1671" s="11">
        <f>[1]Moves!B1671</f>
        <v>0</v>
      </c>
    </row>
    <row r="1672" spans="2:3" x14ac:dyDescent="0.25">
      <c r="B1672" s="11">
        <f>[1]Pokemon!C1672</f>
        <v>0</v>
      </c>
      <c r="C1672" s="11">
        <f>[1]Moves!B1672</f>
        <v>0</v>
      </c>
    </row>
    <row r="1673" spans="2:3" x14ac:dyDescent="0.25">
      <c r="B1673" s="11">
        <f>[1]Pokemon!C1673</f>
        <v>0</v>
      </c>
      <c r="C1673" s="11">
        <f>[1]Moves!B1673</f>
        <v>0</v>
      </c>
    </row>
    <row r="1674" spans="2:3" x14ac:dyDescent="0.25">
      <c r="B1674" s="11">
        <f>[1]Pokemon!C1674</f>
        <v>0</v>
      </c>
      <c r="C1674" s="11">
        <f>[1]Moves!B1674</f>
        <v>0</v>
      </c>
    </row>
    <row r="1675" spans="2:3" x14ac:dyDescent="0.25">
      <c r="B1675" s="11">
        <f>[1]Pokemon!C1675</f>
        <v>0</v>
      </c>
      <c r="C1675" s="11">
        <f>[1]Moves!B1675</f>
        <v>0</v>
      </c>
    </row>
    <row r="1676" spans="2:3" x14ac:dyDescent="0.25">
      <c r="B1676" s="11">
        <f>[1]Pokemon!C1676</f>
        <v>0</v>
      </c>
      <c r="C1676" s="11">
        <f>[1]Moves!B1676</f>
        <v>0</v>
      </c>
    </row>
    <row r="1677" spans="2:3" x14ac:dyDescent="0.25">
      <c r="B1677" s="11">
        <f>[1]Pokemon!C1677</f>
        <v>0</v>
      </c>
      <c r="C1677" s="11">
        <f>[1]Moves!B1677</f>
        <v>0</v>
      </c>
    </row>
    <row r="1678" spans="2:3" x14ac:dyDescent="0.25">
      <c r="B1678" s="11">
        <f>[1]Pokemon!C1678</f>
        <v>0</v>
      </c>
      <c r="C1678" s="11">
        <f>[1]Moves!B1678</f>
        <v>0</v>
      </c>
    </row>
    <row r="1679" spans="2:3" x14ac:dyDescent="0.25">
      <c r="B1679" s="11">
        <f>[1]Pokemon!C1679</f>
        <v>0</v>
      </c>
      <c r="C1679" s="11">
        <f>[1]Moves!B1679</f>
        <v>0</v>
      </c>
    </row>
    <row r="1680" spans="2:3" x14ac:dyDescent="0.25">
      <c r="B1680" s="11">
        <f>[1]Pokemon!C1680</f>
        <v>0</v>
      </c>
      <c r="C1680" s="11">
        <f>[1]Moves!B1680</f>
        <v>0</v>
      </c>
    </row>
    <row r="1681" spans="2:3" x14ac:dyDescent="0.25">
      <c r="B1681" s="11">
        <f>[1]Pokemon!C1681</f>
        <v>0</v>
      </c>
      <c r="C1681" s="11">
        <f>[1]Moves!B1681</f>
        <v>0</v>
      </c>
    </row>
    <row r="1682" spans="2:3" x14ac:dyDescent="0.25">
      <c r="B1682" s="11">
        <f>[1]Pokemon!C1682</f>
        <v>0</v>
      </c>
      <c r="C1682" s="11">
        <f>[1]Moves!B1682</f>
        <v>0</v>
      </c>
    </row>
    <row r="1683" spans="2:3" x14ac:dyDescent="0.25">
      <c r="B1683" s="11">
        <f>[1]Pokemon!C1683</f>
        <v>0</v>
      </c>
      <c r="C1683" s="11">
        <f>[1]Moves!B1683</f>
        <v>0</v>
      </c>
    </row>
    <row r="1684" spans="2:3" x14ac:dyDescent="0.25">
      <c r="B1684" s="11">
        <f>[1]Pokemon!C1684</f>
        <v>0</v>
      </c>
      <c r="C1684" s="11">
        <f>[1]Moves!B1684</f>
        <v>0</v>
      </c>
    </row>
    <row r="1685" spans="2:3" x14ac:dyDescent="0.25">
      <c r="B1685" s="11">
        <f>[1]Pokemon!C1685</f>
        <v>0</v>
      </c>
      <c r="C1685" s="11">
        <f>[1]Moves!B1685</f>
        <v>0</v>
      </c>
    </row>
    <row r="1686" spans="2:3" x14ac:dyDescent="0.25">
      <c r="B1686" s="11">
        <f>[1]Pokemon!C1686</f>
        <v>0</v>
      </c>
      <c r="C1686" s="11">
        <f>[1]Moves!B1686</f>
        <v>0</v>
      </c>
    </row>
    <row r="1687" spans="2:3" x14ac:dyDescent="0.25">
      <c r="B1687" s="11">
        <f>[1]Pokemon!C1687</f>
        <v>0</v>
      </c>
      <c r="C1687" s="11">
        <f>[1]Moves!B1687</f>
        <v>0</v>
      </c>
    </row>
    <row r="1688" spans="2:3" x14ac:dyDescent="0.25">
      <c r="B1688" s="11">
        <f>[1]Pokemon!C1688</f>
        <v>0</v>
      </c>
      <c r="C1688" s="11">
        <f>[1]Moves!B1688</f>
        <v>0</v>
      </c>
    </row>
    <row r="1689" spans="2:3" x14ac:dyDescent="0.25">
      <c r="B1689" s="11">
        <f>[1]Pokemon!C1689</f>
        <v>0</v>
      </c>
      <c r="C1689" s="11">
        <f>[1]Moves!B1689</f>
        <v>0</v>
      </c>
    </row>
    <row r="1690" spans="2:3" x14ac:dyDescent="0.25">
      <c r="B1690" s="11">
        <f>[1]Pokemon!C1690</f>
        <v>0</v>
      </c>
      <c r="C1690" s="11">
        <f>[1]Moves!B1690</f>
        <v>0</v>
      </c>
    </row>
    <row r="1691" spans="2:3" x14ac:dyDescent="0.25">
      <c r="B1691" s="11">
        <f>[1]Pokemon!C1691</f>
        <v>0</v>
      </c>
      <c r="C1691" s="11">
        <f>[1]Moves!B1691</f>
        <v>0</v>
      </c>
    </row>
    <row r="1692" spans="2:3" x14ac:dyDescent="0.25">
      <c r="B1692" s="11">
        <f>[1]Pokemon!C1692</f>
        <v>0</v>
      </c>
      <c r="C1692" s="11">
        <f>[1]Moves!B1692</f>
        <v>0</v>
      </c>
    </row>
    <row r="1693" spans="2:3" x14ac:dyDescent="0.25">
      <c r="B1693" s="11">
        <f>[1]Pokemon!C1693</f>
        <v>0</v>
      </c>
      <c r="C1693" s="11">
        <f>[1]Moves!B1693</f>
        <v>0</v>
      </c>
    </row>
    <row r="1694" spans="2:3" x14ac:dyDescent="0.25">
      <c r="B1694" s="11">
        <f>[1]Pokemon!C1694</f>
        <v>0</v>
      </c>
      <c r="C1694" s="11">
        <f>[1]Moves!B1694</f>
        <v>0</v>
      </c>
    </row>
    <row r="1695" spans="2:3" x14ac:dyDescent="0.25">
      <c r="B1695" s="11">
        <f>[1]Pokemon!C1695</f>
        <v>0</v>
      </c>
      <c r="C1695" s="11">
        <f>[1]Moves!B1695</f>
        <v>0</v>
      </c>
    </row>
    <row r="1696" spans="2:3" x14ac:dyDescent="0.25">
      <c r="B1696" s="11">
        <f>[1]Pokemon!C1696</f>
        <v>0</v>
      </c>
      <c r="C1696" s="11">
        <f>[1]Moves!B1696</f>
        <v>0</v>
      </c>
    </row>
    <row r="1697" spans="2:3" x14ac:dyDescent="0.25">
      <c r="B1697" s="11">
        <f>[1]Pokemon!C1697</f>
        <v>0</v>
      </c>
      <c r="C1697" s="11">
        <f>[1]Moves!B1697</f>
        <v>0</v>
      </c>
    </row>
    <row r="1698" spans="2:3" x14ac:dyDescent="0.25">
      <c r="B1698" s="11">
        <f>[1]Pokemon!C1698</f>
        <v>0</v>
      </c>
      <c r="C1698" s="11">
        <f>[1]Moves!B1698</f>
        <v>0</v>
      </c>
    </row>
    <row r="1699" spans="2:3" x14ac:dyDescent="0.25">
      <c r="B1699" s="11">
        <f>[1]Pokemon!C1699</f>
        <v>0</v>
      </c>
      <c r="C1699" s="11">
        <f>[1]Moves!B1699</f>
        <v>0</v>
      </c>
    </row>
    <row r="1700" spans="2:3" x14ac:dyDescent="0.25">
      <c r="B1700" s="11">
        <f>[1]Pokemon!C1700</f>
        <v>0</v>
      </c>
      <c r="C1700" s="11">
        <f>[1]Moves!B1700</f>
        <v>0</v>
      </c>
    </row>
    <row r="1701" spans="2:3" x14ac:dyDescent="0.25">
      <c r="B1701" s="11">
        <f>[1]Pokemon!C1701</f>
        <v>0</v>
      </c>
      <c r="C1701" s="11">
        <f>[1]Moves!B1701</f>
        <v>0</v>
      </c>
    </row>
    <row r="1702" spans="2:3" x14ac:dyDescent="0.25">
      <c r="B1702" s="11">
        <f>[1]Pokemon!C1702</f>
        <v>0</v>
      </c>
      <c r="C1702" s="11">
        <f>[1]Moves!B1702</f>
        <v>0</v>
      </c>
    </row>
    <row r="1703" spans="2:3" x14ac:dyDescent="0.25">
      <c r="B1703" s="11">
        <f>[1]Pokemon!C1703</f>
        <v>0</v>
      </c>
      <c r="C1703" s="11">
        <f>[1]Moves!B1703</f>
        <v>0</v>
      </c>
    </row>
    <row r="1704" spans="2:3" x14ac:dyDescent="0.25">
      <c r="B1704" s="11">
        <f>[1]Pokemon!C1704</f>
        <v>0</v>
      </c>
      <c r="C1704" s="11">
        <f>[1]Moves!B1704</f>
        <v>0</v>
      </c>
    </row>
    <row r="1705" spans="2:3" x14ac:dyDescent="0.25">
      <c r="B1705" s="11">
        <f>[1]Pokemon!C1705</f>
        <v>0</v>
      </c>
      <c r="C1705" s="11">
        <f>[1]Moves!B1705</f>
        <v>0</v>
      </c>
    </row>
    <row r="1706" spans="2:3" x14ac:dyDescent="0.25">
      <c r="B1706" s="11">
        <f>[1]Pokemon!C1706</f>
        <v>0</v>
      </c>
      <c r="C1706" s="11">
        <f>[1]Moves!B1706</f>
        <v>0</v>
      </c>
    </row>
    <row r="1707" spans="2:3" x14ac:dyDescent="0.25">
      <c r="B1707" s="11">
        <f>[1]Pokemon!C1707</f>
        <v>0</v>
      </c>
      <c r="C1707" s="11">
        <f>[1]Moves!B1707</f>
        <v>0</v>
      </c>
    </row>
    <row r="1708" spans="2:3" x14ac:dyDescent="0.25">
      <c r="B1708" s="11">
        <f>[1]Pokemon!C1708</f>
        <v>0</v>
      </c>
      <c r="C1708" s="11">
        <f>[1]Moves!B1708</f>
        <v>0</v>
      </c>
    </row>
    <row r="1709" spans="2:3" x14ac:dyDescent="0.25">
      <c r="B1709" s="11">
        <f>[1]Pokemon!C1709</f>
        <v>0</v>
      </c>
      <c r="C1709" s="11">
        <f>[1]Moves!B1709</f>
        <v>0</v>
      </c>
    </row>
    <row r="1710" spans="2:3" x14ac:dyDescent="0.25">
      <c r="B1710" s="11">
        <f>[1]Pokemon!C1710</f>
        <v>0</v>
      </c>
      <c r="C1710" s="11">
        <f>[1]Moves!B1710</f>
        <v>0</v>
      </c>
    </row>
    <row r="1711" spans="2:3" x14ac:dyDescent="0.25">
      <c r="B1711" s="11">
        <f>[1]Pokemon!C1711</f>
        <v>0</v>
      </c>
      <c r="C1711" s="11">
        <f>[1]Moves!B1711</f>
        <v>0</v>
      </c>
    </row>
    <row r="1712" spans="2:3" x14ac:dyDescent="0.25">
      <c r="B1712" s="11">
        <f>[1]Pokemon!C1712</f>
        <v>0</v>
      </c>
      <c r="C1712" s="11">
        <f>[1]Moves!B1712</f>
        <v>0</v>
      </c>
    </row>
    <row r="1713" spans="2:3" x14ac:dyDescent="0.25">
      <c r="B1713" s="11">
        <f>[1]Pokemon!C1713</f>
        <v>0</v>
      </c>
      <c r="C1713" s="11">
        <f>[1]Moves!B1713</f>
        <v>0</v>
      </c>
    </row>
    <row r="1714" spans="2:3" x14ac:dyDescent="0.25">
      <c r="B1714" s="11">
        <f>[1]Pokemon!C1714</f>
        <v>0</v>
      </c>
      <c r="C1714" s="11">
        <f>[1]Moves!B1714</f>
        <v>0</v>
      </c>
    </row>
    <row r="1715" spans="2:3" x14ac:dyDescent="0.25">
      <c r="B1715" s="11">
        <f>[1]Pokemon!C1715</f>
        <v>0</v>
      </c>
      <c r="C1715" s="11">
        <f>[1]Moves!B1715</f>
        <v>0</v>
      </c>
    </row>
    <row r="1716" spans="2:3" x14ac:dyDescent="0.25">
      <c r="B1716" s="11">
        <f>[1]Pokemon!C1716</f>
        <v>0</v>
      </c>
      <c r="C1716" s="11">
        <f>[1]Moves!B1716</f>
        <v>0</v>
      </c>
    </row>
    <row r="1717" spans="2:3" x14ac:dyDescent="0.25">
      <c r="B1717" s="11">
        <f>[1]Pokemon!C1717</f>
        <v>0</v>
      </c>
      <c r="C1717" s="11">
        <f>[1]Moves!B1717</f>
        <v>0</v>
      </c>
    </row>
    <row r="1718" spans="2:3" x14ac:dyDescent="0.25">
      <c r="B1718" s="11">
        <f>[1]Pokemon!C1718</f>
        <v>0</v>
      </c>
      <c r="C1718" s="11">
        <f>[1]Moves!B1718</f>
        <v>0</v>
      </c>
    </row>
    <row r="1719" spans="2:3" x14ac:dyDescent="0.25">
      <c r="B1719" s="11">
        <f>[1]Pokemon!C1719</f>
        <v>0</v>
      </c>
      <c r="C1719" s="11">
        <f>[1]Moves!B1719</f>
        <v>0</v>
      </c>
    </row>
    <row r="1720" spans="2:3" x14ac:dyDescent="0.25">
      <c r="B1720" s="11">
        <f>[1]Pokemon!C1720</f>
        <v>0</v>
      </c>
      <c r="C1720" s="11">
        <f>[1]Moves!B1720</f>
        <v>0</v>
      </c>
    </row>
    <row r="1721" spans="2:3" x14ac:dyDescent="0.25">
      <c r="B1721" s="11">
        <f>[1]Pokemon!C1721</f>
        <v>0</v>
      </c>
      <c r="C1721" s="11">
        <f>[1]Moves!B1721</f>
        <v>0</v>
      </c>
    </row>
    <row r="1722" spans="2:3" x14ac:dyDescent="0.25">
      <c r="B1722" s="11">
        <f>[1]Pokemon!C1722</f>
        <v>0</v>
      </c>
      <c r="C1722" s="11">
        <f>[1]Moves!B1722</f>
        <v>0</v>
      </c>
    </row>
    <row r="1723" spans="2:3" x14ac:dyDescent="0.25">
      <c r="B1723" s="11">
        <f>[1]Pokemon!C1723</f>
        <v>0</v>
      </c>
      <c r="C1723" s="11">
        <f>[1]Moves!B1723</f>
        <v>0</v>
      </c>
    </row>
    <row r="1724" spans="2:3" x14ac:dyDescent="0.25">
      <c r="B1724" s="11">
        <f>[1]Pokemon!C1724</f>
        <v>0</v>
      </c>
      <c r="C1724" s="11">
        <f>[1]Moves!B1724</f>
        <v>0</v>
      </c>
    </row>
    <row r="1725" spans="2:3" x14ac:dyDescent="0.25">
      <c r="B1725" s="11">
        <f>[1]Pokemon!C1725</f>
        <v>0</v>
      </c>
      <c r="C1725" s="11">
        <f>[1]Moves!B1725</f>
        <v>0</v>
      </c>
    </row>
    <row r="1726" spans="2:3" x14ac:dyDescent="0.25">
      <c r="B1726" s="11">
        <f>[1]Pokemon!C1726</f>
        <v>0</v>
      </c>
      <c r="C1726" s="11">
        <f>[1]Moves!B1726</f>
        <v>0</v>
      </c>
    </row>
    <row r="1727" spans="2:3" x14ac:dyDescent="0.25">
      <c r="B1727" s="11">
        <f>[1]Pokemon!C1727</f>
        <v>0</v>
      </c>
      <c r="C1727" s="11">
        <f>[1]Moves!B1727</f>
        <v>0</v>
      </c>
    </row>
    <row r="1728" spans="2:3" x14ac:dyDescent="0.25">
      <c r="B1728" s="11">
        <f>[1]Pokemon!C1728</f>
        <v>0</v>
      </c>
      <c r="C1728" s="11">
        <f>[1]Moves!B1728</f>
        <v>0</v>
      </c>
    </row>
    <row r="1729" spans="2:3" x14ac:dyDescent="0.25">
      <c r="B1729" s="11">
        <f>[1]Pokemon!C1729</f>
        <v>0</v>
      </c>
      <c r="C1729" s="11">
        <f>[1]Moves!B1729</f>
        <v>0</v>
      </c>
    </row>
    <row r="1730" spans="2:3" x14ac:dyDescent="0.25">
      <c r="B1730" s="11">
        <f>[1]Pokemon!C1730</f>
        <v>0</v>
      </c>
      <c r="C1730" s="11">
        <f>[1]Moves!B1730</f>
        <v>0</v>
      </c>
    </row>
    <row r="1731" spans="2:3" x14ac:dyDescent="0.25">
      <c r="B1731" s="11">
        <f>[1]Pokemon!C1731</f>
        <v>0</v>
      </c>
      <c r="C1731" s="11">
        <f>[1]Moves!B1731</f>
        <v>0</v>
      </c>
    </row>
    <row r="1732" spans="2:3" x14ac:dyDescent="0.25">
      <c r="B1732" s="11">
        <f>[1]Pokemon!C1732</f>
        <v>0</v>
      </c>
      <c r="C1732" s="11">
        <f>[1]Moves!B1732</f>
        <v>0</v>
      </c>
    </row>
    <row r="1733" spans="2:3" x14ac:dyDescent="0.25">
      <c r="B1733" s="11">
        <f>[1]Pokemon!C1733</f>
        <v>0</v>
      </c>
      <c r="C1733" s="11">
        <f>[1]Moves!B1733</f>
        <v>0</v>
      </c>
    </row>
    <row r="1734" spans="2:3" x14ac:dyDescent="0.25">
      <c r="B1734" s="11">
        <f>[1]Pokemon!C1734</f>
        <v>0</v>
      </c>
      <c r="C1734" s="11">
        <f>[1]Moves!B1734</f>
        <v>0</v>
      </c>
    </row>
    <row r="1735" spans="2:3" x14ac:dyDescent="0.25">
      <c r="B1735" s="11">
        <f>[1]Pokemon!C1735</f>
        <v>0</v>
      </c>
      <c r="C1735" s="11">
        <f>[1]Moves!B1735</f>
        <v>0</v>
      </c>
    </row>
    <row r="1736" spans="2:3" x14ac:dyDescent="0.25">
      <c r="B1736" s="11">
        <f>[1]Pokemon!C1736</f>
        <v>0</v>
      </c>
      <c r="C1736" s="11">
        <f>[1]Moves!B1736</f>
        <v>0</v>
      </c>
    </row>
    <row r="1737" spans="2:3" x14ac:dyDescent="0.25">
      <c r="B1737" s="11">
        <f>[1]Pokemon!C1737</f>
        <v>0</v>
      </c>
      <c r="C1737" s="11">
        <f>[1]Moves!B1737</f>
        <v>0</v>
      </c>
    </row>
    <row r="1738" spans="2:3" x14ac:dyDescent="0.25">
      <c r="B1738" s="11">
        <f>[1]Pokemon!C1738</f>
        <v>0</v>
      </c>
      <c r="C1738" s="11">
        <f>[1]Moves!B1738</f>
        <v>0</v>
      </c>
    </row>
    <row r="1739" spans="2:3" x14ac:dyDescent="0.25">
      <c r="B1739" s="11">
        <f>[1]Pokemon!C1739</f>
        <v>0</v>
      </c>
      <c r="C1739" s="11">
        <f>[1]Moves!B1739</f>
        <v>0</v>
      </c>
    </row>
    <row r="1740" spans="2:3" x14ac:dyDescent="0.25">
      <c r="B1740" s="11">
        <f>[1]Pokemon!C1740</f>
        <v>0</v>
      </c>
      <c r="C1740" s="11">
        <f>[1]Moves!B1740</f>
        <v>0</v>
      </c>
    </row>
    <row r="1741" spans="2:3" x14ac:dyDescent="0.25">
      <c r="B1741" s="11">
        <f>[1]Pokemon!C1741</f>
        <v>0</v>
      </c>
      <c r="C1741" s="11">
        <f>[1]Moves!B1741</f>
        <v>0</v>
      </c>
    </row>
    <row r="1742" spans="2:3" x14ac:dyDescent="0.25">
      <c r="B1742" s="11">
        <f>[1]Pokemon!C1742</f>
        <v>0</v>
      </c>
      <c r="C1742" s="11">
        <f>[1]Moves!B1742</f>
        <v>0</v>
      </c>
    </row>
    <row r="1743" spans="2:3" x14ac:dyDescent="0.25">
      <c r="B1743" s="11">
        <f>[1]Pokemon!C1743</f>
        <v>0</v>
      </c>
      <c r="C1743" s="11">
        <f>[1]Moves!B1743</f>
        <v>0</v>
      </c>
    </row>
    <row r="1744" spans="2:3" x14ac:dyDescent="0.25">
      <c r="B1744" s="11">
        <f>[1]Pokemon!C1744</f>
        <v>0</v>
      </c>
      <c r="C1744" s="11">
        <f>[1]Moves!B1744</f>
        <v>0</v>
      </c>
    </row>
    <row r="1745" spans="2:3" x14ac:dyDescent="0.25">
      <c r="B1745" s="11">
        <f>[1]Pokemon!C1745</f>
        <v>0</v>
      </c>
      <c r="C1745" s="11">
        <f>[1]Moves!B1745</f>
        <v>0</v>
      </c>
    </row>
    <row r="1746" spans="2:3" x14ac:dyDescent="0.25">
      <c r="B1746" s="11">
        <f>[1]Pokemon!C1746</f>
        <v>0</v>
      </c>
      <c r="C1746" s="11">
        <f>[1]Moves!B1746</f>
        <v>0</v>
      </c>
    </row>
    <row r="1747" spans="2:3" x14ac:dyDescent="0.25">
      <c r="B1747" s="11">
        <f>[1]Pokemon!C1747</f>
        <v>0</v>
      </c>
      <c r="C1747" s="11">
        <f>[1]Moves!B1747</f>
        <v>0</v>
      </c>
    </row>
    <row r="1748" spans="2:3" x14ac:dyDescent="0.25">
      <c r="B1748" s="11">
        <f>[1]Pokemon!C1748</f>
        <v>0</v>
      </c>
      <c r="C1748" s="11">
        <f>[1]Moves!B1748</f>
        <v>0</v>
      </c>
    </row>
    <row r="1749" spans="2:3" x14ac:dyDescent="0.25">
      <c r="B1749" s="11">
        <f>[1]Pokemon!C1749</f>
        <v>0</v>
      </c>
      <c r="C1749" s="11">
        <f>[1]Moves!B1749</f>
        <v>0</v>
      </c>
    </row>
    <row r="1750" spans="2:3" x14ac:dyDescent="0.25">
      <c r="B1750" s="11">
        <f>[1]Pokemon!C1750</f>
        <v>0</v>
      </c>
      <c r="C1750" s="11">
        <f>[1]Moves!B1750</f>
        <v>0</v>
      </c>
    </row>
    <row r="1751" spans="2:3" x14ac:dyDescent="0.25">
      <c r="B1751" s="11">
        <f>[1]Pokemon!C1751</f>
        <v>0</v>
      </c>
      <c r="C1751" s="11">
        <f>[1]Moves!B1751</f>
        <v>0</v>
      </c>
    </row>
    <row r="1752" spans="2:3" x14ac:dyDescent="0.25">
      <c r="B1752" s="11">
        <f>[1]Pokemon!C1752</f>
        <v>0</v>
      </c>
      <c r="C1752" s="11">
        <f>[1]Moves!B1752</f>
        <v>0</v>
      </c>
    </row>
    <row r="1753" spans="2:3" x14ac:dyDescent="0.25">
      <c r="B1753" s="11">
        <f>[1]Pokemon!C1753</f>
        <v>0</v>
      </c>
      <c r="C1753" s="11">
        <f>[1]Moves!B1753</f>
        <v>0</v>
      </c>
    </row>
    <row r="1754" spans="2:3" x14ac:dyDescent="0.25">
      <c r="B1754" s="11">
        <f>[1]Pokemon!C1754</f>
        <v>0</v>
      </c>
      <c r="C1754" s="11">
        <f>[1]Moves!B1754</f>
        <v>0</v>
      </c>
    </row>
    <row r="1755" spans="2:3" x14ac:dyDescent="0.25">
      <c r="B1755" s="11">
        <f>[1]Pokemon!C1755</f>
        <v>0</v>
      </c>
      <c r="C1755" s="11">
        <f>[1]Moves!B1755</f>
        <v>0</v>
      </c>
    </row>
    <row r="1756" spans="2:3" x14ac:dyDescent="0.25">
      <c r="B1756" s="11">
        <f>[1]Pokemon!C1756</f>
        <v>0</v>
      </c>
      <c r="C1756" s="11">
        <f>[1]Moves!B1756</f>
        <v>0</v>
      </c>
    </row>
    <row r="1757" spans="2:3" x14ac:dyDescent="0.25">
      <c r="B1757" s="11">
        <f>[1]Pokemon!C1757</f>
        <v>0</v>
      </c>
      <c r="C1757" s="11">
        <f>[1]Moves!B1757</f>
        <v>0</v>
      </c>
    </row>
    <row r="1758" spans="2:3" x14ac:dyDescent="0.25">
      <c r="B1758" s="11">
        <f>[1]Pokemon!C1758</f>
        <v>0</v>
      </c>
      <c r="C1758" s="11">
        <f>[1]Moves!B1758</f>
        <v>0</v>
      </c>
    </row>
    <row r="1759" spans="2:3" x14ac:dyDescent="0.25">
      <c r="B1759" s="11">
        <f>[1]Pokemon!C1759</f>
        <v>0</v>
      </c>
      <c r="C1759" s="11">
        <f>[1]Moves!B1759</f>
        <v>0</v>
      </c>
    </row>
    <row r="1760" spans="2:3" x14ac:dyDescent="0.25">
      <c r="B1760" s="11">
        <f>[1]Pokemon!C1760</f>
        <v>0</v>
      </c>
      <c r="C1760" s="11">
        <f>[1]Moves!B1760</f>
        <v>0</v>
      </c>
    </row>
    <row r="1761" spans="2:3" x14ac:dyDescent="0.25">
      <c r="B1761" s="11">
        <f>[1]Pokemon!C1761</f>
        <v>0</v>
      </c>
      <c r="C1761" s="11">
        <f>[1]Moves!B1761</f>
        <v>0</v>
      </c>
    </row>
    <row r="1762" spans="2:3" x14ac:dyDescent="0.25">
      <c r="B1762" s="11">
        <f>[1]Pokemon!C1762</f>
        <v>0</v>
      </c>
      <c r="C1762" s="11">
        <f>[1]Moves!B1762</f>
        <v>0</v>
      </c>
    </row>
    <row r="1763" spans="2:3" x14ac:dyDescent="0.25">
      <c r="B1763" s="11">
        <f>[1]Pokemon!C1763</f>
        <v>0</v>
      </c>
      <c r="C1763" s="11">
        <f>[1]Moves!B1763</f>
        <v>0</v>
      </c>
    </row>
    <row r="1764" spans="2:3" x14ac:dyDescent="0.25">
      <c r="B1764" s="11">
        <f>[1]Pokemon!C1764</f>
        <v>0</v>
      </c>
      <c r="C1764" s="11">
        <f>[1]Moves!B1764</f>
        <v>0</v>
      </c>
    </row>
    <row r="1765" spans="2:3" x14ac:dyDescent="0.25">
      <c r="B1765" s="11">
        <f>[1]Pokemon!C1765</f>
        <v>0</v>
      </c>
      <c r="C1765" s="11">
        <f>[1]Moves!B1765</f>
        <v>0</v>
      </c>
    </row>
    <row r="1766" spans="2:3" x14ac:dyDescent="0.25">
      <c r="B1766" s="11">
        <f>[1]Pokemon!C1766</f>
        <v>0</v>
      </c>
      <c r="C1766" s="11">
        <f>[1]Moves!B1766</f>
        <v>0</v>
      </c>
    </row>
    <row r="1767" spans="2:3" x14ac:dyDescent="0.25">
      <c r="B1767" s="11">
        <f>[1]Pokemon!C1767</f>
        <v>0</v>
      </c>
      <c r="C1767" s="11">
        <f>[1]Moves!B1767</f>
        <v>0</v>
      </c>
    </row>
    <row r="1768" spans="2:3" x14ac:dyDescent="0.25">
      <c r="B1768" s="11">
        <f>[1]Pokemon!C1768</f>
        <v>0</v>
      </c>
      <c r="C1768" s="11">
        <f>[1]Moves!B1768</f>
        <v>0</v>
      </c>
    </row>
    <row r="1769" spans="2:3" x14ac:dyDescent="0.25">
      <c r="B1769" s="11">
        <f>[1]Pokemon!C1769</f>
        <v>0</v>
      </c>
      <c r="C1769" s="11">
        <f>[1]Moves!B1769</f>
        <v>0</v>
      </c>
    </row>
    <row r="1770" spans="2:3" x14ac:dyDescent="0.25">
      <c r="B1770" s="11">
        <f>[1]Pokemon!C1770</f>
        <v>0</v>
      </c>
      <c r="C1770" s="11">
        <f>[1]Moves!B1770</f>
        <v>0</v>
      </c>
    </row>
    <row r="1771" spans="2:3" x14ac:dyDescent="0.25">
      <c r="B1771" s="11">
        <f>[1]Pokemon!C1771</f>
        <v>0</v>
      </c>
      <c r="C1771" s="11">
        <f>[1]Moves!B1771</f>
        <v>0</v>
      </c>
    </row>
    <row r="1772" spans="2:3" x14ac:dyDescent="0.25">
      <c r="B1772" s="11">
        <f>[1]Pokemon!C1772</f>
        <v>0</v>
      </c>
      <c r="C1772" s="11">
        <f>[1]Moves!B1772</f>
        <v>0</v>
      </c>
    </row>
    <row r="1773" spans="2:3" x14ac:dyDescent="0.25">
      <c r="B1773" s="11">
        <f>[1]Pokemon!C1773</f>
        <v>0</v>
      </c>
      <c r="C1773" s="11">
        <f>[1]Moves!B1773</f>
        <v>0</v>
      </c>
    </row>
    <row r="1774" spans="2:3" x14ac:dyDescent="0.25">
      <c r="B1774" s="11">
        <f>[1]Pokemon!C1774</f>
        <v>0</v>
      </c>
      <c r="C1774" s="11">
        <f>[1]Moves!B1774</f>
        <v>0</v>
      </c>
    </row>
    <row r="1775" spans="2:3" x14ac:dyDescent="0.25">
      <c r="B1775" s="11">
        <f>[1]Pokemon!C1775</f>
        <v>0</v>
      </c>
      <c r="C1775" s="11">
        <f>[1]Moves!B1775</f>
        <v>0</v>
      </c>
    </row>
    <row r="1776" spans="2:3" x14ac:dyDescent="0.25">
      <c r="B1776" s="11">
        <f>[1]Pokemon!C1776</f>
        <v>0</v>
      </c>
      <c r="C1776" s="11">
        <f>[1]Moves!B1776</f>
        <v>0</v>
      </c>
    </row>
    <row r="1777" spans="2:3" x14ac:dyDescent="0.25">
      <c r="B1777" s="11">
        <f>[1]Pokemon!C1777</f>
        <v>0</v>
      </c>
      <c r="C1777" s="11">
        <f>[1]Moves!B1777</f>
        <v>0</v>
      </c>
    </row>
    <row r="1778" spans="2:3" x14ac:dyDescent="0.25">
      <c r="B1778" s="11">
        <f>[1]Pokemon!C1778</f>
        <v>0</v>
      </c>
      <c r="C1778" s="11">
        <f>[1]Moves!B1778</f>
        <v>0</v>
      </c>
    </row>
    <row r="1779" spans="2:3" x14ac:dyDescent="0.25">
      <c r="B1779" s="11">
        <f>[1]Pokemon!C1779</f>
        <v>0</v>
      </c>
      <c r="C1779" s="11">
        <f>[1]Moves!B1779</f>
        <v>0</v>
      </c>
    </row>
    <row r="1780" spans="2:3" x14ac:dyDescent="0.25">
      <c r="B1780" s="11">
        <f>[1]Pokemon!C1780</f>
        <v>0</v>
      </c>
      <c r="C1780" s="11">
        <f>[1]Moves!B1780</f>
        <v>0</v>
      </c>
    </row>
    <row r="1781" spans="2:3" x14ac:dyDescent="0.25">
      <c r="B1781" s="11">
        <f>[1]Pokemon!C1781</f>
        <v>0</v>
      </c>
      <c r="C1781" s="11">
        <f>[1]Moves!B1781</f>
        <v>0</v>
      </c>
    </row>
    <row r="1782" spans="2:3" x14ac:dyDescent="0.25">
      <c r="B1782" s="11">
        <f>[1]Pokemon!C1782</f>
        <v>0</v>
      </c>
      <c r="C1782" s="11">
        <f>[1]Moves!B1782</f>
        <v>0</v>
      </c>
    </row>
    <row r="1783" spans="2:3" x14ac:dyDescent="0.25">
      <c r="B1783" s="11">
        <f>[1]Pokemon!C1783</f>
        <v>0</v>
      </c>
      <c r="C1783" s="11">
        <f>[1]Moves!B1783</f>
        <v>0</v>
      </c>
    </row>
    <row r="1784" spans="2:3" x14ac:dyDescent="0.25">
      <c r="B1784" s="11">
        <f>[1]Pokemon!C1784</f>
        <v>0</v>
      </c>
      <c r="C1784" s="11">
        <f>[1]Moves!B1784</f>
        <v>0</v>
      </c>
    </row>
    <row r="1785" spans="2:3" x14ac:dyDescent="0.25">
      <c r="B1785" s="11">
        <f>[1]Pokemon!C1785</f>
        <v>0</v>
      </c>
      <c r="C1785" s="11">
        <f>[1]Moves!B1785</f>
        <v>0</v>
      </c>
    </row>
    <row r="1786" spans="2:3" x14ac:dyDescent="0.25">
      <c r="B1786" s="11">
        <f>[1]Pokemon!C1786</f>
        <v>0</v>
      </c>
      <c r="C1786" s="11">
        <f>[1]Moves!B1786</f>
        <v>0</v>
      </c>
    </row>
    <row r="1787" spans="2:3" x14ac:dyDescent="0.25">
      <c r="B1787" s="11">
        <f>[1]Pokemon!C1787</f>
        <v>0</v>
      </c>
      <c r="C1787" s="11">
        <f>[1]Moves!B1787</f>
        <v>0</v>
      </c>
    </row>
    <row r="1788" spans="2:3" x14ac:dyDescent="0.25">
      <c r="B1788" s="11">
        <f>[1]Pokemon!C1788</f>
        <v>0</v>
      </c>
      <c r="C1788" s="11">
        <f>[1]Moves!B1788</f>
        <v>0</v>
      </c>
    </row>
    <row r="1789" spans="2:3" x14ac:dyDescent="0.25">
      <c r="B1789" s="11">
        <f>[1]Pokemon!C1789</f>
        <v>0</v>
      </c>
      <c r="C1789" s="11">
        <f>[1]Moves!B1789</f>
        <v>0</v>
      </c>
    </row>
    <row r="1790" spans="2:3" x14ac:dyDescent="0.25">
      <c r="B1790" s="11">
        <f>[1]Pokemon!C1790</f>
        <v>0</v>
      </c>
      <c r="C1790" s="11">
        <f>[1]Moves!B1790</f>
        <v>0</v>
      </c>
    </row>
    <row r="1791" spans="2:3" x14ac:dyDescent="0.25">
      <c r="B1791" s="11">
        <f>[1]Pokemon!C1791</f>
        <v>0</v>
      </c>
      <c r="C1791" s="11">
        <f>[1]Moves!B1791</f>
        <v>0</v>
      </c>
    </row>
    <row r="1792" spans="2:3" x14ac:dyDescent="0.25">
      <c r="B1792" s="11">
        <f>[1]Pokemon!C1792</f>
        <v>0</v>
      </c>
      <c r="C1792" s="11">
        <f>[1]Moves!B1792</f>
        <v>0</v>
      </c>
    </row>
    <row r="1793" spans="2:3" x14ac:dyDescent="0.25">
      <c r="B1793" s="11">
        <f>[1]Pokemon!C1793</f>
        <v>0</v>
      </c>
      <c r="C1793" s="11">
        <f>[1]Moves!B1793</f>
        <v>0</v>
      </c>
    </row>
    <row r="1794" spans="2:3" x14ac:dyDescent="0.25">
      <c r="B1794" s="11">
        <f>[1]Pokemon!C1794</f>
        <v>0</v>
      </c>
      <c r="C1794" s="11">
        <f>[1]Moves!B1794</f>
        <v>0</v>
      </c>
    </row>
    <row r="1795" spans="2:3" x14ac:dyDescent="0.25">
      <c r="B1795" s="11">
        <f>[1]Pokemon!C1795</f>
        <v>0</v>
      </c>
      <c r="C1795" s="11">
        <f>[1]Moves!B1795</f>
        <v>0</v>
      </c>
    </row>
    <row r="1796" spans="2:3" x14ac:dyDescent="0.25">
      <c r="B1796" s="11">
        <f>[1]Pokemon!C1796</f>
        <v>0</v>
      </c>
      <c r="C1796" s="11">
        <f>[1]Moves!B1796</f>
        <v>0</v>
      </c>
    </row>
    <row r="1797" spans="2:3" x14ac:dyDescent="0.25">
      <c r="B1797" s="11">
        <f>[1]Pokemon!C1797</f>
        <v>0</v>
      </c>
      <c r="C1797" s="11">
        <f>[1]Moves!B1797</f>
        <v>0</v>
      </c>
    </row>
    <row r="1798" spans="2:3" x14ac:dyDescent="0.25">
      <c r="B1798" s="11">
        <f>[1]Pokemon!C1798</f>
        <v>0</v>
      </c>
      <c r="C1798" s="11">
        <f>[1]Moves!B1798</f>
        <v>0</v>
      </c>
    </row>
    <row r="1799" spans="2:3" x14ac:dyDescent="0.25">
      <c r="B1799" s="11">
        <f>[1]Pokemon!C1799</f>
        <v>0</v>
      </c>
      <c r="C1799" s="11">
        <f>[1]Moves!B1799</f>
        <v>0</v>
      </c>
    </row>
    <row r="1800" spans="2:3" x14ac:dyDescent="0.25">
      <c r="B1800" s="11">
        <f>[1]Pokemon!C1800</f>
        <v>0</v>
      </c>
      <c r="C1800" s="11">
        <f>[1]Moves!B1800</f>
        <v>0</v>
      </c>
    </row>
    <row r="1801" spans="2:3" x14ac:dyDescent="0.25">
      <c r="B1801" s="11">
        <f>[1]Pokemon!C1801</f>
        <v>0</v>
      </c>
      <c r="C1801" s="11">
        <f>[1]Moves!B1801</f>
        <v>0</v>
      </c>
    </row>
    <row r="1802" spans="2:3" x14ac:dyDescent="0.25">
      <c r="B1802" s="11">
        <f>[1]Pokemon!C1802</f>
        <v>0</v>
      </c>
      <c r="C1802" s="11">
        <f>[1]Moves!B1802</f>
        <v>0</v>
      </c>
    </row>
    <row r="1803" spans="2:3" x14ac:dyDescent="0.25">
      <c r="B1803" s="11">
        <f>[1]Pokemon!C1803</f>
        <v>0</v>
      </c>
      <c r="C1803" s="11">
        <f>[1]Moves!B1803</f>
        <v>0</v>
      </c>
    </row>
    <row r="1804" spans="2:3" x14ac:dyDescent="0.25">
      <c r="B1804" s="11">
        <f>[1]Pokemon!C1804</f>
        <v>0</v>
      </c>
      <c r="C1804" s="11">
        <f>[1]Moves!B1804</f>
        <v>0</v>
      </c>
    </row>
    <row r="1805" spans="2:3" x14ac:dyDescent="0.25">
      <c r="B1805" s="11">
        <f>[1]Pokemon!C1805</f>
        <v>0</v>
      </c>
      <c r="C1805" s="11">
        <f>[1]Moves!B1805</f>
        <v>0</v>
      </c>
    </row>
    <row r="1806" spans="2:3" x14ac:dyDescent="0.25">
      <c r="B1806" s="11">
        <f>[1]Pokemon!C1806</f>
        <v>0</v>
      </c>
      <c r="C1806" s="11">
        <f>[1]Moves!B1806</f>
        <v>0</v>
      </c>
    </row>
    <row r="1807" spans="2:3" x14ac:dyDescent="0.25">
      <c r="B1807" s="11">
        <f>[1]Pokemon!C1807</f>
        <v>0</v>
      </c>
      <c r="C1807" s="11">
        <f>[1]Moves!B1807</f>
        <v>0</v>
      </c>
    </row>
    <row r="1808" spans="2:3" x14ac:dyDescent="0.25">
      <c r="B1808" s="11">
        <f>[1]Pokemon!C1808</f>
        <v>0</v>
      </c>
      <c r="C1808" s="11">
        <f>[1]Moves!B1808</f>
        <v>0</v>
      </c>
    </row>
    <row r="1809" spans="2:3" x14ac:dyDescent="0.25">
      <c r="B1809" s="11">
        <f>[1]Pokemon!C1809</f>
        <v>0</v>
      </c>
      <c r="C1809" s="11">
        <f>[1]Moves!B1809</f>
        <v>0</v>
      </c>
    </row>
    <row r="1810" spans="2:3" x14ac:dyDescent="0.25">
      <c r="B1810" s="11">
        <f>[1]Pokemon!C1810</f>
        <v>0</v>
      </c>
      <c r="C1810" s="11">
        <f>[1]Moves!B1810</f>
        <v>0</v>
      </c>
    </row>
    <row r="1811" spans="2:3" x14ac:dyDescent="0.25">
      <c r="B1811" s="11">
        <f>[1]Pokemon!C1811</f>
        <v>0</v>
      </c>
      <c r="C1811" s="11">
        <f>[1]Moves!B1811</f>
        <v>0</v>
      </c>
    </row>
    <row r="1812" spans="2:3" x14ac:dyDescent="0.25">
      <c r="B1812" s="11">
        <f>[1]Pokemon!C1812</f>
        <v>0</v>
      </c>
      <c r="C1812" s="11">
        <f>[1]Moves!B1812</f>
        <v>0</v>
      </c>
    </row>
    <row r="1813" spans="2:3" x14ac:dyDescent="0.25">
      <c r="B1813" s="11">
        <f>[1]Pokemon!C1813</f>
        <v>0</v>
      </c>
      <c r="C1813" s="11">
        <f>[1]Moves!B1813</f>
        <v>0</v>
      </c>
    </row>
    <row r="1814" spans="2:3" x14ac:dyDescent="0.25">
      <c r="B1814" s="11">
        <f>[1]Pokemon!C1814</f>
        <v>0</v>
      </c>
      <c r="C1814" s="11">
        <f>[1]Moves!B1814</f>
        <v>0</v>
      </c>
    </row>
    <row r="1815" spans="2:3" x14ac:dyDescent="0.25">
      <c r="B1815" s="11">
        <f>[1]Pokemon!C1815</f>
        <v>0</v>
      </c>
      <c r="C1815" s="11">
        <f>[1]Moves!B1815</f>
        <v>0</v>
      </c>
    </row>
    <row r="1816" spans="2:3" x14ac:dyDescent="0.25">
      <c r="B1816" s="11">
        <f>[1]Pokemon!C1816</f>
        <v>0</v>
      </c>
      <c r="C1816" s="11">
        <f>[1]Moves!B1816</f>
        <v>0</v>
      </c>
    </row>
    <row r="1817" spans="2:3" x14ac:dyDescent="0.25">
      <c r="B1817" s="11">
        <f>[1]Pokemon!C1817</f>
        <v>0</v>
      </c>
      <c r="C1817" s="11">
        <f>[1]Moves!B1817</f>
        <v>0</v>
      </c>
    </row>
    <row r="1818" spans="2:3" x14ac:dyDescent="0.25">
      <c r="B1818" s="11">
        <f>[1]Pokemon!C1818</f>
        <v>0</v>
      </c>
      <c r="C1818" s="11">
        <f>[1]Moves!B1818</f>
        <v>0</v>
      </c>
    </row>
    <row r="1819" spans="2:3" x14ac:dyDescent="0.25">
      <c r="B1819" s="11">
        <f>[1]Pokemon!C1819</f>
        <v>0</v>
      </c>
      <c r="C1819" s="11">
        <f>[1]Moves!B1819</f>
        <v>0</v>
      </c>
    </row>
    <row r="1820" spans="2:3" x14ac:dyDescent="0.25">
      <c r="B1820" s="11">
        <f>[1]Pokemon!C1820</f>
        <v>0</v>
      </c>
      <c r="C1820" s="11">
        <f>[1]Moves!B1820</f>
        <v>0</v>
      </c>
    </row>
    <row r="1821" spans="2:3" x14ac:dyDescent="0.25">
      <c r="B1821" s="11">
        <f>[1]Pokemon!C1821</f>
        <v>0</v>
      </c>
      <c r="C1821" s="11">
        <f>[1]Moves!B1821</f>
        <v>0</v>
      </c>
    </row>
    <row r="1822" spans="2:3" x14ac:dyDescent="0.25">
      <c r="B1822" s="11">
        <f>[1]Pokemon!C1822</f>
        <v>0</v>
      </c>
      <c r="C1822" s="11">
        <f>[1]Moves!B1822</f>
        <v>0</v>
      </c>
    </row>
    <row r="1823" spans="2:3" x14ac:dyDescent="0.25">
      <c r="B1823" s="11">
        <f>[1]Pokemon!C1823</f>
        <v>0</v>
      </c>
      <c r="C1823" s="11">
        <f>[1]Moves!B1823</f>
        <v>0</v>
      </c>
    </row>
    <row r="1824" spans="2:3" x14ac:dyDescent="0.25">
      <c r="B1824" s="11">
        <f>[1]Pokemon!C1824</f>
        <v>0</v>
      </c>
      <c r="C1824" s="11">
        <f>[1]Moves!B1824</f>
        <v>0</v>
      </c>
    </row>
    <row r="1825" spans="2:3" x14ac:dyDescent="0.25">
      <c r="B1825" s="11">
        <f>[1]Pokemon!C1825</f>
        <v>0</v>
      </c>
      <c r="C1825" s="11">
        <f>[1]Moves!B1825</f>
        <v>0</v>
      </c>
    </row>
    <row r="1826" spans="2:3" x14ac:dyDescent="0.25">
      <c r="B1826" s="11">
        <f>[1]Pokemon!C1826</f>
        <v>0</v>
      </c>
      <c r="C1826" s="11">
        <f>[1]Moves!B1826</f>
        <v>0</v>
      </c>
    </row>
    <row r="1827" spans="2:3" x14ac:dyDescent="0.25">
      <c r="B1827" s="11">
        <f>[1]Pokemon!C1827</f>
        <v>0</v>
      </c>
      <c r="C1827" s="11">
        <f>[1]Moves!B1827</f>
        <v>0</v>
      </c>
    </row>
    <row r="1828" spans="2:3" x14ac:dyDescent="0.25">
      <c r="B1828" s="11">
        <f>[1]Pokemon!C1828</f>
        <v>0</v>
      </c>
      <c r="C1828" s="11">
        <f>[1]Moves!B1828</f>
        <v>0</v>
      </c>
    </row>
    <row r="1829" spans="2:3" x14ac:dyDescent="0.25">
      <c r="B1829" s="11">
        <f>[1]Pokemon!C1829</f>
        <v>0</v>
      </c>
      <c r="C1829" s="11">
        <f>[1]Moves!B1829</f>
        <v>0</v>
      </c>
    </row>
    <row r="1830" spans="2:3" x14ac:dyDescent="0.25">
      <c r="B1830" s="11">
        <f>[1]Pokemon!C1830</f>
        <v>0</v>
      </c>
      <c r="C1830" s="11">
        <f>[1]Moves!B1830</f>
        <v>0</v>
      </c>
    </row>
    <row r="1831" spans="2:3" x14ac:dyDescent="0.25">
      <c r="B1831" s="11">
        <f>[1]Pokemon!C1831</f>
        <v>0</v>
      </c>
      <c r="C1831" s="11">
        <f>[1]Moves!B1831</f>
        <v>0</v>
      </c>
    </row>
    <row r="1832" spans="2:3" x14ac:dyDescent="0.25">
      <c r="B1832" s="11">
        <f>[1]Pokemon!C1832</f>
        <v>0</v>
      </c>
      <c r="C1832" s="11">
        <f>[1]Moves!B1832</f>
        <v>0</v>
      </c>
    </row>
    <row r="1833" spans="2:3" x14ac:dyDescent="0.25">
      <c r="B1833" s="11">
        <f>[1]Pokemon!C1833</f>
        <v>0</v>
      </c>
      <c r="C1833" s="11">
        <f>[1]Moves!B1833</f>
        <v>0</v>
      </c>
    </row>
    <row r="1834" spans="2:3" x14ac:dyDescent="0.25">
      <c r="B1834" s="11">
        <f>[1]Pokemon!C1834</f>
        <v>0</v>
      </c>
      <c r="C1834" s="11">
        <f>[1]Moves!B1834</f>
        <v>0</v>
      </c>
    </row>
    <row r="1835" spans="2:3" x14ac:dyDescent="0.25">
      <c r="B1835" s="11">
        <f>[1]Pokemon!C1835</f>
        <v>0</v>
      </c>
      <c r="C1835" s="11">
        <f>[1]Moves!B1835</f>
        <v>0</v>
      </c>
    </row>
    <row r="1836" spans="2:3" x14ac:dyDescent="0.25">
      <c r="B1836" s="11">
        <f>[1]Pokemon!C1836</f>
        <v>0</v>
      </c>
      <c r="C1836" s="11">
        <f>[1]Moves!B1836</f>
        <v>0</v>
      </c>
    </row>
    <row r="1837" spans="2:3" x14ac:dyDescent="0.25">
      <c r="B1837" s="11">
        <f>[1]Pokemon!C1837</f>
        <v>0</v>
      </c>
      <c r="C1837" s="11">
        <f>[1]Moves!B1837</f>
        <v>0</v>
      </c>
    </row>
    <row r="1838" spans="2:3" x14ac:dyDescent="0.25">
      <c r="B1838" s="11">
        <f>[1]Pokemon!C1838</f>
        <v>0</v>
      </c>
      <c r="C1838" s="11">
        <f>[1]Moves!B1838</f>
        <v>0</v>
      </c>
    </row>
    <row r="1839" spans="2:3" x14ac:dyDescent="0.25">
      <c r="B1839" s="11">
        <f>[1]Pokemon!C1839</f>
        <v>0</v>
      </c>
      <c r="C1839" s="11">
        <f>[1]Moves!B1839</f>
        <v>0</v>
      </c>
    </row>
    <row r="1840" spans="2:3" x14ac:dyDescent="0.25">
      <c r="B1840" s="11">
        <f>[1]Pokemon!C1840</f>
        <v>0</v>
      </c>
      <c r="C1840" s="11">
        <f>[1]Moves!B1840</f>
        <v>0</v>
      </c>
    </row>
    <row r="1841" spans="2:3" x14ac:dyDescent="0.25">
      <c r="B1841" s="11">
        <f>[1]Pokemon!C1841</f>
        <v>0</v>
      </c>
      <c r="C1841" s="11">
        <f>[1]Moves!B1841</f>
        <v>0</v>
      </c>
    </row>
    <row r="1842" spans="2:3" x14ac:dyDescent="0.25">
      <c r="B1842" s="11">
        <f>[1]Pokemon!C1842</f>
        <v>0</v>
      </c>
      <c r="C1842" s="11">
        <f>[1]Moves!B1842</f>
        <v>0</v>
      </c>
    </row>
    <row r="1843" spans="2:3" x14ac:dyDescent="0.25">
      <c r="B1843" s="11">
        <f>[1]Pokemon!C1843</f>
        <v>0</v>
      </c>
      <c r="C1843" s="11">
        <f>[1]Moves!B1843</f>
        <v>0</v>
      </c>
    </row>
    <row r="1844" spans="2:3" x14ac:dyDescent="0.25">
      <c r="B1844" s="11">
        <f>[1]Pokemon!C1844</f>
        <v>0</v>
      </c>
      <c r="C1844" s="11">
        <f>[1]Moves!B1844</f>
        <v>0</v>
      </c>
    </row>
    <row r="1845" spans="2:3" x14ac:dyDescent="0.25">
      <c r="B1845" s="11">
        <f>[1]Pokemon!C1845</f>
        <v>0</v>
      </c>
      <c r="C1845" s="11">
        <f>[1]Moves!B1845</f>
        <v>0</v>
      </c>
    </row>
    <row r="1846" spans="2:3" x14ac:dyDescent="0.25">
      <c r="B1846" s="11">
        <f>[1]Pokemon!C1846</f>
        <v>0</v>
      </c>
      <c r="C1846" s="11">
        <f>[1]Moves!B1846</f>
        <v>0</v>
      </c>
    </row>
    <row r="1847" spans="2:3" x14ac:dyDescent="0.25">
      <c r="B1847" s="11">
        <f>[1]Pokemon!C1847</f>
        <v>0</v>
      </c>
      <c r="C1847" s="11">
        <f>[1]Moves!B1847</f>
        <v>0</v>
      </c>
    </row>
    <row r="1848" spans="2:3" x14ac:dyDescent="0.25">
      <c r="B1848" s="11">
        <f>[1]Pokemon!C1848</f>
        <v>0</v>
      </c>
      <c r="C1848" s="11">
        <f>[1]Moves!B1848</f>
        <v>0</v>
      </c>
    </row>
    <row r="1849" spans="2:3" x14ac:dyDescent="0.25">
      <c r="B1849" s="11">
        <f>[1]Pokemon!C1849</f>
        <v>0</v>
      </c>
      <c r="C1849" s="11">
        <f>[1]Moves!B1849</f>
        <v>0</v>
      </c>
    </row>
    <row r="1850" spans="2:3" x14ac:dyDescent="0.25">
      <c r="B1850" s="11">
        <f>[1]Pokemon!C1850</f>
        <v>0</v>
      </c>
      <c r="C1850" s="11">
        <f>[1]Moves!B1850</f>
        <v>0</v>
      </c>
    </row>
    <row r="1851" spans="2:3" x14ac:dyDescent="0.25">
      <c r="B1851" s="11">
        <f>[1]Pokemon!C1851</f>
        <v>0</v>
      </c>
      <c r="C1851" s="11">
        <f>[1]Moves!B1851</f>
        <v>0</v>
      </c>
    </row>
    <row r="1852" spans="2:3" x14ac:dyDescent="0.25">
      <c r="B1852" s="11">
        <f>[1]Pokemon!C1852</f>
        <v>0</v>
      </c>
      <c r="C1852" s="11">
        <f>[1]Moves!B1852</f>
        <v>0</v>
      </c>
    </row>
    <row r="1853" spans="2:3" x14ac:dyDescent="0.25">
      <c r="B1853" s="11">
        <f>[1]Pokemon!C1853</f>
        <v>0</v>
      </c>
      <c r="C1853" s="11">
        <f>[1]Moves!B1853</f>
        <v>0</v>
      </c>
    </row>
    <row r="1854" spans="2:3" x14ac:dyDescent="0.25">
      <c r="B1854" s="11">
        <f>[1]Pokemon!C1854</f>
        <v>0</v>
      </c>
      <c r="C1854" s="11">
        <f>[1]Moves!B1854</f>
        <v>0</v>
      </c>
    </row>
    <row r="1855" spans="2:3" x14ac:dyDescent="0.25">
      <c r="B1855" s="11">
        <f>[1]Pokemon!C1855</f>
        <v>0</v>
      </c>
      <c r="C1855" s="11">
        <f>[1]Moves!B1855</f>
        <v>0</v>
      </c>
    </row>
    <row r="1856" spans="2:3" x14ac:dyDescent="0.25">
      <c r="B1856" s="11">
        <f>[1]Pokemon!C1856</f>
        <v>0</v>
      </c>
      <c r="C1856" s="11">
        <f>[1]Moves!B1856</f>
        <v>0</v>
      </c>
    </row>
    <row r="1857" spans="2:3" x14ac:dyDescent="0.25">
      <c r="B1857" s="11">
        <f>[1]Pokemon!C1857</f>
        <v>0</v>
      </c>
      <c r="C1857" s="11">
        <f>[1]Moves!B1857</f>
        <v>0</v>
      </c>
    </row>
    <row r="1858" spans="2:3" x14ac:dyDescent="0.25">
      <c r="B1858" s="11">
        <f>[1]Pokemon!C1858</f>
        <v>0</v>
      </c>
      <c r="C1858" s="11">
        <f>[1]Moves!B1858</f>
        <v>0</v>
      </c>
    </row>
    <row r="1859" spans="2:3" x14ac:dyDescent="0.25">
      <c r="B1859" s="11">
        <f>[1]Pokemon!C1859</f>
        <v>0</v>
      </c>
      <c r="C1859" s="11">
        <f>[1]Moves!B1859</f>
        <v>0</v>
      </c>
    </row>
    <row r="1860" spans="2:3" x14ac:dyDescent="0.25">
      <c r="B1860" s="11">
        <f>[1]Pokemon!C1860</f>
        <v>0</v>
      </c>
      <c r="C1860" s="11">
        <f>[1]Moves!B1860</f>
        <v>0</v>
      </c>
    </row>
    <row r="1861" spans="2:3" x14ac:dyDescent="0.25">
      <c r="B1861" s="11">
        <f>[1]Pokemon!C1861</f>
        <v>0</v>
      </c>
      <c r="C1861" s="11">
        <f>[1]Moves!B1861</f>
        <v>0</v>
      </c>
    </row>
    <row r="1862" spans="2:3" x14ac:dyDescent="0.25">
      <c r="B1862" s="11">
        <f>[1]Pokemon!C1862</f>
        <v>0</v>
      </c>
      <c r="C1862" s="11">
        <f>[1]Moves!B1862</f>
        <v>0</v>
      </c>
    </row>
    <row r="1863" spans="2:3" x14ac:dyDescent="0.25">
      <c r="B1863" s="11">
        <f>[1]Pokemon!C1863</f>
        <v>0</v>
      </c>
      <c r="C1863" s="11">
        <f>[1]Moves!B1863</f>
        <v>0</v>
      </c>
    </row>
    <row r="1864" spans="2:3" x14ac:dyDescent="0.25">
      <c r="B1864" s="11">
        <f>[1]Pokemon!C1864</f>
        <v>0</v>
      </c>
      <c r="C1864" s="11">
        <f>[1]Moves!B1864</f>
        <v>0</v>
      </c>
    </row>
    <row r="1865" spans="2:3" x14ac:dyDescent="0.25">
      <c r="B1865" s="11">
        <f>[1]Pokemon!C1865</f>
        <v>0</v>
      </c>
      <c r="C1865" s="11">
        <f>[1]Moves!B1865</f>
        <v>0</v>
      </c>
    </row>
    <row r="1866" spans="2:3" x14ac:dyDescent="0.25">
      <c r="B1866" s="11">
        <f>[1]Pokemon!C1866</f>
        <v>0</v>
      </c>
      <c r="C1866" s="11">
        <f>[1]Moves!B1866</f>
        <v>0</v>
      </c>
    </row>
    <row r="1867" spans="2:3" x14ac:dyDescent="0.25">
      <c r="B1867" s="11">
        <f>[1]Pokemon!C1867</f>
        <v>0</v>
      </c>
      <c r="C1867" s="11">
        <f>[1]Moves!B1867</f>
        <v>0</v>
      </c>
    </row>
    <row r="1868" spans="2:3" x14ac:dyDescent="0.25">
      <c r="B1868" s="11">
        <f>[1]Pokemon!C1868</f>
        <v>0</v>
      </c>
      <c r="C1868" s="11">
        <f>[1]Moves!B1868</f>
        <v>0</v>
      </c>
    </row>
    <row r="1869" spans="2:3" x14ac:dyDescent="0.25">
      <c r="B1869" s="11">
        <f>[1]Pokemon!C1869</f>
        <v>0</v>
      </c>
      <c r="C1869" s="11">
        <f>[1]Moves!B1869</f>
        <v>0</v>
      </c>
    </row>
    <row r="1870" spans="2:3" x14ac:dyDescent="0.25">
      <c r="B1870" s="11">
        <f>[1]Pokemon!C1870</f>
        <v>0</v>
      </c>
      <c r="C1870" s="11">
        <f>[1]Moves!B1870</f>
        <v>0</v>
      </c>
    </row>
    <row r="1871" spans="2:3" x14ac:dyDescent="0.25">
      <c r="B1871" s="11">
        <f>[1]Pokemon!C1871</f>
        <v>0</v>
      </c>
      <c r="C1871" s="11">
        <f>[1]Moves!B1871</f>
        <v>0</v>
      </c>
    </row>
    <row r="1872" spans="2:3" x14ac:dyDescent="0.25">
      <c r="B1872" s="11">
        <f>[1]Pokemon!C1872</f>
        <v>0</v>
      </c>
      <c r="C1872" s="11">
        <f>[1]Moves!B1872</f>
        <v>0</v>
      </c>
    </row>
    <row r="1873" spans="2:3" x14ac:dyDescent="0.25">
      <c r="B1873" s="11">
        <f>[1]Pokemon!C1873</f>
        <v>0</v>
      </c>
      <c r="C1873" s="11">
        <f>[1]Moves!B1873</f>
        <v>0</v>
      </c>
    </row>
    <row r="1874" spans="2:3" x14ac:dyDescent="0.25">
      <c r="B1874" s="11">
        <f>[1]Pokemon!C1874</f>
        <v>0</v>
      </c>
      <c r="C1874" s="11">
        <f>[1]Moves!B1874</f>
        <v>0</v>
      </c>
    </row>
    <row r="1875" spans="2:3" x14ac:dyDescent="0.25">
      <c r="B1875" s="11">
        <f>[1]Pokemon!C1875</f>
        <v>0</v>
      </c>
      <c r="C1875" s="11">
        <f>[1]Moves!B1875</f>
        <v>0</v>
      </c>
    </row>
    <row r="1876" spans="2:3" x14ac:dyDescent="0.25">
      <c r="B1876" s="11">
        <f>[1]Pokemon!C1876</f>
        <v>0</v>
      </c>
      <c r="C1876" s="11">
        <f>[1]Moves!B1876</f>
        <v>0</v>
      </c>
    </row>
    <row r="1877" spans="2:3" x14ac:dyDescent="0.25">
      <c r="B1877" s="11">
        <f>[1]Pokemon!C1877</f>
        <v>0</v>
      </c>
      <c r="C1877" s="11">
        <f>[1]Moves!B1877</f>
        <v>0</v>
      </c>
    </row>
    <row r="1878" spans="2:3" x14ac:dyDescent="0.25">
      <c r="B1878" s="11">
        <f>[1]Pokemon!C1878</f>
        <v>0</v>
      </c>
      <c r="C1878" s="11">
        <f>[1]Moves!B1878</f>
        <v>0</v>
      </c>
    </row>
    <row r="1879" spans="2:3" x14ac:dyDescent="0.25">
      <c r="B1879" s="11">
        <f>[1]Pokemon!C1879</f>
        <v>0</v>
      </c>
      <c r="C1879" s="11">
        <f>[1]Moves!B1879</f>
        <v>0</v>
      </c>
    </row>
    <row r="1880" spans="2:3" x14ac:dyDescent="0.25">
      <c r="B1880" s="11">
        <f>[1]Pokemon!C1880</f>
        <v>0</v>
      </c>
      <c r="C1880" s="11">
        <f>[1]Moves!B1880</f>
        <v>0</v>
      </c>
    </row>
    <row r="1881" spans="2:3" x14ac:dyDescent="0.25">
      <c r="B1881" s="11">
        <f>[1]Pokemon!C1881</f>
        <v>0</v>
      </c>
      <c r="C1881" s="11">
        <f>[1]Moves!B1881</f>
        <v>0</v>
      </c>
    </row>
    <row r="1882" spans="2:3" x14ac:dyDescent="0.25">
      <c r="B1882" s="11">
        <f>[1]Pokemon!C1882</f>
        <v>0</v>
      </c>
      <c r="C1882" s="11">
        <f>[1]Moves!B1882</f>
        <v>0</v>
      </c>
    </row>
    <row r="1883" spans="2:3" x14ac:dyDescent="0.25">
      <c r="B1883" s="11">
        <f>[1]Pokemon!C1883</f>
        <v>0</v>
      </c>
      <c r="C1883" s="11">
        <f>[1]Moves!B1883</f>
        <v>0</v>
      </c>
    </row>
    <row r="1884" spans="2:3" x14ac:dyDescent="0.25">
      <c r="B1884" s="11">
        <f>[1]Pokemon!C1884</f>
        <v>0</v>
      </c>
      <c r="C1884" s="11">
        <f>[1]Moves!B1884</f>
        <v>0</v>
      </c>
    </row>
    <row r="1885" spans="2:3" x14ac:dyDescent="0.25">
      <c r="B1885" s="11">
        <f>[1]Pokemon!C1885</f>
        <v>0</v>
      </c>
      <c r="C1885" s="11">
        <f>[1]Moves!B1885</f>
        <v>0</v>
      </c>
    </row>
    <row r="1886" spans="2:3" x14ac:dyDescent="0.25">
      <c r="B1886" s="11">
        <f>[1]Pokemon!C1886</f>
        <v>0</v>
      </c>
      <c r="C1886" s="11">
        <f>[1]Moves!B1886</f>
        <v>0</v>
      </c>
    </row>
    <row r="1887" spans="2:3" x14ac:dyDescent="0.25">
      <c r="B1887" s="11">
        <f>[1]Pokemon!C1887</f>
        <v>0</v>
      </c>
      <c r="C1887" s="11">
        <f>[1]Moves!B1887</f>
        <v>0</v>
      </c>
    </row>
    <row r="1888" spans="2:3" x14ac:dyDescent="0.25">
      <c r="B1888" s="11">
        <f>[1]Pokemon!C1888</f>
        <v>0</v>
      </c>
      <c r="C1888" s="11">
        <f>[1]Moves!B1888</f>
        <v>0</v>
      </c>
    </row>
    <row r="1889" spans="2:3" x14ac:dyDescent="0.25">
      <c r="B1889" s="11">
        <f>[1]Pokemon!C1889</f>
        <v>0</v>
      </c>
      <c r="C1889" s="11">
        <f>[1]Moves!B1889</f>
        <v>0</v>
      </c>
    </row>
    <row r="1890" spans="2:3" x14ac:dyDescent="0.25">
      <c r="B1890" s="11">
        <f>[1]Pokemon!C1890</f>
        <v>0</v>
      </c>
      <c r="C1890" s="11">
        <f>[1]Moves!B1890</f>
        <v>0</v>
      </c>
    </row>
    <row r="1891" spans="2:3" x14ac:dyDescent="0.25">
      <c r="B1891" s="11">
        <f>[1]Pokemon!C1891</f>
        <v>0</v>
      </c>
      <c r="C1891" s="11">
        <f>[1]Moves!B1891</f>
        <v>0</v>
      </c>
    </row>
    <row r="1892" spans="2:3" x14ac:dyDescent="0.25">
      <c r="B1892" s="11">
        <f>[1]Pokemon!C1892</f>
        <v>0</v>
      </c>
      <c r="C1892" s="11">
        <f>[1]Moves!B1892</f>
        <v>0</v>
      </c>
    </row>
    <row r="1893" spans="2:3" x14ac:dyDescent="0.25">
      <c r="B1893" s="11">
        <f>[1]Pokemon!C1893</f>
        <v>0</v>
      </c>
      <c r="C1893" s="11">
        <f>[1]Moves!B1893</f>
        <v>0</v>
      </c>
    </row>
    <row r="1894" spans="2:3" x14ac:dyDescent="0.25">
      <c r="B1894" s="11">
        <f>[1]Pokemon!C1894</f>
        <v>0</v>
      </c>
      <c r="C1894" s="11">
        <f>[1]Moves!B1894</f>
        <v>0</v>
      </c>
    </row>
    <row r="1895" spans="2:3" x14ac:dyDescent="0.25">
      <c r="B1895" s="11">
        <f>[1]Pokemon!C1895</f>
        <v>0</v>
      </c>
      <c r="C1895" s="11">
        <f>[1]Moves!B1895</f>
        <v>0</v>
      </c>
    </row>
    <row r="1896" spans="2:3" x14ac:dyDescent="0.25">
      <c r="B1896" s="11">
        <f>[1]Pokemon!C1896</f>
        <v>0</v>
      </c>
      <c r="C1896" s="11">
        <f>[1]Moves!B1896</f>
        <v>0</v>
      </c>
    </row>
    <row r="1897" spans="2:3" x14ac:dyDescent="0.25">
      <c r="B1897" s="11">
        <f>[1]Pokemon!C1897</f>
        <v>0</v>
      </c>
      <c r="C1897" s="11">
        <f>[1]Moves!B1897</f>
        <v>0</v>
      </c>
    </row>
    <row r="1898" spans="2:3" x14ac:dyDescent="0.25">
      <c r="B1898" s="11">
        <f>[1]Pokemon!C1898</f>
        <v>0</v>
      </c>
      <c r="C1898" s="11">
        <f>[1]Moves!B1898</f>
        <v>0</v>
      </c>
    </row>
    <row r="1899" spans="2:3" x14ac:dyDescent="0.25">
      <c r="B1899" s="11">
        <f>[1]Pokemon!C1899</f>
        <v>0</v>
      </c>
      <c r="C1899" s="11">
        <f>[1]Moves!B1899</f>
        <v>0</v>
      </c>
    </row>
    <row r="1900" spans="2:3" x14ac:dyDescent="0.25">
      <c r="B1900" s="11">
        <f>[1]Pokemon!C1900</f>
        <v>0</v>
      </c>
      <c r="C1900" s="11">
        <f>[1]Moves!B1900</f>
        <v>0</v>
      </c>
    </row>
    <row r="1901" spans="2:3" x14ac:dyDescent="0.25">
      <c r="B1901" s="11">
        <f>[1]Pokemon!C1901</f>
        <v>0</v>
      </c>
      <c r="C1901" s="11">
        <f>[1]Moves!B1901</f>
        <v>0</v>
      </c>
    </row>
    <row r="1902" spans="2:3" x14ac:dyDescent="0.25">
      <c r="B1902" s="11">
        <f>[1]Pokemon!C1902</f>
        <v>0</v>
      </c>
      <c r="C1902" s="11">
        <f>[1]Moves!B1902</f>
        <v>0</v>
      </c>
    </row>
    <row r="1903" spans="2:3" x14ac:dyDescent="0.25">
      <c r="B1903" s="11">
        <f>[1]Pokemon!C1903</f>
        <v>0</v>
      </c>
      <c r="C1903" s="11">
        <f>[1]Moves!B1903</f>
        <v>0</v>
      </c>
    </row>
    <row r="1904" spans="2:3" x14ac:dyDescent="0.25">
      <c r="B1904" s="11">
        <f>[1]Pokemon!C1904</f>
        <v>0</v>
      </c>
      <c r="C1904" s="11">
        <f>[1]Moves!B1904</f>
        <v>0</v>
      </c>
    </row>
    <row r="1905" spans="2:3" x14ac:dyDescent="0.25">
      <c r="B1905" s="11">
        <f>[1]Pokemon!C1905</f>
        <v>0</v>
      </c>
      <c r="C1905" s="11">
        <f>[1]Moves!B1905</f>
        <v>0</v>
      </c>
    </row>
    <row r="1906" spans="2:3" x14ac:dyDescent="0.25">
      <c r="B1906" s="11">
        <f>[1]Pokemon!C1906</f>
        <v>0</v>
      </c>
      <c r="C1906" s="11">
        <f>[1]Moves!B1906</f>
        <v>0</v>
      </c>
    </row>
    <row r="1907" spans="2:3" x14ac:dyDescent="0.25">
      <c r="B1907" s="11">
        <f>[1]Pokemon!C1907</f>
        <v>0</v>
      </c>
      <c r="C1907" s="11">
        <f>[1]Moves!B1907</f>
        <v>0</v>
      </c>
    </row>
    <row r="1908" spans="2:3" x14ac:dyDescent="0.25">
      <c r="B1908" s="11">
        <f>[1]Pokemon!C1908</f>
        <v>0</v>
      </c>
      <c r="C1908" s="11">
        <f>[1]Moves!B1908</f>
        <v>0</v>
      </c>
    </row>
    <row r="1909" spans="2:3" x14ac:dyDescent="0.25">
      <c r="B1909" s="11">
        <f>[1]Pokemon!C1909</f>
        <v>0</v>
      </c>
      <c r="C1909" s="11">
        <f>[1]Moves!B1909</f>
        <v>0</v>
      </c>
    </row>
    <row r="1910" spans="2:3" x14ac:dyDescent="0.25">
      <c r="B1910" s="11">
        <f>[1]Pokemon!C1910</f>
        <v>0</v>
      </c>
      <c r="C1910" s="11">
        <f>[1]Moves!B1910</f>
        <v>0</v>
      </c>
    </row>
    <row r="1911" spans="2:3" x14ac:dyDescent="0.25">
      <c r="B1911" s="11">
        <f>[1]Pokemon!C1911</f>
        <v>0</v>
      </c>
      <c r="C1911" s="11">
        <f>[1]Moves!B1911</f>
        <v>0</v>
      </c>
    </row>
    <row r="1912" spans="2:3" x14ac:dyDescent="0.25">
      <c r="B1912" s="11">
        <f>[1]Pokemon!C1912</f>
        <v>0</v>
      </c>
      <c r="C1912" s="11">
        <f>[1]Moves!B1912</f>
        <v>0</v>
      </c>
    </row>
    <row r="1913" spans="2:3" x14ac:dyDescent="0.25">
      <c r="B1913" s="11">
        <f>[1]Pokemon!C1913</f>
        <v>0</v>
      </c>
      <c r="C1913" s="11">
        <f>[1]Moves!B1913</f>
        <v>0</v>
      </c>
    </row>
    <row r="1914" spans="2:3" x14ac:dyDescent="0.25">
      <c r="B1914" s="11">
        <f>[1]Pokemon!C1914</f>
        <v>0</v>
      </c>
      <c r="C1914" s="11">
        <f>[1]Moves!B1914</f>
        <v>0</v>
      </c>
    </row>
    <row r="1915" spans="2:3" x14ac:dyDescent="0.25">
      <c r="B1915" s="11">
        <f>[1]Pokemon!C1915</f>
        <v>0</v>
      </c>
      <c r="C1915" s="11">
        <f>[1]Moves!B1915</f>
        <v>0</v>
      </c>
    </row>
    <row r="1916" spans="2:3" x14ac:dyDescent="0.25">
      <c r="B1916" s="11">
        <f>[1]Pokemon!C1916</f>
        <v>0</v>
      </c>
      <c r="C1916" s="11">
        <f>[1]Moves!B1916</f>
        <v>0</v>
      </c>
    </row>
    <row r="1917" spans="2:3" x14ac:dyDescent="0.25">
      <c r="B1917" s="11">
        <f>[1]Pokemon!C1917</f>
        <v>0</v>
      </c>
      <c r="C1917" s="11">
        <f>[1]Moves!B1917</f>
        <v>0</v>
      </c>
    </row>
    <row r="1918" spans="2:3" x14ac:dyDescent="0.25">
      <c r="B1918" s="11">
        <f>[1]Pokemon!C1918</f>
        <v>0</v>
      </c>
      <c r="C1918" s="11">
        <f>[1]Moves!B1918</f>
        <v>0</v>
      </c>
    </row>
    <row r="1919" spans="2:3" x14ac:dyDescent="0.25">
      <c r="B1919" s="11">
        <f>[1]Pokemon!C1919</f>
        <v>0</v>
      </c>
      <c r="C1919" s="11">
        <f>[1]Moves!B1919</f>
        <v>0</v>
      </c>
    </row>
    <row r="1920" spans="2:3" x14ac:dyDescent="0.25">
      <c r="B1920" s="11">
        <f>[1]Pokemon!C1920</f>
        <v>0</v>
      </c>
      <c r="C1920" s="11">
        <f>[1]Moves!B1920</f>
        <v>0</v>
      </c>
    </row>
    <row r="1921" spans="2:3" x14ac:dyDescent="0.25">
      <c r="B1921" s="11">
        <f>[1]Pokemon!C1921</f>
        <v>0</v>
      </c>
      <c r="C1921" s="11">
        <f>[1]Moves!B1921</f>
        <v>0</v>
      </c>
    </row>
    <row r="1922" spans="2:3" x14ac:dyDescent="0.25">
      <c r="B1922" s="11">
        <f>[1]Pokemon!C1922</f>
        <v>0</v>
      </c>
      <c r="C1922" s="11">
        <f>[1]Moves!B1922</f>
        <v>0</v>
      </c>
    </row>
    <row r="1923" spans="2:3" x14ac:dyDescent="0.25">
      <c r="B1923" s="11">
        <f>[1]Pokemon!C1923</f>
        <v>0</v>
      </c>
      <c r="C1923" s="11">
        <f>[1]Moves!B1923</f>
        <v>0</v>
      </c>
    </row>
    <row r="1924" spans="2:3" x14ac:dyDescent="0.25">
      <c r="B1924" s="11">
        <f>[1]Pokemon!C1924</f>
        <v>0</v>
      </c>
      <c r="C1924" s="11">
        <f>[1]Moves!B1924</f>
        <v>0</v>
      </c>
    </row>
    <row r="1925" spans="2:3" x14ac:dyDescent="0.25">
      <c r="B1925" s="11">
        <f>[1]Pokemon!C1925</f>
        <v>0</v>
      </c>
      <c r="C1925" s="11">
        <f>[1]Moves!B1925</f>
        <v>0</v>
      </c>
    </row>
    <row r="1926" spans="2:3" x14ac:dyDescent="0.25">
      <c r="B1926" s="11">
        <f>[1]Pokemon!C1926</f>
        <v>0</v>
      </c>
      <c r="C1926" s="11">
        <f>[1]Moves!B1926</f>
        <v>0</v>
      </c>
    </row>
    <row r="1927" spans="2:3" x14ac:dyDescent="0.25">
      <c r="B1927" s="11">
        <f>[1]Pokemon!C1927</f>
        <v>0</v>
      </c>
      <c r="C1927" s="11">
        <f>[1]Moves!B1927</f>
        <v>0</v>
      </c>
    </row>
    <row r="1928" spans="2:3" x14ac:dyDescent="0.25">
      <c r="B1928" s="11">
        <f>[1]Pokemon!C1928</f>
        <v>0</v>
      </c>
      <c r="C1928" s="11">
        <f>[1]Moves!B1928</f>
        <v>0</v>
      </c>
    </row>
    <row r="1929" spans="2:3" x14ac:dyDescent="0.25">
      <c r="B1929" s="11">
        <f>[1]Pokemon!C1929</f>
        <v>0</v>
      </c>
      <c r="C1929" s="11">
        <f>[1]Moves!B1929</f>
        <v>0</v>
      </c>
    </row>
    <row r="1930" spans="2:3" x14ac:dyDescent="0.25">
      <c r="B1930" s="11">
        <f>[1]Pokemon!C1930</f>
        <v>0</v>
      </c>
      <c r="C1930" s="11">
        <f>[1]Moves!B1930</f>
        <v>0</v>
      </c>
    </row>
    <row r="1931" spans="2:3" x14ac:dyDescent="0.25">
      <c r="B1931" s="11">
        <f>[1]Pokemon!C1931</f>
        <v>0</v>
      </c>
      <c r="C1931" s="11">
        <f>[1]Moves!B1931</f>
        <v>0</v>
      </c>
    </row>
    <row r="1932" spans="2:3" x14ac:dyDescent="0.25">
      <c r="B1932" s="11">
        <f>[1]Pokemon!C1932</f>
        <v>0</v>
      </c>
      <c r="C1932" s="11">
        <f>[1]Moves!B1932</f>
        <v>0</v>
      </c>
    </row>
    <row r="1933" spans="2:3" x14ac:dyDescent="0.25">
      <c r="B1933" s="11">
        <f>[1]Pokemon!C1933</f>
        <v>0</v>
      </c>
      <c r="C1933" s="11">
        <f>[1]Moves!B1933</f>
        <v>0</v>
      </c>
    </row>
    <row r="1934" spans="2:3" x14ac:dyDescent="0.25">
      <c r="B1934" s="11">
        <f>[1]Pokemon!C1934</f>
        <v>0</v>
      </c>
      <c r="C1934" s="11">
        <f>[1]Moves!B1934</f>
        <v>0</v>
      </c>
    </row>
    <row r="1935" spans="2:3" x14ac:dyDescent="0.25">
      <c r="B1935" s="11">
        <f>[1]Pokemon!C1935</f>
        <v>0</v>
      </c>
      <c r="C1935" s="11">
        <f>[1]Moves!B1935</f>
        <v>0</v>
      </c>
    </row>
    <row r="1936" spans="2:3" x14ac:dyDescent="0.25">
      <c r="B1936" s="11">
        <f>[1]Pokemon!C1936</f>
        <v>0</v>
      </c>
      <c r="C1936" s="11">
        <f>[1]Moves!B1936</f>
        <v>0</v>
      </c>
    </row>
    <row r="1937" spans="2:3" x14ac:dyDescent="0.25">
      <c r="B1937" s="11">
        <f>[1]Pokemon!C1937</f>
        <v>0</v>
      </c>
      <c r="C1937" s="11">
        <f>[1]Moves!B1937</f>
        <v>0</v>
      </c>
    </row>
    <row r="1938" spans="2:3" x14ac:dyDescent="0.25">
      <c r="B1938" s="11">
        <f>[1]Pokemon!C1938</f>
        <v>0</v>
      </c>
      <c r="C1938" s="11">
        <f>[1]Moves!B1938</f>
        <v>0</v>
      </c>
    </row>
    <row r="1939" spans="2:3" x14ac:dyDescent="0.25">
      <c r="B1939" s="11">
        <f>[1]Pokemon!C1939</f>
        <v>0</v>
      </c>
      <c r="C1939" s="11">
        <f>[1]Moves!B1939</f>
        <v>0</v>
      </c>
    </row>
    <row r="1940" spans="2:3" x14ac:dyDescent="0.25">
      <c r="B1940" s="11">
        <f>[1]Pokemon!C1940</f>
        <v>0</v>
      </c>
      <c r="C1940" s="11">
        <f>[1]Moves!B1940</f>
        <v>0</v>
      </c>
    </row>
    <row r="1941" spans="2:3" x14ac:dyDescent="0.25">
      <c r="B1941" s="11">
        <f>[1]Pokemon!C1941</f>
        <v>0</v>
      </c>
      <c r="C1941" s="11">
        <f>[1]Moves!B1941</f>
        <v>0</v>
      </c>
    </row>
    <row r="1942" spans="2:3" x14ac:dyDescent="0.25">
      <c r="B1942" s="11">
        <f>[1]Pokemon!C1942</f>
        <v>0</v>
      </c>
      <c r="C1942" s="11">
        <f>[1]Moves!B1942</f>
        <v>0</v>
      </c>
    </row>
    <row r="1943" spans="2:3" x14ac:dyDescent="0.25">
      <c r="B1943" s="11">
        <f>[1]Pokemon!C1943</f>
        <v>0</v>
      </c>
      <c r="C1943" s="11">
        <f>[1]Moves!B1943</f>
        <v>0</v>
      </c>
    </row>
    <row r="1944" spans="2:3" x14ac:dyDescent="0.25">
      <c r="B1944" s="11">
        <f>[1]Pokemon!C1944</f>
        <v>0</v>
      </c>
      <c r="C1944" s="11">
        <f>[1]Moves!B1944</f>
        <v>0</v>
      </c>
    </row>
    <row r="1945" spans="2:3" x14ac:dyDescent="0.25">
      <c r="B1945" s="11">
        <f>[1]Pokemon!C1945</f>
        <v>0</v>
      </c>
      <c r="C1945" s="11">
        <f>[1]Moves!B1945</f>
        <v>0</v>
      </c>
    </row>
    <row r="1946" spans="2:3" x14ac:dyDescent="0.25">
      <c r="B1946" s="11">
        <f>[1]Pokemon!C1946</f>
        <v>0</v>
      </c>
      <c r="C1946" s="11">
        <f>[1]Moves!B1946</f>
        <v>0</v>
      </c>
    </row>
    <row r="1947" spans="2:3" x14ac:dyDescent="0.25">
      <c r="B1947" s="11">
        <f>[1]Pokemon!C1947</f>
        <v>0</v>
      </c>
      <c r="C1947" s="11">
        <f>[1]Moves!B1947</f>
        <v>0</v>
      </c>
    </row>
    <row r="1948" spans="2:3" x14ac:dyDescent="0.25">
      <c r="B1948" s="11">
        <f>[1]Pokemon!C1948</f>
        <v>0</v>
      </c>
      <c r="C1948" s="11">
        <f>[1]Moves!B1948</f>
        <v>0</v>
      </c>
    </row>
    <row r="1949" spans="2:3" x14ac:dyDescent="0.25">
      <c r="B1949" s="11">
        <f>[1]Pokemon!C1949</f>
        <v>0</v>
      </c>
      <c r="C1949" s="11">
        <f>[1]Moves!B1949</f>
        <v>0</v>
      </c>
    </row>
    <row r="1950" spans="2:3" x14ac:dyDescent="0.25">
      <c r="B1950" s="11">
        <f>[1]Pokemon!C1950</f>
        <v>0</v>
      </c>
      <c r="C1950" s="11">
        <f>[1]Moves!B1950</f>
        <v>0</v>
      </c>
    </row>
    <row r="1951" spans="2:3" x14ac:dyDescent="0.25">
      <c r="B1951" s="11">
        <f>[1]Pokemon!C1951</f>
        <v>0</v>
      </c>
      <c r="C1951" s="11">
        <f>[1]Moves!B1951</f>
        <v>0</v>
      </c>
    </row>
    <row r="1952" spans="2:3" x14ac:dyDescent="0.25">
      <c r="B1952" s="11">
        <f>[1]Pokemon!C1952</f>
        <v>0</v>
      </c>
      <c r="C1952" s="11">
        <f>[1]Moves!B1952</f>
        <v>0</v>
      </c>
    </row>
    <row r="1953" spans="2:3" x14ac:dyDescent="0.25">
      <c r="B1953" s="11">
        <f>[1]Pokemon!C1953</f>
        <v>0</v>
      </c>
      <c r="C1953" s="11">
        <f>[1]Moves!B1953</f>
        <v>0</v>
      </c>
    </row>
    <row r="1954" spans="2:3" x14ac:dyDescent="0.25">
      <c r="B1954" s="11">
        <f>[1]Pokemon!C1954</f>
        <v>0</v>
      </c>
      <c r="C1954" s="11">
        <f>[1]Moves!B1954</f>
        <v>0</v>
      </c>
    </row>
    <row r="1955" spans="2:3" x14ac:dyDescent="0.25">
      <c r="B1955" s="11">
        <f>[1]Pokemon!C1955</f>
        <v>0</v>
      </c>
      <c r="C1955" s="11">
        <f>[1]Moves!B1955</f>
        <v>0</v>
      </c>
    </row>
    <row r="1956" spans="2:3" x14ac:dyDescent="0.25">
      <c r="B1956" s="11">
        <f>[1]Pokemon!C1956</f>
        <v>0</v>
      </c>
      <c r="C1956" s="11">
        <f>[1]Moves!B1956</f>
        <v>0</v>
      </c>
    </row>
    <row r="1957" spans="2:3" x14ac:dyDescent="0.25">
      <c r="B1957" s="11">
        <f>[1]Pokemon!C1957</f>
        <v>0</v>
      </c>
      <c r="C1957" s="11">
        <f>[1]Moves!B1957</f>
        <v>0</v>
      </c>
    </row>
    <row r="1958" spans="2:3" x14ac:dyDescent="0.25">
      <c r="B1958" s="11">
        <f>[1]Pokemon!C1958</f>
        <v>0</v>
      </c>
      <c r="C1958" s="11">
        <f>[1]Moves!B1958</f>
        <v>0</v>
      </c>
    </row>
    <row r="1959" spans="2:3" x14ac:dyDescent="0.25">
      <c r="B1959" s="11">
        <f>[1]Pokemon!C1959</f>
        <v>0</v>
      </c>
      <c r="C1959" s="11">
        <f>[1]Moves!B1959</f>
        <v>0</v>
      </c>
    </row>
    <row r="1960" spans="2:3" x14ac:dyDescent="0.25">
      <c r="B1960" s="11">
        <f>[1]Pokemon!C1960</f>
        <v>0</v>
      </c>
      <c r="C1960" s="11">
        <f>[1]Moves!B1960</f>
        <v>0</v>
      </c>
    </row>
    <row r="1961" spans="2:3" x14ac:dyDescent="0.25">
      <c r="B1961" s="11">
        <f>[1]Pokemon!C1961</f>
        <v>0</v>
      </c>
      <c r="C1961" s="11">
        <f>[1]Moves!B1961</f>
        <v>0</v>
      </c>
    </row>
    <row r="1962" spans="2:3" x14ac:dyDescent="0.25">
      <c r="B1962" s="11">
        <f>[1]Pokemon!C1962</f>
        <v>0</v>
      </c>
      <c r="C1962" s="11">
        <f>[1]Moves!B1962</f>
        <v>0</v>
      </c>
    </row>
    <row r="1963" spans="2:3" x14ac:dyDescent="0.25">
      <c r="B1963" s="11">
        <f>[1]Pokemon!C1963</f>
        <v>0</v>
      </c>
      <c r="C1963" s="11">
        <f>[1]Moves!B1963</f>
        <v>0</v>
      </c>
    </row>
    <row r="1964" spans="2:3" x14ac:dyDescent="0.25">
      <c r="B1964" s="11">
        <f>[1]Pokemon!C1964</f>
        <v>0</v>
      </c>
      <c r="C1964" s="11">
        <f>[1]Moves!B1964</f>
        <v>0</v>
      </c>
    </row>
    <row r="1965" spans="2:3" x14ac:dyDescent="0.25">
      <c r="B1965" s="11">
        <f>[1]Pokemon!C1965</f>
        <v>0</v>
      </c>
      <c r="C1965" s="11">
        <f>[1]Moves!B1965</f>
        <v>0</v>
      </c>
    </row>
    <row r="1966" spans="2:3" x14ac:dyDescent="0.25">
      <c r="B1966" s="11">
        <f>[1]Pokemon!C1966</f>
        <v>0</v>
      </c>
      <c r="C1966" s="11">
        <f>[1]Moves!B1966</f>
        <v>0</v>
      </c>
    </row>
    <row r="1967" spans="2:3" x14ac:dyDescent="0.25">
      <c r="B1967" s="11">
        <f>[1]Pokemon!C1967</f>
        <v>0</v>
      </c>
      <c r="C1967" s="11">
        <f>[1]Moves!B1967</f>
        <v>0</v>
      </c>
    </row>
    <row r="1968" spans="2:3" x14ac:dyDescent="0.25">
      <c r="B1968" s="11">
        <f>[1]Pokemon!C1968</f>
        <v>0</v>
      </c>
      <c r="C1968" s="11">
        <f>[1]Moves!B1968</f>
        <v>0</v>
      </c>
    </row>
    <row r="1969" spans="2:3" x14ac:dyDescent="0.25">
      <c r="B1969" s="11">
        <f>[1]Pokemon!C1969</f>
        <v>0</v>
      </c>
      <c r="C1969" s="11">
        <f>[1]Moves!B1969</f>
        <v>0</v>
      </c>
    </row>
    <row r="1970" spans="2:3" x14ac:dyDescent="0.25">
      <c r="B1970" s="11">
        <f>[1]Pokemon!C1970</f>
        <v>0</v>
      </c>
      <c r="C1970" s="11">
        <f>[1]Moves!B1970</f>
        <v>0</v>
      </c>
    </row>
    <row r="1971" spans="2:3" x14ac:dyDescent="0.25">
      <c r="B1971" s="11">
        <f>[1]Pokemon!C1971</f>
        <v>0</v>
      </c>
      <c r="C1971" s="11">
        <f>[1]Moves!B1971</f>
        <v>0</v>
      </c>
    </row>
    <row r="1972" spans="2:3" x14ac:dyDescent="0.25">
      <c r="B1972" s="11">
        <f>[1]Pokemon!C1972</f>
        <v>0</v>
      </c>
      <c r="C1972" s="11">
        <f>[1]Moves!B1972</f>
        <v>0</v>
      </c>
    </row>
    <row r="1973" spans="2:3" x14ac:dyDescent="0.25">
      <c r="B1973" s="11">
        <f>[1]Pokemon!C1973</f>
        <v>0</v>
      </c>
      <c r="C1973" s="11">
        <f>[1]Moves!B1973</f>
        <v>0</v>
      </c>
    </row>
    <row r="1974" spans="2:3" x14ac:dyDescent="0.25">
      <c r="B1974" s="11">
        <f>[1]Pokemon!C1974</f>
        <v>0</v>
      </c>
      <c r="C1974" s="11">
        <f>[1]Moves!B1974</f>
        <v>0</v>
      </c>
    </row>
    <row r="1975" spans="2:3" x14ac:dyDescent="0.25">
      <c r="B1975" s="11">
        <f>[1]Pokemon!C1975</f>
        <v>0</v>
      </c>
      <c r="C1975" s="11">
        <f>[1]Moves!B1975</f>
        <v>0</v>
      </c>
    </row>
    <row r="1976" spans="2:3" x14ac:dyDescent="0.25">
      <c r="B1976" s="11">
        <f>[1]Pokemon!C1976</f>
        <v>0</v>
      </c>
      <c r="C1976" s="11">
        <f>[1]Moves!B1976</f>
        <v>0</v>
      </c>
    </row>
    <row r="1977" spans="2:3" x14ac:dyDescent="0.25">
      <c r="B1977" s="11">
        <f>[1]Pokemon!C1977</f>
        <v>0</v>
      </c>
      <c r="C1977" s="11">
        <f>[1]Moves!B1977</f>
        <v>0</v>
      </c>
    </row>
    <row r="1978" spans="2:3" x14ac:dyDescent="0.25">
      <c r="B1978" s="11">
        <f>[1]Pokemon!C1978</f>
        <v>0</v>
      </c>
      <c r="C1978" s="11">
        <f>[1]Moves!B1978</f>
        <v>0</v>
      </c>
    </row>
    <row r="1979" spans="2:3" x14ac:dyDescent="0.25">
      <c r="B1979" s="11">
        <f>[1]Pokemon!C1979</f>
        <v>0</v>
      </c>
      <c r="C1979" s="11">
        <f>[1]Moves!B1979</f>
        <v>0</v>
      </c>
    </row>
    <row r="1980" spans="2:3" x14ac:dyDescent="0.25">
      <c r="B1980" s="11">
        <f>[1]Pokemon!C1980</f>
        <v>0</v>
      </c>
      <c r="C1980" s="11">
        <f>[1]Moves!B1980</f>
        <v>0</v>
      </c>
    </row>
    <row r="1981" spans="2:3" x14ac:dyDescent="0.25">
      <c r="B1981" s="11">
        <f>[1]Pokemon!C1981</f>
        <v>0</v>
      </c>
      <c r="C1981" s="11">
        <f>[1]Moves!B1981</f>
        <v>0</v>
      </c>
    </row>
    <row r="1982" spans="2:3" x14ac:dyDescent="0.25">
      <c r="B1982" s="11">
        <f>[1]Pokemon!C1982</f>
        <v>0</v>
      </c>
      <c r="C1982" s="11">
        <f>[1]Moves!B1982</f>
        <v>0</v>
      </c>
    </row>
    <row r="1983" spans="2:3" x14ac:dyDescent="0.25">
      <c r="B1983" s="11">
        <f>[1]Pokemon!C1983</f>
        <v>0</v>
      </c>
      <c r="C1983" s="11">
        <f>[1]Moves!B1983</f>
        <v>0</v>
      </c>
    </row>
    <row r="1984" spans="2:3" x14ac:dyDescent="0.25">
      <c r="B1984" s="11">
        <f>[1]Pokemon!C1984</f>
        <v>0</v>
      </c>
      <c r="C1984" s="11">
        <f>[1]Moves!B1984</f>
        <v>0</v>
      </c>
    </row>
    <row r="1985" spans="2:3" x14ac:dyDescent="0.25">
      <c r="B1985" s="11">
        <f>[1]Pokemon!C1985</f>
        <v>0</v>
      </c>
      <c r="C1985" s="11">
        <f>[1]Moves!B1985</f>
        <v>0</v>
      </c>
    </row>
    <row r="1986" spans="2:3" x14ac:dyDescent="0.25">
      <c r="B1986" s="11">
        <f>[1]Pokemon!C1986</f>
        <v>0</v>
      </c>
      <c r="C1986" s="11">
        <f>[1]Moves!B1986</f>
        <v>0</v>
      </c>
    </row>
    <row r="1987" spans="2:3" x14ac:dyDescent="0.25">
      <c r="B1987" s="11">
        <f>[1]Pokemon!C1987</f>
        <v>0</v>
      </c>
      <c r="C1987" s="11">
        <f>[1]Moves!B1987</f>
        <v>0</v>
      </c>
    </row>
    <row r="1988" spans="2:3" x14ac:dyDescent="0.25">
      <c r="B1988" s="11">
        <f>[1]Pokemon!C1988</f>
        <v>0</v>
      </c>
      <c r="C1988" s="11">
        <f>[1]Moves!B1988</f>
        <v>0</v>
      </c>
    </row>
    <row r="1989" spans="2:3" x14ac:dyDescent="0.25">
      <c r="B1989" s="11">
        <f>[1]Pokemon!C1989</f>
        <v>0</v>
      </c>
      <c r="C1989" s="11">
        <f>[1]Moves!B1989</f>
        <v>0</v>
      </c>
    </row>
    <row r="1990" spans="2:3" x14ac:dyDescent="0.25">
      <c r="B1990" s="11">
        <f>[1]Pokemon!C1990</f>
        <v>0</v>
      </c>
      <c r="C1990" s="11">
        <f>[1]Moves!B1990</f>
        <v>0</v>
      </c>
    </row>
    <row r="1991" spans="2:3" x14ac:dyDescent="0.25">
      <c r="B1991" s="11">
        <f>[1]Pokemon!C1991</f>
        <v>0</v>
      </c>
      <c r="C1991" s="11">
        <f>[1]Moves!B1991</f>
        <v>0</v>
      </c>
    </row>
    <row r="1992" spans="2:3" x14ac:dyDescent="0.25">
      <c r="B1992" s="11">
        <f>[1]Pokemon!C1992</f>
        <v>0</v>
      </c>
      <c r="C1992" s="11">
        <f>[1]Moves!B1992</f>
        <v>0</v>
      </c>
    </row>
    <row r="1993" spans="2:3" x14ac:dyDescent="0.25">
      <c r="B1993" s="11">
        <f>[1]Pokemon!C1993</f>
        <v>0</v>
      </c>
      <c r="C1993" s="11">
        <f>[1]Moves!B1993</f>
        <v>0</v>
      </c>
    </row>
    <row r="1994" spans="2:3" x14ac:dyDescent="0.25">
      <c r="B1994" s="11">
        <f>[1]Pokemon!C1994</f>
        <v>0</v>
      </c>
      <c r="C1994" s="11">
        <f>[1]Moves!B1994</f>
        <v>0</v>
      </c>
    </row>
    <row r="1995" spans="2:3" x14ac:dyDescent="0.25">
      <c r="B1995" s="11">
        <f>[1]Pokemon!C1995</f>
        <v>0</v>
      </c>
      <c r="C1995" s="11">
        <f>[1]Moves!B1995</f>
        <v>0</v>
      </c>
    </row>
    <row r="1996" spans="2:3" x14ac:dyDescent="0.25">
      <c r="B1996" s="11">
        <f>[1]Pokemon!C1996</f>
        <v>0</v>
      </c>
      <c r="C1996" s="11">
        <f>[1]Moves!B1996</f>
        <v>0</v>
      </c>
    </row>
    <row r="1997" spans="2:3" x14ac:dyDescent="0.25">
      <c r="B1997" s="11">
        <f>[1]Pokemon!C1997</f>
        <v>0</v>
      </c>
      <c r="C1997" s="11">
        <f>[1]Moves!B1997</f>
        <v>0</v>
      </c>
    </row>
    <row r="1998" spans="2:3" x14ac:dyDescent="0.25">
      <c r="B1998" s="11">
        <f>[1]Pokemon!C1998</f>
        <v>0</v>
      </c>
      <c r="C1998" s="11">
        <f>[1]Moves!B1998</f>
        <v>0</v>
      </c>
    </row>
    <row r="1999" spans="2:3" x14ac:dyDescent="0.25">
      <c r="B1999" s="11">
        <f>[1]Pokemon!C1999</f>
        <v>0</v>
      </c>
      <c r="C1999" s="11">
        <f>[1]Moves!B1999</f>
        <v>0</v>
      </c>
    </row>
    <row r="2000" spans="2:3" x14ac:dyDescent="0.25">
      <c r="B2000" s="11">
        <f>[1]Pokemon!C2000</f>
        <v>0</v>
      </c>
      <c r="C2000" s="11">
        <f>[1]Moves!B2000</f>
        <v>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18</vt:i4>
      </vt:variant>
    </vt:vector>
  </HeadingPairs>
  <TitlesOfParts>
    <vt:vector size="21" baseType="lpstr">
      <vt:lpstr>Pokédex</vt:lpstr>
      <vt:lpstr>TypeChart</vt:lpstr>
      <vt:lpstr>Lists</vt:lpstr>
      <vt:lpstr>ABILITY_1</vt:lpstr>
      <vt:lpstr>ABILITY_2</vt:lpstr>
      <vt:lpstr>HEIGHT</vt:lpstr>
      <vt:lpstr>HIDDEN_ABILITY</vt:lpstr>
      <vt:lpstr>MOVE</vt:lpstr>
      <vt:lpstr>MOVE_TYPE</vt:lpstr>
      <vt:lpstr>MOVES</vt:lpstr>
      <vt:lpstr>PKMN</vt:lpstr>
      <vt:lpstr>PKMN_DEX</vt:lpstr>
      <vt:lpstr>PKMN_TYPE_1</vt:lpstr>
      <vt:lpstr>PKMN_TYPE_2</vt:lpstr>
      <vt:lpstr>SPRITE_TYPE</vt:lpstr>
      <vt:lpstr>TYPE_1_DEX</vt:lpstr>
      <vt:lpstr>TYPE_1_DEX_IMG</vt:lpstr>
      <vt:lpstr>TYPE_2_DEX</vt:lpstr>
      <vt:lpstr>TYPE_2_DEX_IMG</vt:lpstr>
      <vt:lpstr>UNITS</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Jiří Klatovský</dc:creator>
  <cp:lastModifiedBy>Jiří Klatovský</cp:lastModifiedBy>
  <dcterms:created xsi:type="dcterms:W3CDTF">2026-01-03T16:41:38Z</dcterms:created>
  <dcterms:modified xsi:type="dcterms:W3CDTF">2026-01-04T17:26:34Z</dcterms:modified>
</cp:coreProperties>
</file>