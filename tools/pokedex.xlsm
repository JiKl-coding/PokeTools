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A:\projects\2026\PokeTools\tools\"/>
    </mc:Choice>
  </mc:AlternateContent>
  <xr:revisionPtr revIDLastSave="0" documentId="13_ncr:1_{4BF7A344-E73F-4D96-91F6-44BEC563F450}" xr6:coauthVersionLast="47" xr6:coauthVersionMax="47" xr10:uidLastSave="{00000000-0000-0000-0000-000000000000}"/>
  <bookViews>
    <workbookView xWindow="-28920" yWindow="-120" windowWidth="29040" windowHeight="15720" activeTab="1" xr2:uid="{DA0CFAF5-8E26-4384-B499-22C996A060F5}"/>
  </bookViews>
  <sheets>
    <sheet name="Pokédex" sheetId="1" r:id="rId1"/>
    <sheet name="TypeChart" sheetId="3" r:id="rId2"/>
    <sheet name="LISTS" sheetId="4" r:id="rId3"/>
  </sheets>
  <externalReferences>
    <externalReference r:id="rId4"/>
  </externalReferences>
  <definedNames>
    <definedName name="_xleta.IMAGE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ATTACK_TYPE">TypeChart!$AD$12</definedName>
    <definedName name="PKMN_TYPE_1">TypeChart!$AD$8</definedName>
    <definedName name="PKMN_TYPE_2">TypeChart!$AD$10</definedName>
    <definedName name="PKMN_TYPE1">TypeChart!$AD$8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6" i="3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" i="4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C26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C25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C24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C23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C22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C21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C20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C19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C18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C17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C16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C15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C14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C13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C11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C10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C9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C8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</futureMetadata>
  <valueMetadata count="3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</valueMetadata>
</metadata>
</file>

<file path=xl/sharedStrings.xml><?xml version="1.0" encoding="utf-8"?>
<sst xmlns="http://schemas.openxmlformats.org/spreadsheetml/2006/main" count="11" uniqueCount="10">
  <si>
    <t>Defender</t>
  </si>
  <si>
    <t>Attacker</t>
  </si>
  <si>
    <t>TypeChart &amp; Simple Calculator</t>
  </si>
  <si>
    <r>
      <t xml:space="preserve">* Stellar-Stellar </t>
    </r>
    <r>
      <rPr>
        <i/>
        <sz val="12"/>
        <color rgb="FFC89400"/>
        <rFont val="Aptos Narrow"/>
        <family val="2"/>
        <scheme val="minor"/>
      </rPr>
      <t>interaction means that Stellar type of attack deals</t>
    </r>
    <r>
      <rPr>
        <b/>
        <i/>
        <sz val="12"/>
        <color rgb="FFC89400"/>
        <rFont val="Aptos Narrow"/>
        <family val="2"/>
        <scheme val="minor"/>
      </rPr>
      <t xml:space="preserve"> </t>
    </r>
    <r>
      <rPr>
        <i/>
        <sz val="12"/>
        <color rgb="FFC89400"/>
        <rFont val="Aptos Narrow"/>
        <family val="2"/>
        <scheme val="minor"/>
      </rPr>
      <t>double dmg to</t>
    </r>
    <r>
      <rPr>
        <b/>
        <i/>
        <sz val="12"/>
        <color rgb="FFC89400"/>
        <rFont val="Aptos Narrow"/>
        <family val="2"/>
        <scheme val="minor"/>
      </rPr>
      <t xml:space="preserve"> Terastallized </t>
    </r>
    <r>
      <rPr>
        <i/>
        <sz val="12"/>
        <color rgb="FFC89400"/>
        <rFont val="Aptos Narrow"/>
        <family val="2"/>
        <scheme val="minor"/>
      </rPr>
      <t>pokémon</t>
    </r>
    <r>
      <rPr>
        <b/>
        <i/>
        <sz val="12"/>
        <color rgb="FFC89400"/>
        <rFont val="Aptos Narrow"/>
        <family val="2"/>
        <scheme val="minor"/>
      </rPr>
      <t>!</t>
    </r>
  </si>
  <si>
    <t>ATTACK TYPE</t>
  </si>
  <si>
    <t>LISTS:</t>
  </si>
  <si>
    <t>POKÉMON TYPE I</t>
  </si>
  <si>
    <t>POKÉMON TYPE II</t>
  </si>
  <si>
    <t>Ground</t>
  </si>
  <si>
    <t>Psychic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</si>
</sst>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i/>
      <sz val="12"/>
      <color rgb="FFC89400"/>
      <name val="Aptos Narrow"/>
      <family val="2"/>
      <scheme val="minor"/>
    </font>
    <font>
      <i/>
      <sz val="12"/>
      <color rgb="FFC89400"/>
      <name val="Aptos Narrow"/>
      <family val="2"/>
      <scheme val="minor"/>
    </font>
    <font>
      <b/>
      <i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top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1" fillId="4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2" fillId="3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left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3" fillId="4" borderId="0" xfId="0" applyFont="1" applyFill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horizontal="left" vertical="top"/>
      <protection hidden="1"/>
    </xf>
    <xf numFmtId="0" fontId="2" fillId="3" borderId="0" xfId="0" applyFont="1" applyFill="1" applyAlignment="1" applyProtection="1">
      <alignment horizontal="right" vertical="top"/>
      <protection hidden="1"/>
    </xf>
    <xf numFmtId="0" fontId="2" fillId="3" borderId="3" xfId="0" applyFont="1" applyFill="1" applyBorder="1" applyAlignment="1" applyProtection="1">
      <alignment horizontal="left"/>
      <protection hidden="1"/>
    </xf>
    <xf numFmtId="0" fontId="1" fillId="2" borderId="4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1" fillId="2" borderId="6" xfId="0" applyFont="1" applyFill="1" applyBorder="1" applyAlignment="1" applyProtection="1">
      <alignment horizontal="center" vertical="center"/>
      <protection hidden="1"/>
    </xf>
    <xf numFmtId="0" fontId="1" fillId="2" borderId="7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horizontal="center" vertical="center" wrapText="1"/>
      <protection hidden="1"/>
    </xf>
    <xf numFmtId="0" fontId="1" fillId="2" borderId="5" xfId="0" applyFont="1" applyFill="1" applyBorder="1" applyAlignment="1" applyProtection="1">
      <alignment horizontal="center" vertical="center"/>
      <protection locked="0" hidden="1"/>
    </xf>
    <xf numFmtId="0" fontId="1" fillId="2" borderId="4" xfId="0" applyFont="1" applyFill="1" applyBorder="1" applyAlignment="1" applyProtection="1">
      <alignment horizontal="center" vertical="center"/>
      <protection locked="0" hidden="1"/>
    </xf>
  </cellXfs>
  <cellStyles count="1">
    <cellStyle name="Normální" xfId="0" builtinId="0"/>
  </cellStyles>
  <dxfs count="10">
    <dxf>
      <font>
        <color theme="1"/>
      </font>
      <fill>
        <patternFill>
          <fgColor auto="1"/>
          <bgColor rgb="FFCC0000"/>
        </patternFill>
      </fill>
    </dxf>
    <dxf>
      <font>
        <color theme="1"/>
      </font>
      <fill>
        <patternFill>
          <fgColor auto="1"/>
          <bgColor rgb="FFCC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theme="1"/>
      </font>
      <numFmt numFmtId="17" formatCode="#&quot; &quot;?/?"/>
      <fill>
        <patternFill>
          <bgColor rgb="FFCC0000"/>
        </patternFill>
      </fill>
    </dxf>
    <dxf>
      <font>
        <b/>
        <i val="0"/>
        <color theme="0"/>
      </font>
      <numFmt numFmtId="1" formatCode="0"/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B050"/>
      <color rgb="FFCC0000"/>
      <color rgb="FF0070C0"/>
      <color rgb="FFC89400"/>
      <color rgb="FF616161"/>
      <color rgb="FFFFC107"/>
      <color rgb="FF9E9E9E"/>
      <color rgb="FFD9D9D9"/>
      <color rgb="FFFFFFFF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0/07/relationships/rdRichValueWebImage" Target="richData/rdRichValueWebImag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378802</xdr:colOff>
      <xdr:row>2</xdr:row>
      <xdr:rowOff>0</xdr:rowOff>
    </xdr:from>
    <xdr:to>
      <xdr:col>24</xdr:col>
      <xdr:colOff>95249</xdr:colOff>
      <xdr:row>28</xdr:row>
      <xdr:rowOff>24321</xdr:rowOff>
    </xdr:to>
    <xdr:grpSp>
      <xdr:nvGrpSpPr>
        <xdr:cNvPr id="2" name="Skupina 1">
          <a:extLst>
            <a:ext uri="{FF2B5EF4-FFF2-40B4-BE49-F238E27FC236}">
              <a16:creationId xmlns:a16="http://schemas.microsoft.com/office/drawing/2014/main" id="{88529862-55FF-4843-9850-80D4CCBBFFDF}"/>
            </a:ext>
          </a:extLst>
        </xdr:cNvPr>
        <xdr:cNvGrpSpPr/>
      </xdr:nvGrpSpPr>
      <xdr:grpSpPr>
        <a:xfrm>
          <a:off x="378802" y="647700"/>
          <a:ext cx="7584097" cy="5853621"/>
          <a:chOff x="378802" y="638175"/>
          <a:chExt cx="12832372" cy="5863146"/>
        </a:xfrm>
      </xdr:grpSpPr>
      <xdr:sp macro="" textlink="">
        <xdr:nvSpPr>
          <xdr:cNvPr id="3" name="Obdélník: se zakulacenými horními rohy 2">
            <a:extLst>
              <a:ext uri="{FF2B5EF4-FFF2-40B4-BE49-F238E27FC236}">
                <a16:creationId xmlns:a16="http://schemas.microsoft.com/office/drawing/2014/main" id="{063DE9DF-4E56-0E00-121B-950860A337E6}"/>
              </a:ext>
            </a:extLst>
          </xdr:cNvPr>
          <xdr:cNvSpPr/>
        </xdr:nvSpPr>
        <xdr:spPr>
          <a:xfrm>
            <a:off x="380986" y="638175"/>
            <a:ext cx="12830188" cy="1624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4" name="Obdélník: se zakulacenými horními rohy 3">
            <a:extLst>
              <a:ext uri="{FF2B5EF4-FFF2-40B4-BE49-F238E27FC236}">
                <a16:creationId xmlns:a16="http://schemas.microsoft.com/office/drawing/2014/main" id="{95B537A4-F3D3-4A5D-9CF3-4FBAEA3F98B6}"/>
              </a:ext>
            </a:extLst>
          </xdr:cNvPr>
          <xdr:cNvSpPr/>
        </xdr:nvSpPr>
        <xdr:spPr>
          <a:xfrm rot="10800000">
            <a:off x="378802" y="6339623"/>
            <a:ext cx="12830188" cy="16169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</xdr:grpSp>
    <xdr:clientData/>
  </xdr:twoCellAnchor>
  <xdr:twoCellAnchor>
    <xdr:from>
      <xdr:col>26</xdr:col>
      <xdr:colOff>533400</xdr:colOff>
      <xdr:row>5</xdr:row>
      <xdr:rowOff>180975</xdr:rowOff>
    </xdr:from>
    <xdr:to>
      <xdr:col>31</xdr:col>
      <xdr:colOff>66675</xdr:colOff>
      <xdr:row>13</xdr:row>
      <xdr:rowOff>123825</xdr:rowOff>
    </xdr:to>
    <xdr:grpSp>
      <xdr:nvGrpSpPr>
        <xdr:cNvPr id="9" name="Skupina 8">
          <a:extLst>
            <a:ext uri="{FF2B5EF4-FFF2-40B4-BE49-F238E27FC236}">
              <a16:creationId xmlns:a16="http://schemas.microsoft.com/office/drawing/2014/main" id="{7C03B048-D4D1-7CAB-DE23-D9680A73831C}"/>
            </a:ext>
          </a:extLst>
        </xdr:cNvPr>
        <xdr:cNvGrpSpPr/>
      </xdr:nvGrpSpPr>
      <xdr:grpSpPr>
        <a:xfrm>
          <a:off x="8877300" y="1276350"/>
          <a:ext cx="2771775" cy="1790700"/>
          <a:chOff x="8912468" y="1340642"/>
          <a:chExt cx="2732853" cy="892970"/>
        </a:xfrm>
        <a:solidFill>
          <a:srgbClr val="0070C0"/>
        </a:solidFill>
      </xdr:grpSpPr>
      <xdr:sp macro="" textlink="">
        <xdr:nvSpPr>
          <xdr:cNvPr id="5" name="Obdélník: se zakulacenými horními rohy 4">
            <a:extLst>
              <a:ext uri="{FF2B5EF4-FFF2-40B4-BE49-F238E27FC236}">
                <a16:creationId xmlns:a16="http://schemas.microsoft.com/office/drawing/2014/main" id="{EDF677A8-37DB-45C4-9E34-2C10C834954C}"/>
              </a:ext>
            </a:extLst>
          </xdr:cNvPr>
          <xdr:cNvSpPr/>
        </xdr:nvSpPr>
        <xdr:spPr>
          <a:xfrm rot="16200000">
            <a:off x="8503168" y="1749942"/>
            <a:ext cx="892970" cy="74369"/>
          </a:xfrm>
          <a:prstGeom prst="round2Same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6" name="Obdélník: se zakulacenými horními rohy 5">
            <a:extLst>
              <a:ext uri="{FF2B5EF4-FFF2-40B4-BE49-F238E27FC236}">
                <a16:creationId xmlns:a16="http://schemas.microsoft.com/office/drawing/2014/main" id="{D2C2C206-D32B-4D89-9FF5-6E8CCDEBF41B}"/>
              </a:ext>
            </a:extLst>
          </xdr:cNvPr>
          <xdr:cNvSpPr/>
        </xdr:nvSpPr>
        <xdr:spPr>
          <a:xfrm rot="5400000">
            <a:off x="11167631" y="1754808"/>
            <a:ext cx="891851" cy="63529"/>
          </a:xfrm>
          <a:prstGeom prst="round2Same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7" name="Obdélník 6">
            <a:extLst>
              <a:ext uri="{FF2B5EF4-FFF2-40B4-BE49-F238E27FC236}">
                <a16:creationId xmlns:a16="http://schemas.microsoft.com/office/drawing/2014/main" id="{CD075D2D-77ED-43ED-A4D9-83CE38059703}"/>
              </a:ext>
            </a:extLst>
          </xdr:cNvPr>
          <xdr:cNvSpPr/>
        </xdr:nvSpPr>
        <xdr:spPr>
          <a:xfrm>
            <a:off x="8967788" y="1340644"/>
            <a:ext cx="2628900" cy="5953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  <xdr:sp macro="" textlink="">
        <xdr:nvSpPr>
          <xdr:cNvPr id="8" name="Obdélník 7">
            <a:extLst>
              <a:ext uri="{FF2B5EF4-FFF2-40B4-BE49-F238E27FC236}">
                <a16:creationId xmlns:a16="http://schemas.microsoft.com/office/drawing/2014/main" id="{461F8432-A20A-4FFB-B992-3978660D89F3}"/>
              </a:ext>
            </a:extLst>
          </xdr:cNvPr>
          <xdr:cNvSpPr/>
        </xdr:nvSpPr>
        <xdr:spPr>
          <a:xfrm>
            <a:off x="8972550" y="2178844"/>
            <a:ext cx="2628900" cy="5476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cs-CZ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jikl-coding\projects\2026\PokeTools\data\export\pokedata.xlsx" TargetMode="External"/><Relationship Id="rId1" Type="http://schemas.openxmlformats.org/officeDocument/2006/relationships/externalLinkPath" Target="file:///J:\jikl-coding\projects\2026\PokeTools\data\export\poke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kemon"/>
      <sheetName val="Learnsets"/>
      <sheetName val="Moves"/>
      <sheetName val="Items"/>
      <sheetName val="Abilities"/>
      <sheetName val="Natures"/>
      <sheetName val="Evolutions"/>
      <sheetName val="TypeChart"/>
      <sheetName val="Types"/>
      <sheetName val="Meta"/>
      <sheetName val="Asse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ATTACKING_TYPE</v>
          </cell>
          <cell r="B1" t="str">
            <v>Normal</v>
          </cell>
          <cell r="C1" t="str">
            <v>Fire</v>
          </cell>
          <cell r="D1" t="str">
            <v>Water</v>
          </cell>
          <cell r="E1" t="str">
            <v>Grass</v>
          </cell>
          <cell r="F1" t="str">
            <v>Electric</v>
          </cell>
          <cell r="G1" t="str">
            <v>Ice</v>
          </cell>
          <cell r="H1" t="str">
            <v>Fighting</v>
          </cell>
          <cell r="I1" t="str">
            <v>Poison</v>
          </cell>
          <cell r="J1" t="str">
            <v>Ground</v>
          </cell>
          <cell r="K1" t="str">
            <v>Flying</v>
          </cell>
          <cell r="L1" t="str">
            <v>Psychic</v>
          </cell>
          <cell r="M1" t="str">
            <v>Bug</v>
          </cell>
          <cell r="N1" t="str">
            <v>Rock</v>
          </cell>
          <cell r="O1" t="str">
            <v>Ghost</v>
          </cell>
          <cell r="P1" t="str">
            <v>Dragon</v>
          </cell>
          <cell r="Q1" t="str">
            <v>Dark</v>
          </cell>
          <cell r="R1" t="str">
            <v>Steel</v>
          </cell>
          <cell r="S1" t="str">
            <v>Fairy</v>
          </cell>
          <cell r="T1" t="str">
            <v>Stellar</v>
          </cell>
        </row>
        <row r="2">
          <cell r="A2" t="str">
            <v>Normal</v>
          </cell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  <cell r="M2">
            <v>1</v>
          </cell>
          <cell r="N2">
            <v>0.5</v>
          </cell>
          <cell r="O2">
            <v>0</v>
          </cell>
          <cell r="P2">
            <v>1</v>
          </cell>
          <cell r="Q2">
            <v>1</v>
          </cell>
          <cell r="R2">
            <v>0.5</v>
          </cell>
          <cell r="S2">
            <v>1</v>
          </cell>
          <cell r="T2">
            <v>1</v>
          </cell>
        </row>
        <row r="3">
          <cell r="A3" t="str">
            <v>Fire</v>
          </cell>
          <cell r="B3">
            <v>1</v>
          </cell>
          <cell r="C3">
            <v>0.5</v>
          </cell>
          <cell r="D3">
            <v>0.5</v>
          </cell>
          <cell r="E3">
            <v>2</v>
          </cell>
          <cell r="F3">
            <v>1</v>
          </cell>
          <cell r="G3">
            <v>2</v>
          </cell>
          <cell r="H3">
            <v>1</v>
          </cell>
          <cell r="I3">
            <v>1</v>
          </cell>
          <cell r="J3">
            <v>1</v>
          </cell>
          <cell r="K3">
            <v>1</v>
          </cell>
          <cell r="L3">
            <v>1</v>
          </cell>
          <cell r="M3">
            <v>2</v>
          </cell>
          <cell r="N3">
            <v>0.5</v>
          </cell>
          <cell r="O3">
            <v>1</v>
          </cell>
          <cell r="P3">
            <v>0.5</v>
          </cell>
          <cell r="Q3">
            <v>1</v>
          </cell>
          <cell r="R3">
            <v>2</v>
          </cell>
          <cell r="S3">
            <v>1</v>
          </cell>
          <cell r="T3">
            <v>1</v>
          </cell>
        </row>
        <row r="4">
          <cell r="A4" t="str">
            <v>Water</v>
          </cell>
          <cell r="B4">
            <v>1</v>
          </cell>
          <cell r="C4">
            <v>2</v>
          </cell>
          <cell r="D4">
            <v>0.5</v>
          </cell>
          <cell r="E4">
            <v>0.5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J4">
            <v>2</v>
          </cell>
          <cell r="K4">
            <v>1</v>
          </cell>
          <cell r="L4">
            <v>1</v>
          </cell>
          <cell r="M4">
            <v>1</v>
          </cell>
          <cell r="N4">
            <v>2</v>
          </cell>
          <cell r="O4">
            <v>1</v>
          </cell>
          <cell r="P4">
            <v>0.5</v>
          </cell>
          <cell r="Q4">
            <v>1</v>
          </cell>
          <cell r="R4">
            <v>1</v>
          </cell>
          <cell r="S4">
            <v>1</v>
          </cell>
          <cell r="T4">
            <v>1</v>
          </cell>
        </row>
        <row r="5">
          <cell r="A5" t="str">
            <v>Grass</v>
          </cell>
          <cell r="B5">
            <v>1</v>
          </cell>
          <cell r="C5">
            <v>0.5</v>
          </cell>
          <cell r="D5">
            <v>2</v>
          </cell>
          <cell r="E5">
            <v>0.5</v>
          </cell>
          <cell r="F5">
            <v>1</v>
          </cell>
          <cell r="G5">
            <v>1</v>
          </cell>
          <cell r="H5">
            <v>1</v>
          </cell>
          <cell r="I5">
            <v>0.5</v>
          </cell>
          <cell r="J5">
            <v>2</v>
          </cell>
          <cell r="K5">
            <v>0.5</v>
          </cell>
          <cell r="L5">
            <v>1</v>
          </cell>
          <cell r="M5">
            <v>0.5</v>
          </cell>
          <cell r="N5">
            <v>2</v>
          </cell>
          <cell r="O5">
            <v>1</v>
          </cell>
          <cell r="P5">
            <v>0.5</v>
          </cell>
          <cell r="Q5">
            <v>1</v>
          </cell>
          <cell r="R5">
            <v>0.5</v>
          </cell>
          <cell r="S5">
            <v>1</v>
          </cell>
          <cell r="T5">
            <v>1</v>
          </cell>
        </row>
        <row r="6">
          <cell r="A6" t="str">
            <v>Electric</v>
          </cell>
          <cell r="B6">
            <v>1</v>
          </cell>
          <cell r="C6">
            <v>1</v>
          </cell>
          <cell r="D6">
            <v>2</v>
          </cell>
          <cell r="E6">
            <v>0.5</v>
          </cell>
          <cell r="F6">
            <v>0.5</v>
          </cell>
          <cell r="G6">
            <v>1</v>
          </cell>
          <cell r="H6">
            <v>1</v>
          </cell>
          <cell r="I6">
            <v>1</v>
          </cell>
          <cell r="J6">
            <v>0</v>
          </cell>
          <cell r="K6">
            <v>2</v>
          </cell>
          <cell r="L6">
            <v>1</v>
          </cell>
          <cell r="M6">
            <v>1</v>
          </cell>
          <cell r="N6">
            <v>1</v>
          </cell>
          <cell r="O6">
            <v>1</v>
          </cell>
          <cell r="P6">
            <v>0.5</v>
          </cell>
          <cell r="Q6">
            <v>1</v>
          </cell>
          <cell r="R6">
            <v>1</v>
          </cell>
          <cell r="S6">
            <v>1</v>
          </cell>
          <cell r="T6">
            <v>1</v>
          </cell>
        </row>
        <row r="7">
          <cell r="A7" t="str">
            <v>Ice</v>
          </cell>
          <cell r="B7">
            <v>1</v>
          </cell>
          <cell r="C7">
            <v>0.5</v>
          </cell>
          <cell r="D7">
            <v>0.5</v>
          </cell>
          <cell r="E7">
            <v>2</v>
          </cell>
          <cell r="F7">
            <v>1</v>
          </cell>
          <cell r="G7">
            <v>0.5</v>
          </cell>
          <cell r="H7">
            <v>1</v>
          </cell>
          <cell r="I7">
            <v>1</v>
          </cell>
          <cell r="J7">
            <v>2</v>
          </cell>
          <cell r="K7">
            <v>2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2</v>
          </cell>
          <cell r="Q7">
            <v>1</v>
          </cell>
          <cell r="R7">
            <v>0.5</v>
          </cell>
          <cell r="S7">
            <v>1</v>
          </cell>
          <cell r="T7">
            <v>1</v>
          </cell>
        </row>
        <row r="8">
          <cell r="A8" t="str">
            <v>Fighting</v>
          </cell>
          <cell r="B8">
            <v>2</v>
          </cell>
          <cell r="C8">
            <v>1</v>
          </cell>
          <cell r="D8">
            <v>1</v>
          </cell>
          <cell r="E8">
            <v>1</v>
          </cell>
          <cell r="F8">
            <v>1</v>
          </cell>
          <cell r="G8">
            <v>2</v>
          </cell>
          <cell r="H8">
            <v>1</v>
          </cell>
          <cell r="I8">
            <v>0.5</v>
          </cell>
          <cell r="J8">
            <v>1</v>
          </cell>
          <cell r="K8">
            <v>0.5</v>
          </cell>
          <cell r="L8">
            <v>0.5</v>
          </cell>
          <cell r="M8">
            <v>0.5</v>
          </cell>
          <cell r="N8">
            <v>2</v>
          </cell>
          <cell r="O8">
            <v>0</v>
          </cell>
          <cell r="P8">
            <v>1</v>
          </cell>
          <cell r="Q8">
            <v>2</v>
          </cell>
          <cell r="R8">
            <v>2</v>
          </cell>
          <cell r="S8">
            <v>0.5</v>
          </cell>
          <cell r="T8">
            <v>1</v>
          </cell>
        </row>
        <row r="9">
          <cell r="A9" t="str">
            <v>Poison</v>
          </cell>
          <cell r="B9">
            <v>1</v>
          </cell>
          <cell r="C9">
            <v>1</v>
          </cell>
          <cell r="D9">
            <v>1</v>
          </cell>
          <cell r="E9">
            <v>2</v>
          </cell>
          <cell r="F9">
            <v>1</v>
          </cell>
          <cell r="G9">
            <v>1</v>
          </cell>
          <cell r="H9">
            <v>1</v>
          </cell>
          <cell r="I9">
            <v>0.5</v>
          </cell>
          <cell r="J9">
            <v>0.5</v>
          </cell>
          <cell r="K9">
            <v>1</v>
          </cell>
          <cell r="L9">
            <v>1</v>
          </cell>
          <cell r="M9">
            <v>1</v>
          </cell>
          <cell r="N9">
            <v>0.5</v>
          </cell>
          <cell r="O9">
            <v>0.5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1</v>
          </cell>
        </row>
        <row r="10">
          <cell r="A10" t="str">
            <v>Ground</v>
          </cell>
          <cell r="B10">
            <v>1</v>
          </cell>
          <cell r="C10">
            <v>2</v>
          </cell>
          <cell r="D10">
            <v>1</v>
          </cell>
          <cell r="E10">
            <v>0.5</v>
          </cell>
          <cell r="F10">
            <v>2</v>
          </cell>
          <cell r="G10">
            <v>1</v>
          </cell>
          <cell r="H10">
            <v>1</v>
          </cell>
          <cell r="I10">
            <v>2</v>
          </cell>
          <cell r="J10">
            <v>1</v>
          </cell>
          <cell r="K10">
            <v>0</v>
          </cell>
          <cell r="L10">
            <v>1</v>
          </cell>
          <cell r="M10">
            <v>0.5</v>
          </cell>
          <cell r="N10">
            <v>2</v>
          </cell>
          <cell r="O10">
            <v>1</v>
          </cell>
          <cell r="P10">
            <v>1</v>
          </cell>
          <cell r="Q10">
            <v>1</v>
          </cell>
          <cell r="R10">
            <v>2</v>
          </cell>
          <cell r="S10">
            <v>1</v>
          </cell>
          <cell r="T10">
            <v>1</v>
          </cell>
        </row>
        <row r="11">
          <cell r="A11" t="str">
            <v>Flying</v>
          </cell>
          <cell r="B11">
            <v>1</v>
          </cell>
          <cell r="C11">
            <v>1</v>
          </cell>
          <cell r="D11">
            <v>1</v>
          </cell>
          <cell r="E11">
            <v>2</v>
          </cell>
          <cell r="F11">
            <v>0.5</v>
          </cell>
          <cell r="G11">
            <v>1</v>
          </cell>
          <cell r="H11">
            <v>2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2</v>
          </cell>
          <cell r="N11">
            <v>0.5</v>
          </cell>
          <cell r="O11">
            <v>1</v>
          </cell>
          <cell r="P11">
            <v>1</v>
          </cell>
          <cell r="Q11">
            <v>1</v>
          </cell>
          <cell r="R11">
            <v>0.5</v>
          </cell>
          <cell r="S11">
            <v>1</v>
          </cell>
          <cell r="T11">
            <v>1</v>
          </cell>
        </row>
        <row r="12">
          <cell r="A12" t="str">
            <v>Psychic</v>
          </cell>
          <cell r="B12">
            <v>1</v>
          </cell>
          <cell r="C12">
            <v>1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2</v>
          </cell>
          <cell r="I12">
            <v>2</v>
          </cell>
          <cell r="J12">
            <v>1</v>
          </cell>
          <cell r="K12">
            <v>1</v>
          </cell>
          <cell r="L12">
            <v>0.5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0</v>
          </cell>
          <cell r="R12">
            <v>0.5</v>
          </cell>
          <cell r="S12">
            <v>1</v>
          </cell>
          <cell r="T12">
            <v>1</v>
          </cell>
        </row>
        <row r="13">
          <cell r="A13" t="str">
            <v>Bug</v>
          </cell>
          <cell r="B13">
            <v>1</v>
          </cell>
          <cell r="C13">
            <v>0.5</v>
          </cell>
          <cell r="D13">
            <v>1</v>
          </cell>
          <cell r="E13">
            <v>2</v>
          </cell>
          <cell r="F13">
            <v>1</v>
          </cell>
          <cell r="G13">
            <v>1</v>
          </cell>
          <cell r="H13">
            <v>0.5</v>
          </cell>
          <cell r="I13">
            <v>0.5</v>
          </cell>
          <cell r="J13">
            <v>1</v>
          </cell>
          <cell r="K13">
            <v>0.5</v>
          </cell>
          <cell r="L13">
            <v>2</v>
          </cell>
          <cell r="M13">
            <v>1</v>
          </cell>
          <cell r="N13">
            <v>1</v>
          </cell>
          <cell r="O13">
            <v>0.5</v>
          </cell>
          <cell r="P13">
            <v>1</v>
          </cell>
          <cell r="Q13">
            <v>2</v>
          </cell>
          <cell r="R13">
            <v>0.5</v>
          </cell>
          <cell r="S13">
            <v>0.5</v>
          </cell>
          <cell r="T13">
            <v>1</v>
          </cell>
        </row>
        <row r="14">
          <cell r="A14" t="str">
            <v>Rock</v>
          </cell>
          <cell r="B14">
            <v>1</v>
          </cell>
          <cell r="C14">
            <v>2</v>
          </cell>
          <cell r="D14">
            <v>1</v>
          </cell>
          <cell r="E14">
            <v>1</v>
          </cell>
          <cell r="F14">
            <v>1</v>
          </cell>
          <cell r="G14">
            <v>2</v>
          </cell>
          <cell r="H14">
            <v>0.5</v>
          </cell>
          <cell r="I14">
            <v>1</v>
          </cell>
          <cell r="J14">
            <v>0.5</v>
          </cell>
          <cell r="K14">
            <v>2</v>
          </cell>
          <cell r="L14">
            <v>1</v>
          </cell>
          <cell r="M14">
            <v>2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0.5</v>
          </cell>
          <cell r="S14">
            <v>1</v>
          </cell>
          <cell r="T14">
            <v>1</v>
          </cell>
        </row>
        <row r="15">
          <cell r="A15" t="str">
            <v>Ghost</v>
          </cell>
          <cell r="B15">
            <v>0</v>
          </cell>
          <cell r="C15">
            <v>1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2</v>
          </cell>
          <cell r="M15">
            <v>1</v>
          </cell>
          <cell r="N15">
            <v>1</v>
          </cell>
          <cell r="O15">
            <v>2</v>
          </cell>
          <cell r="P15">
            <v>1</v>
          </cell>
          <cell r="Q15">
            <v>0.5</v>
          </cell>
          <cell r="R15">
            <v>1</v>
          </cell>
          <cell r="S15">
            <v>1</v>
          </cell>
          <cell r="T15">
            <v>1</v>
          </cell>
        </row>
        <row r="16">
          <cell r="A16" t="str">
            <v>Dragon</v>
          </cell>
          <cell r="B16">
            <v>1</v>
          </cell>
          <cell r="C16">
            <v>1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2</v>
          </cell>
          <cell r="Q16">
            <v>1</v>
          </cell>
          <cell r="R16">
            <v>0.5</v>
          </cell>
          <cell r="S16">
            <v>0</v>
          </cell>
          <cell r="T16">
            <v>1</v>
          </cell>
        </row>
        <row r="17">
          <cell r="A17" t="str">
            <v>Dark</v>
          </cell>
          <cell r="B17">
            <v>1</v>
          </cell>
          <cell r="C17">
            <v>1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0.5</v>
          </cell>
          <cell r="I17">
            <v>1</v>
          </cell>
          <cell r="J17">
            <v>1</v>
          </cell>
          <cell r="K17">
            <v>1</v>
          </cell>
          <cell r="L17">
            <v>2</v>
          </cell>
          <cell r="M17">
            <v>1</v>
          </cell>
          <cell r="N17">
            <v>1</v>
          </cell>
          <cell r="O17">
            <v>2</v>
          </cell>
          <cell r="P17">
            <v>1</v>
          </cell>
          <cell r="Q17">
            <v>0.5</v>
          </cell>
          <cell r="R17">
            <v>1</v>
          </cell>
          <cell r="S17">
            <v>0.5</v>
          </cell>
          <cell r="T17">
            <v>1</v>
          </cell>
        </row>
        <row r="18">
          <cell r="A18" t="str">
            <v>Steel</v>
          </cell>
          <cell r="B18">
            <v>1</v>
          </cell>
          <cell r="C18">
            <v>0.5</v>
          </cell>
          <cell r="D18">
            <v>0.5</v>
          </cell>
          <cell r="E18">
            <v>1</v>
          </cell>
          <cell r="F18">
            <v>0.5</v>
          </cell>
          <cell r="G18">
            <v>2</v>
          </cell>
          <cell r="H18">
            <v>1</v>
          </cell>
          <cell r="I18">
            <v>1</v>
          </cell>
          <cell r="J18">
            <v>1</v>
          </cell>
          <cell r="K18">
            <v>1</v>
          </cell>
          <cell r="L18">
            <v>1</v>
          </cell>
          <cell r="M18">
            <v>1</v>
          </cell>
          <cell r="N18">
            <v>2</v>
          </cell>
          <cell r="O18">
            <v>1</v>
          </cell>
          <cell r="P18">
            <v>1</v>
          </cell>
          <cell r="Q18">
            <v>1</v>
          </cell>
          <cell r="R18">
            <v>0.5</v>
          </cell>
          <cell r="S18">
            <v>2</v>
          </cell>
          <cell r="T18">
            <v>1</v>
          </cell>
        </row>
        <row r="19">
          <cell r="A19" t="str">
            <v>Fairy</v>
          </cell>
          <cell r="B19">
            <v>1</v>
          </cell>
          <cell r="C19">
            <v>0.5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2</v>
          </cell>
          <cell r="I19">
            <v>0.5</v>
          </cell>
          <cell r="J19">
            <v>1</v>
          </cell>
          <cell r="K19">
            <v>1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2</v>
          </cell>
          <cell r="Q19">
            <v>2</v>
          </cell>
          <cell r="R19">
            <v>0.5</v>
          </cell>
          <cell r="S19">
            <v>1</v>
          </cell>
          <cell r="T19">
            <v>1</v>
          </cell>
        </row>
        <row r="20">
          <cell r="A20" t="str">
            <v>Stellar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  <cell r="S20">
            <v>1</v>
          </cell>
          <cell r="T20">
            <v>2</v>
          </cell>
        </row>
      </sheetData>
      <sheetData sheetId="8">
        <row r="1">
          <cell r="A1" t="str">
            <v>DISPLAY_NAME</v>
          </cell>
          <cell r="B1" t="str">
            <v>TYPE_KEY</v>
          </cell>
          <cell r="C1" t="str">
            <v>ICON_URL</v>
          </cell>
        </row>
        <row r="2">
          <cell r="A2" t="str">
            <v>Bug</v>
          </cell>
          <cell r="B2" t="str">
            <v>bug</v>
          </cell>
          <cell r="C2" t="str">
            <v>https://raw.githubusercontent.com/PokeAPI/sprites/master/sprites/types/generation-viii/sword-shield/7.png</v>
          </cell>
        </row>
        <row r="3">
          <cell r="A3" t="str">
            <v>Dark</v>
          </cell>
          <cell r="B3" t="str">
            <v>dark</v>
          </cell>
          <cell r="C3" t="str">
            <v>https://raw.githubusercontent.com/PokeAPI/sprites/master/sprites/types/generation-viii/sword-shield/17.png</v>
          </cell>
        </row>
        <row r="4">
          <cell r="A4" t="str">
            <v>Dragon</v>
          </cell>
          <cell r="B4" t="str">
            <v>dragon</v>
          </cell>
          <cell r="C4" t="str">
            <v>https://raw.githubusercontent.com/PokeAPI/sprites/master/sprites/types/generation-viii/sword-shield/16.png</v>
          </cell>
        </row>
        <row r="5">
          <cell r="A5" t="str">
            <v>Electric</v>
          </cell>
          <cell r="B5" t="str">
            <v>electric</v>
          </cell>
          <cell r="C5" t="str">
            <v>https://raw.githubusercontent.com/PokeAPI/sprites/master/sprites/types/generation-viii/sword-shield/13.png</v>
          </cell>
        </row>
        <row r="6">
          <cell r="A6" t="str">
            <v>Fairy</v>
          </cell>
          <cell r="B6" t="str">
            <v>fairy</v>
          </cell>
          <cell r="C6" t="str">
            <v>https://raw.githubusercontent.com/PokeAPI/sprites/master/sprites/types/generation-viii/sword-shield/18.png</v>
          </cell>
        </row>
        <row r="7">
          <cell r="A7" t="str">
            <v>Fighting</v>
          </cell>
          <cell r="B7" t="str">
            <v>fighting</v>
          </cell>
          <cell r="C7" t="str">
            <v>https://raw.githubusercontent.com/PokeAPI/sprites/master/sprites/types/generation-viii/sword-shield/2.png</v>
          </cell>
        </row>
        <row r="8">
          <cell r="A8" t="str">
            <v>Fire</v>
          </cell>
          <cell r="B8" t="str">
            <v>fire</v>
          </cell>
          <cell r="C8" t="str">
            <v>https://raw.githubusercontent.com/PokeAPI/sprites/master/sprites/types/generation-viii/sword-shield/10.png</v>
          </cell>
        </row>
        <row r="9">
          <cell r="A9" t="str">
            <v>Flying</v>
          </cell>
          <cell r="B9" t="str">
            <v>flying</v>
          </cell>
          <cell r="C9" t="str">
            <v>https://raw.githubusercontent.com/PokeAPI/sprites/master/sprites/types/generation-viii/sword-shield/3.png</v>
          </cell>
        </row>
        <row r="10">
          <cell r="A10" t="str">
            <v>Ghost</v>
          </cell>
          <cell r="B10" t="str">
            <v>ghost</v>
          </cell>
          <cell r="C10" t="str">
            <v>https://raw.githubusercontent.com/PokeAPI/sprites/master/sprites/types/generation-viii/sword-shield/8.png</v>
          </cell>
        </row>
        <row r="11">
          <cell r="A11" t="str">
            <v>Grass</v>
          </cell>
          <cell r="B11" t="str">
            <v>grass</v>
          </cell>
          <cell r="C11" t="str">
            <v>https://raw.githubusercontent.com/PokeAPI/sprites/master/sprites/types/generation-viii/sword-shield/12.png</v>
          </cell>
        </row>
        <row r="12">
          <cell r="A12" t="str">
            <v>Ground</v>
          </cell>
          <cell r="B12" t="str">
            <v>ground</v>
          </cell>
          <cell r="C12" t="str">
            <v>https://raw.githubusercontent.com/PokeAPI/sprites/master/sprites/types/generation-viii/sword-shield/5.png</v>
          </cell>
        </row>
        <row r="13">
          <cell r="A13" t="str">
            <v>Ice</v>
          </cell>
          <cell r="B13" t="str">
            <v>ice</v>
          </cell>
          <cell r="C13" t="str">
            <v>https://raw.githubusercontent.com/PokeAPI/sprites/master/sprites/types/generation-viii/sword-shield/15.png</v>
          </cell>
        </row>
        <row r="14">
          <cell r="A14" t="str">
            <v>Normal</v>
          </cell>
          <cell r="B14" t="str">
            <v>normal</v>
          </cell>
          <cell r="C14" t="str">
            <v>https://raw.githubusercontent.com/PokeAPI/sprites/master/sprites/types/generation-viii/sword-shield/1.png</v>
          </cell>
        </row>
        <row r="15">
          <cell r="A15" t="str">
            <v>Poison</v>
          </cell>
          <cell r="B15" t="str">
            <v>poison</v>
          </cell>
          <cell r="C15" t="str">
            <v>https://raw.githubusercontent.com/PokeAPI/sprites/master/sprites/types/generation-viii/sword-shield/4.png</v>
          </cell>
        </row>
        <row r="16">
          <cell r="A16" t="str">
            <v>Psychic</v>
          </cell>
          <cell r="B16" t="str">
            <v>psychic</v>
          </cell>
          <cell r="C16" t="str">
            <v>https://raw.githubusercontent.com/PokeAPI/sprites/master/sprites/types/generation-viii/sword-shield/14.png</v>
          </cell>
        </row>
        <row r="17">
          <cell r="A17" t="str">
            <v>Rock</v>
          </cell>
          <cell r="B17" t="str">
            <v>rock</v>
          </cell>
          <cell r="C17" t="str">
            <v>https://raw.githubusercontent.com/PokeAPI/sprites/master/sprites/types/generation-viii/sword-shield/6.png</v>
          </cell>
        </row>
        <row r="18">
          <cell r="A18" t="str">
            <v>Shadow</v>
          </cell>
          <cell r="B18" t="str">
            <v>shadow</v>
          </cell>
        </row>
        <row r="19">
          <cell r="A19" t="str">
            <v>Steel</v>
          </cell>
          <cell r="B19" t="str">
            <v>steel</v>
          </cell>
          <cell r="C19" t="str">
            <v>https://raw.githubusercontent.com/PokeAPI/sprites/master/sprites/types/generation-viii/sword-shield/9.png</v>
          </cell>
        </row>
        <row r="20">
          <cell r="A20" t="str">
            <v>Stellar</v>
          </cell>
          <cell r="B20" t="str">
            <v>stellar</v>
          </cell>
          <cell r="C20" t="str">
            <v>https://raw.githubusercontent.com/PokeAPI/sprites/master/sprites/types/generation-ix/scarlet-violet/19.png</v>
          </cell>
        </row>
        <row r="21">
          <cell r="A21" t="str">
            <v>Unknown</v>
          </cell>
          <cell r="B21" t="str">
            <v>unknown</v>
          </cell>
          <cell r="C21" t="str">
            <v>https://raw.githubusercontent.com/PokeAPI/sprites/master/sprites/types/generation-iv/platinum/10001.png</v>
          </cell>
        </row>
        <row r="22">
          <cell r="A22" t="str">
            <v>Water</v>
          </cell>
          <cell r="B22" t="str">
            <v>water</v>
          </cell>
          <cell r="C22" t="str">
            <v>https://raw.githubusercontent.com/PokeAPI/sprites/master/sprites/types/generation-viii/sword-shield/11.png</v>
          </cell>
        </row>
      </sheetData>
      <sheetData sheetId="9"/>
      <sheetData sheetId="10">
        <row r="1">
          <cell r="C1" t="str">
            <v>TYPE_IMAGES:</v>
          </cell>
        </row>
        <row r="2">
          <cell r="C2" t="str">
            <v>name</v>
          </cell>
          <cell r="D2" t="str">
            <v>address</v>
          </cell>
        </row>
        <row r="3">
          <cell r="C3" t="str">
            <v>NORMAL</v>
          </cell>
          <cell r="D3" t="str">
            <v>https://archives.bulbagarden.net/media/upload/9/95/Normal_icon_SwSh.png</v>
          </cell>
        </row>
        <row r="4">
          <cell r="C4" t="str">
            <v>FIRE</v>
          </cell>
          <cell r="D4" t="str">
            <v>https://archives.bulbagarden.net/media/upload/a/ab/Fire_icon_SwSh.png</v>
          </cell>
        </row>
        <row r="5">
          <cell r="C5" t="str">
            <v>WATER</v>
          </cell>
          <cell r="D5" t="str">
            <v>https://archives.bulbagarden.net/media/upload/8/80/Water_icon_SwSh.png</v>
          </cell>
        </row>
        <row r="6">
          <cell r="C6" t="str">
            <v>ELECTRIC</v>
          </cell>
          <cell r="D6" t="str">
            <v>https://archives.bulbagarden.net/media/upload/7/7b/Electric_icon_SwSh.png</v>
          </cell>
        </row>
        <row r="7">
          <cell r="C7" t="str">
            <v>GRASS</v>
          </cell>
          <cell r="D7" t="str">
            <v>https://archives.bulbagarden.net/media/upload/a/a8/Grass_icon_SwSh.png</v>
          </cell>
        </row>
        <row r="8">
          <cell r="C8" t="str">
            <v>ICE</v>
          </cell>
          <cell r="D8" t="str">
            <v>https://archives.bulbagarden.net/media/upload/1/15/Ice_icon_SwSh.png</v>
          </cell>
        </row>
        <row r="9">
          <cell r="C9" t="str">
            <v>FIGHTING</v>
          </cell>
          <cell r="D9" t="str">
            <v>https://archives.bulbagarden.net/media/upload/3/3b/Fighting_icon_SwSh.png</v>
          </cell>
        </row>
        <row r="10">
          <cell r="C10" t="str">
            <v>POISON</v>
          </cell>
          <cell r="D10" t="str">
            <v>https://archives.bulbagarden.net/media/upload/8/8d/Poison_icon_SwSh.png</v>
          </cell>
        </row>
        <row r="11">
          <cell r="C11" t="str">
            <v>GROUND</v>
          </cell>
          <cell r="D11" t="str">
            <v>https://archives.bulbagarden.net/media/upload/2/27/Ground_icon_SwSh.png</v>
          </cell>
        </row>
        <row r="12">
          <cell r="C12" t="str">
            <v>FLYING</v>
          </cell>
          <cell r="D12" t="str">
            <v>https://archives.bulbagarden.net/media/upload/b/b5/Flying_icon_SwSh.png</v>
          </cell>
        </row>
        <row r="13">
          <cell r="C13" t="str">
            <v>PSYCHIC</v>
          </cell>
          <cell r="D13" t="str">
            <v>https://archives.bulbagarden.net/media/upload/7/73/Psychic_icon_SwSh.png</v>
          </cell>
        </row>
        <row r="14">
          <cell r="C14" t="str">
            <v>BUG</v>
          </cell>
          <cell r="D14" t="str">
            <v>https://archives.bulbagarden.net/media/upload/9/9c/Bug_icon_SwSh.png</v>
          </cell>
        </row>
        <row r="15">
          <cell r="C15" t="str">
            <v>ROCK</v>
          </cell>
          <cell r="D15" t="str">
            <v>https://archives.bulbagarden.net/media/upload/1/11/Rock_icon_SwSh.png</v>
          </cell>
        </row>
        <row r="16">
          <cell r="C16" t="str">
            <v>GHOST</v>
          </cell>
          <cell r="D16" t="str">
            <v>https://archives.bulbagarden.net/media/upload/0/01/Ghost_icon_SwSh.png</v>
          </cell>
        </row>
        <row r="17">
          <cell r="C17" t="str">
            <v>DRAGON</v>
          </cell>
          <cell r="D17" t="str">
            <v>https://archives.bulbagarden.net/media/upload/7/70/Dragon_icon_SwSh.png</v>
          </cell>
        </row>
        <row r="18">
          <cell r="C18" t="str">
            <v>DARK</v>
          </cell>
          <cell r="D18" t="str">
            <v>https://archives.bulbagarden.net/media/upload/d/d5/Dark_icon_SwSh.png</v>
          </cell>
        </row>
        <row r="19">
          <cell r="C19" t="str">
            <v>STEEL</v>
          </cell>
          <cell r="D19" t="str">
            <v>https://archives.bulbagarden.net/media/upload/0/09/Steel_icon_SwSh.png</v>
          </cell>
        </row>
        <row r="20">
          <cell r="C20" t="str">
            <v>FAIRY</v>
          </cell>
          <cell r="D20" t="str">
            <v>https://archives.bulbagarden.net/media/upload/c/c6/Fairy_icon_SwSh.png</v>
          </cell>
        </row>
        <row r="21">
          <cell r="C21" t="str">
            <v>STELLAR</v>
          </cell>
          <cell r="D21" t="str">
            <v>https://archives.bulbagarden.net/media/upload/b/b9/TeraGem_Stellar.png</v>
          </cell>
        </row>
      </sheetData>
    </sheetDataSet>
  </externalBook>
</externalLink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archives.bulbagarden.net/media/upload/3/3b/Fighting_icon_SwSh.png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hyperlink" Target="https://raw.githubusercontent.com/PokeAPI/sprites/master/sprites/types/generation-viii/sword-shield/1.png" TargetMode="External"/><Relationship Id="rId21" Type="http://schemas.openxmlformats.org/officeDocument/2006/relationships/hyperlink" Target="https://archives.bulbagarden.net/media/upload/7/73/Psychic_icon_SwSh.png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raw.githubusercontent.com/PokeAPI/sprites/master/sprites/types/generation-viii/sword-shield/13.png" TargetMode="External"/><Relationship Id="rId50" Type="http://schemas.openxmlformats.org/officeDocument/2006/relationships/image" Target="../media/image25.png"/><Relationship Id="rId55" Type="http://schemas.openxmlformats.org/officeDocument/2006/relationships/hyperlink" Target="https://raw.githubusercontent.com/PokeAPI/sprites/master/sprites/types/generation-viii/sword-shield/5.png" TargetMode="External"/><Relationship Id="rId63" Type="http://schemas.openxmlformats.org/officeDocument/2006/relationships/hyperlink" Target="https://raw.githubusercontent.com/PokeAPI/sprites/master/sprites/types/generation-viii/sword-shield/6.png" TargetMode="External"/><Relationship Id="rId68" Type="http://schemas.openxmlformats.org/officeDocument/2006/relationships/image" Target="../media/image34.png"/><Relationship Id="rId76" Type="http://schemas.openxmlformats.org/officeDocument/2006/relationships/image" Target="../media/image38.png"/><Relationship Id="rId7" Type="http://schemas.openxmlformats.org/officeDocument/2006/relationships/hyperlink" Target="https://archives.bulbagarden.net/media/upload/a/a8/Grass_icon_SwSh.png" TargetMode="External"/><Relationship Id="rId71" Type="http://schemas.openxmlformats.org/officeDocument/2006/relationships/hyperlink" Target="https://raw.githubusercontent.com/PokeAPI/sprites/master/sprites/types/generation-viii/sword-shield/9.png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rchives.bulbagarden.net/media/upload/7/70/Dragon_icon_SwSh.png" TargetMode="External"/><Relationship Id="rId11" Type="http://schemas.openxmlformats.org/officeDocument/2006/relationships/hyperlink" Target="https://archives.bulbagarden.net/media/upload/1/15/Ice_icon_SwSh.png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archives.bulbagarden.net/media/upload/b/b9/TeraGem_Stellar.png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raw.githubusercontent.com/PokeAPI/sprites/master/sprites/types/generation-viii/sword-shield/12.png" TargetMode="External"/><Relationship Id="rId53" Type="http://schemas.openxmlformats.org/officeDocument/2006/relationships/hyperlink" Target="https://raw.githubusercontent.com/PokeAPI/sprites/master/sprites/types/generation-viii/sword-shield/4.png" TargetMode="External"/><Relationship Id="rId58" Type="http://schemas.openxmlformats.org/officeDocument/2006/relationships/image" Target="../media/image29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hyperlink" Target="https://archives.bulbagarden.net/media/upload/8/80/Water_icon_SwSh.png" TargetMode="External"/><Relationship Id="rId15" Type="http://schemas.openxmlformats.org/officeDocument/2006/relationships/hyperlink" Target="https://archives.bulbagarden.net/media/upload/8/8d/Poison_icon_SwSh.png" TargetMode="External"/><Relationship Id="rId23" Type="http://schemas.openxmlformats.org/officeDocument/2006/relationships/hyperlink" Target="https://archives.bulbagarden.net/media/upload/9/9c/Bug_icon_SwSh.png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raw.githubusercontent.com/PokeAPI/sprites/master/sprites/types/generation-viii/sword-shield/15.png" TargetMode="External"/><Relationship Id="rId57" Type="http://schemas.openxmlformats.org/officeDocument/2006/relationships/hyperlink" Target="https://raw.githubusercontent.com/PokeAPI/sprites/master/sprites/types/generation-viii/sword-shield/3.png" TargetMode="External"/><Relationship Id="rId61" Type="http://schemas.openxmlformats.org/officeDocument/2006/relationships/hyperlink" Target="https://raw.githubusercontent.com/PokeAPI/sprites/master/sprites/types/generation-viii/sword-shield/7.png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archives.bulbagarden.net/media/upload/b/b5/Flying_icon_SwSh.png" TargetMode="External"/><Relationship Id="rId31" Type="http://schemas.openxmlformats.org/officeDocument/2006/relationships/hyperlink" Target="https://archives.bulbagarden.net/media/upload/d/d5/Dark_icon_SwSh.png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hyperlink" Target="https://raw.githubusercontent.com/PokeAPI/sprites/master/sprites/types/generation-viii/sword-shield/8.png" TargetMode="External"/><Relationship Id="rId73" Type="http://schemas.openxmlformats.org/officeDocument/2006/relationships/hyperlink" Target="https://raw.githubusercontent.com/PokeAPI/sprites/master/sprites/types/generation-viii/sword-shield/18.png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rchives.bulbagarden.net/media/upload/7/7b/Electric_icon_SwSh.png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rchives.bulbagarden.net/media/upload/0/01/Ghost_icon_SwSh.png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archives.bulbagarden.net/media/upload/c/c6/Fairy_icon_SwSh.png" TargetMode="External"/><Relationship Id="rId43" Type="http://schemas.openxmlformats.org/officeDocument/2006/relationships/hyperlink" Target="https://raw.githubusercontent.com/PokeAPI/sprites/master/sprites/types/generation-viii/sword-shield/11.png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64" Type="http://schemas.openxmlformats.org/officeDocument/2006/relationships/image" Target="../media/image32.png"/><Relationship Id="rId69" Type="http://schemas.openxmlformats.org/officeDocument/2006/relationships/hyperlink" Target="https://raw.githubusercontent.com/PokeAPI/sprites/master/sprites/types/generation-viii/sword-shield/17.png" TargetMode="External"/><Relationship Id="rId8" Type="http://schemas.openxmlformats.org/officeDocument/2006/relationships/image" Target="../media/image4.png"/><Relationship Id="rId51" Type="http://schemas.openxmlformats.org/officeDocument/2006/relationships/hyperlink" Target="https://raw.githubusercontent.com/PokeAPI/sprites/master/sprites/types/generation-viii/sword-shield/2.png" TargetMode="External"/><Relationship Id="rId72" Type="http://schemas.openxmlformats.org/officeDocument/2006/relationships/image" Target="../media/image36.png"/><Relationship Id="rId3" Type="http://schemas.openxmlformats.org/officeDocument/2006/relationships/hyperlink" Target="https://archives.bulbagarden.net/media/upload/a/ab/Fire_icon_SwSh.png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rchives.bulbagarden.net/media/upload/2/27/Ground_icon_SwSh.png" TargetMode="External"/><Relationship Id="rId25" Type="http://schemas.openxmlformats.org/officeDocument/2006/relationships/hyperlink" Target="https://archives.bulbagarden.net/media/upload/1/11/Rock_icon_SwSh.png" TargetMode="External"/><Relationship Id="rId33" Type="http://schemas.openxmlformats.org/officeDocument/2006/relationships/hyperlink" Target="https://archives.bulbagarden.net/media/upload/0/09/Steel_icon_SwSh.png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59" Type="http://schemas.openxmlformats.org/officeDocument/2006/relationships/hyperlink" Target="https://raw.githubusercontent.com/PokeAPI/sprites/master/sprites/types/generation-viii/sword-shield/14.png" TargetMode="External"/><Relationship Id="rId67" Type="http://schemas.openxmlformats.org/officeDocument/2006/relationships/hyperlink" Target="https://raw.githubusercontent.com/PokeAPI/sprites/master/sprites/types/generation-viii/sword-shield/16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raw.githubusercontent.com/PokeAPI/sprites/master/sprites/types/generation-viii/sword-shield/10.png" TargetMode="Externa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70" Type="http://schemas.openxmlformats.org/officeDocument/2006/relationships/image" Target="../media/image35.png"/><Relationship Id="rId75" Type="http://schemas.openxmlformats.org/officeDocument/2006/relationships/hyperlink" Target="https://raw.githubusercontent.com/PokeAPI/sprites/master/sprites/types/generation-ix/scarlet-violet/19.png" TargetMode="External"/><Relationship Id="rId1" Type="http://schemas.openxmlformats.org/officeDocument/2006/relationships/hyperlink" Target="https://archives.bulbagarden.net/media/upload/9/95/Normal_icon_SwSh.png" TargetMode="External"/><Relationship Id="rId6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</webImagesSrd>
</file>

<file path=xl/richData/rdrichvalue.xml><?xml version="1.0" encoding="utf-8"?>
<rvData xmlns="http://schemas.microsoft.com/office/spreadsheetml/2017/richdata" count="38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18</v>
    <v>1</v>
    <v>0</v>
    <v>0</v>
  </rv>
  <rv s="0">
    <v>19</v>
    <v>1</v>
    <v>0</v>
    <v>0</v>
  </rv>
  <rv s="0">
    <v>20</v>
    <v>1</v>
    <v>0</v>
    <v>0</v>
  </rv>
  <rv s="0">
    <v>21</v>
    <v>1</v>
    <v>0</v>
    <v>0</v>
  </rv>
  <rv s="0">
    <v>22</v>
    <v>1</v>
    <v>0</v>
    <v>0</v>
  </rv>
  <rv s="0">
    <v>23</v>
    <v>1</v>
    <v>0</v>
    <v>0</v>
  </rv>
  <rv s="0">
    <v>24</v>
    <v>1</v>
    <v>0</v>
    <v>0</v>
  </rv>
  <rv s="0">
    <v>25</v>
    <v>1</v>
    <v>0</v>
    <v>0</v>
  </rv>
  <rv s="0">
    <v>26</v>
    <v>1</v>
    <v>0</v>
    <v>0</v>
  </rv>
  <rv s="0">
    <v>27</v>
    <v>1</v>
    <v>0</v>
    <v>0</v>
  </rv>
  <rv s="0">
    <v>28</v>
    <v>1</v>
    <v>0</v>
    <v>0</v>
  </rv>
  <rv s="0">
    <v>29</v>
    <v>1</v>
    <v>0</v>
    <v>0</v>
  </rv>
  <rv s="0">
    <v>30</v>
    <v>1</v>
    <v>0</v>
    <v>0</v>
  </rv>
  <rv s="0">
    <v>31</v>
    <v>1</v>
    <v>0</v>
    <v>0</v>
  </rv>
  <rv s="0">
    <v>32</v>
    <v>1</v>
    <v>0</v>
    <v>0</v>
  </rv>
  <rv s="0">
    <v>33</v>
    <v>1</v>
    <v>0</v>
    <v>0</v>
  </rv>
  <rv s="0">
    <v>34</v>
    <v>1</v>
    <v>0</v>
    <v>0</v>
  </rv>
  <rv s="0">
    <v>35</v>
    <v>1</v>
    <v>0</v>
    <v>0</v>
  </rv>
  <rv s="0">
    <v>36</v>
    <v>1</v>
    <v>0</v>
    <v>0</v>
  </rv>
  <rv s="0">
    <v>37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heme/theme1.xml><?xml version="1.0" encoding="utf-8"?>
<a:theme xmlns:a="http://schemas.openxmlformats.org/drawingml/2006/main" name="Motiv Office">
  <a:themeElements>
    <a:clrScheme name="ui_accen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0070C0"/>
      </a:accent1>
      <a:accent2>
        <a:srgbClr val="00B050"/>
      </a:accent2>
      <a:accent3>
        <a:srgbClr val="C89400"/>
      </a:accent3>
      <a:accent4>
        <a:srgbClr val="CC0000"/>
      </a:accent4>
      <a:accent5>
        <a:srgbClr val="000000"/>
      </a:accent5>
      <a:accent6>
        <a:srgbClr val="8E8E8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D25A-1A33-4BFD-980B-EB3DB74730EF}">
  <sheetPr>
    <tabColor rgb="FFCC0000"/>
  </sheetPr>
  <dimension ref="A1:AZ150"/>
  <sheetViews>
    <sheetView topLeftCell="A3" zoomScale="115" zoomScaleNormal="115" workbookViewId="0">
      <selection activeCell="A3" sqref="A1:XFD1048576"/>
    </sheetView>
  </sheetViews>
  <sheetFormatPr defaultColWidth="0" defaultRowHeight="15" zeroHeight="1" x14ac:dyDescent="0.25"/>
  <cols>
    <col min="1" max="52" width="9.140625" customWidth="1"/>
    <col min="53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E47-317C-4138-A210-BD469CECDE1B}">
  <sheetPr>
    <tabColor rgb="FFC89400"/>
  </sheetPr>
  <dimension ref="A1:AJ154"/>
  <sheetViews>
    <sheetView tabSelected="1" zoomScaleNormal="100" workbookViewId="0">
      <selection activeCell="AB16" sqref="AB16:AE17"/>
    </sheetView>
  </sheetViews>
  <sheetFormatPr defaultColWidth="0" defaultRowHeight="15" zeroHeight="1" x14ac:dyDescent="0.25"/>
  <cols>
    <col min="1" max="1" width="5.7109375" style="6" customWidth="1"/>
    <col min="2" max="2" width="1.42578125" style="6" customWidth="1"/>
    <col min="3" max="3" width="6" style="6" customWidth="1"/>
    <col min="4" max="4" width="9.140625" style="6" customWidth="1"/>
    <col min="5" max="5" width="0.7109375" style="6" customWidth="1"/>
    <col min="6" max="24" width="5" style="6" customWidth="1"/>
    <col min="25" max="25" width="1.42578125" style="6" customWidth="1"/>
    <col min="26" max="26" width="5.7109375" style="6" customWidth="1"/>
    <col min="27" max="27" width="9.140625" style="6" customWidth="1"/>
    <col min="28" max="31" width="9.85546875" style="6" customWidth="1"/>
    <col min="32" max="32" width="9.140625" style="6" customWidth="1"/>
    <col min="33" max="35" width="9.140625" style="6" hidden="1" customWidth="1"/>
    <col min="36" max="36" width="7.85546875" style="6" hidden="1" customWidth="1"/>
    <col min="37" max="16384" width="0" style="6" hidden="1"/>
  </cols>
  <sheetData>
    <row r="1" spans="1:36" ht="30" customHeight="1" x14ac:dyDescent="0.25">
      <c r="A1" s="5"/>
      <c r="B1" s="11" t="s">
        <v>2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</row>
    <row r="2" spans="1:36" ht="21" customHeight="1" x14ac:dyDescent="0.25">
      <c r="A2" s="5"/>
      <c r="B2" s="12" t="s">
        <v>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ht="7.5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ht="7.5" customHeight="1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20.25" customHeight="1" x14ac:dyDescent="0.25">
      <c r="A5" s="5"/>
      <c r="B5" s="2"/>
      <c r="C5" s="13" t="s">
        <v>0</v>
      </c>
      <c r="D5" s="13"/>
      <c r="E5" s="3"/>
      <c r="F5" s="10" t="e" vm="1">
        <f>_xlfn.IMAGE(VLOOKUP([1]TypeChart!B1,[1]Assets!$C:$D,2,0))</f>
        <v>#VALUE!</v>
      </c>
      <c r="G5" s="10" t="e" vm="2">
        <f>_xlfn.IMAGE(VLOOKUP([1]TypeChart!C1,[1]Assets!$C:$D,2,0))</f>
        <v>#VALUE!</v>
      </c>
      <c r="H5" s="10" t="e" vm="3">
        <f>_xlfn.IMAGE(VLOOKUP([1]TypeChart!D1,[1]Assets!$C:$D,2,0))</f>
        <v>#VALUE!</v>
      </c>
      <c r="I5" s="10" t="e" vm="4">
        <f>_xlfn.IMAGE(VLOOKUP([1]TypeChart!E1,[1]Assets!$C:$D,2,0))</f>
        <v>#VALUE!</v>
      </c>
      <c r="J5" s="10" t="e" vm="5">
        <f>_xlfn.IMAGE(VLOOKUP([1]TypeChart!F1,[1]Assets!$C:$D,2,0))</f>
        <v>#VALUE!</v>
      </c>
      <c r="K5" s="10" t="e" vm="6">
        <f>_xlfn.IMAGE(VLOOKUP([1]TypeChart!G1,[1]Assets!$C:$D,2,0))</f>
        <v>#VALUE!</v>
      </c>
      <c r="L5" s="10" t="e" vm="7">
        <f>_xlfn.IMAGE(VLOOKUP([1]TypeChart!H1,[1]Assets!$C:$D,2,0))</f>
        <v>#VALUE!</v>
      </c>
      <c r="M5" s="10" t="e" vm="8">
        <f>_xlfn.IMAGE(VLOOKUP([1]TypeChart!I1,[1]Assets!$C:$D,2,0))</f>
        <v>#VALUE!</v>
      </c>
      <c r="N5" s="10" t="e" vm="9">
        <f>_xlfn.IMAGE(VLOOKUP([1]TypeChart!J1,[1]Assets!$C:$D,2,0))</f>
        <v>#VALUE!</v>
      </c>
      <c r="O5" s="10" t="e" vm="10">
        <f>_xlfn.IMAGE(VLOOKUP([1]TypeChart!K1,[1]Assets!$C:$D,2,0))</f>
        <v>#VALUE!</v>
      </c>
      <c r="P5" s="10" t="e" vm="11">
        <f>_xlfn.IMAGE(VLOOKUP([1]TypeChart!L1,[1]Assets!$C:$D,2,0))</f>
        <v>#VALUE!</v>
      </c>
      <c r="Q5" s="10" t="e" vm="12">
        <f>_xlfn.IMAGE(VLOOKUP([1]TypeChart!M1,[1]Assets!$C:$D,2,0))</f>
        <v>#VALUE!</v>
      </c>
      <c r="R5" s="10" t="e" vm="13">
        <f>_xlfn.IMAGE(VLOOKUP([1]TypeChart!N1,[1]Assets!$C:$D,2,0))</f>
        <v>#VALUE!</v>
      </c>
      <c r="S5" s="10" t="e" vm="14">
        <f>_xlfn.IMAGE(VLOOKUP([1]TypeChart!O1,[1]Assets!$C:$D,2,0))</f>
        <v>#VALUE!</v>
      </c>
      <c r="T5" s="10" t="e" vm="15">
        <f>_xlfn.IMAGE(VLOOKUP([1]TypeChart!P1,[1]Assets!$C:$D,2,0))</f>
        <v>#VALUE!</v>
      </c>
      <c r="U5" s="10" t="e" vm="16">
        <f>_xlfn.IMAGE(VLOOKUP([1]TypeChart!Q1,[1]Assets!$C:$D,2,0))</f>
        <v>#VALUE!</v>
      </c>
      <c r="V5" s="10" t="e" vm="17">
        <f>_xlfn.IMAGE(VLOOKUP([1]TypeChart!R1,[1]Assets!$C:$D,2,0))</f>
        <v>#VALUE!</v>
      </c>
      <c r="W5" s="10" t="e" vm="18">
        <f>_xlfn.IMAGE(VLOOKUP([1]TypeChart!S1,[1]Assets!$C:$D,2,0))</f>
        <v>#VALUE!</v>
      </c>
      <c r="X5" s="10" t="e" vm="19">
        <f>_xlfn.IMAGE(VLOOKUP([1]TypeChart!T1,[1]Assets!$C:$D,2,0))</f>
        <v>#VALUE!</v>
      </c>
      <c r="Y5" s="2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20.25" customHeight="1" x14ac:dyDescent="0.25">
      <c r="A6" s="5"/>
      <c r="B6" s="2"/>
      <c r="C6" s="14" t="s">
        <v>1</v>
      </c>
      <c r="D6" s="14"/>
      <c r="E6" s="7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2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3.75" customHeight="1" x14ac:dyDescent="0.25">
      <c r="A7" s="5"/>
      <c r="B7" s="2"/>
      <c r="C7" s="7"/>
      <c r="D7" s="7"/>
      <c r="E7" s="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2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</row>
    <row r="8" spans="1:36" ht="20.25" customHeight="1" x14ac:dyDescent="0.25">
      <c r="A8" s="5"/>
      <c r="B8" s="2"/>
      <c r="C8" s="10" t="e" vm="20">
        <f>_xlfn.IMAGE(VLOOKUP([1]TypeChart!A2,[1]Types!$A:$C,3,0))</f>
        <v>#VALUE!</v>
      </c>
      <c r="D8" s="10"/>
      <c r="E8" s="8"/>
      <c r="F8" s="9">
        <f>[1]TypeChart!B2</f>
        <v>1</v>
      </c>
      <c r="G8" s="9">
        <f>[1]TypeChart!C2</f>
        <v>1</v>
      </c>
      <c r="H8" s="9">
        <f>[1]TypeChart!D2</f>
        <v>1</v>
      </c>
      <c r="I8" s="9">
        <f>[1]TypeChart!E2</f>
        <v>1</v>
      </c>
      <c r="J8" s="9">
        <f>[1]TypeChart!F2</f>
        <v>1</v>
      </c>
      <c r="K8" s="9">
        <f>[1]TypeChart!G2</f>
        <v>1</v>
      </c>
      <c r="L8" s="9">
        <f>[1]TypeChart!H2</f>
        <v>1</v>
      </c>
      <c r="M8" s="9">
        <f>[1]TypeChart!I2</f>
        <v>1</v>
      </c>
      <c r="N8" s="9">
        <f>[1]TypeChart!J2</f>
        <v>1</v>
      </c>
      <c r="O8" s="9">
        <f>[1]TypeChart!K2</f>
        <v>1</v>
      </c>
      <c r="P8" s="9">
        <f>[1]TypeChart!L2</f>
        <v>1</v>
      </c>
      <c r="Q8" s="9">
        <f>[1]TypeChart!M2</f>
        <v>1</v>
      </c>
      <c r="R8" s="9">
        <f>[1]TypeChart!N2</f>
        <v>0.5</v>
      </c>
      <c r="S8" s="9">
        <f>[1]TypeChart!O2</f>
        <v>0</v>
      </c>
      <c r="T8" s="9">
        <f>[1]TypeChart!P2</f>
        <v>1</v>
      </c>
      <c r="U8" s="9">
        <f>[1]TypeChart!Q2</f>
        <v>1</v>
      </c>
      <c r="V8" s="9">
        <f>[1]TypeChart!R2</f>
        <v>0.5</v>
      </c>
      <c r="W8" s="9">
        <f>[1]TypeChart!S2</f>
        <v>1</v>
      </c>
      <c r="X8" s="9">
        <f>[1]TypeChart!T2</f>
        <v>1</v>
      </c>
      <c r="Y8" s="2"/>
      <c r="Z8" s="5"/>
      <c r="AA8" s="5"/>
      <c r="AB8" s="17" t="s">
        <v>6</v>
      </c>
      <c r="AC8" s="19"/>
      <c r="AD8" s="22" t="s">
        <v>8</v>
      </c>
      <c r="AE8" s="22"/>
      <c r="AF8" s="5"/>
      <c r="AG8" s="5"/>
      <c r="AH8" s="5"/>
      <c r="AI8" s="5"/>
      <c r="AJ8" s="5"/>
    </row>
    <row r="9" spans="1:36" ht="20.25" customHeight="1" x14ac:dyDescent="0.25">
      <c r="A9" s="5"/>
      <c r="B9" s="2"/>
      <c r="C9" s="10" t="e" vm="21">
        <f>_xlfn.IMAGE(VLOOKUP([1]TypeChart!A3,[1]Types!$A:$C,3,0))</f>
        <v>#VALUE!</v>
      </c>
      <c r="D9" s="10"/>
      <c r="E9" s="8"/>
      <c r="F9" s="9">
        <f>[1]TypeChart!B3</f>
        <v>1</v>
      </c>
      <c r="G9" s="9">
        <f>[1]TypeChart!C3</f>
        <v>0.5</v>
      </c>
      <c r="H9" s="9">
        <f>[1]TypeChart!D3</f>
        <v>0.5</v>
      </c>
      <c r="I9" s="9">
        <f>[1]TypeChart!E3</f>
        <v>2</v>
      </c>
      <c r="J9" s="9">
        <f>[1]TypeChart!F3</f>
        <v>1</v>
      </c>
      <c r="K9" s="9">
        <f>[1]TypeChart!G3</f>
        <v>2</v>
      </c>
      <c r="L9" s="9">
        <f>[1]TypeChart!H3</f>
        <v>1</v>
      </c>
      <c r="M9" s="9">
        <f>[1]TypeChart!I3</f>
        <v>1</v>
      </c>
      <c r="N9" s="9">
        <f>[1]TypeChart!J3</f>
        <v>1</v>
      </c>
      <c r="O9" s="9">
        <f>[1]TypeChart!K3</f>
        <v>1</v>
      </c>
      <c r="P9" s="9">
        <f>[1]TypeChart!L3</f>
        <v>1</v>
      </c>
      <c r="Q9" s="9">
        <f>[1]TypeChart!M3</f>
        <v>2</v>
      </c>
      <c r="R9" s="9">
        <f>[1]TypeChart!N3</f>
        <v>0.5</v>
      </c>
      <c r="S9" s="9">
        <f>[1]TypeChart!O3</f>
        <v>1</v>
      </c>
      <c r="T9" s="9">
        <f>[1]TypeChart!P3</f>
        <v>0.5</v>
      </c>
      <c r="U9" s="9">
        <f>[1]TypeChart!Q3</f>
        <v>1</v>
      </c>
      <c r="V9" s="9">
        <f>[1]TypeChart!R3</f>
        <v>2</v>
      </c>
      <c r="W9" s="9">
        <f>[1]TypeChart!S3</f>
        <v>1</v>
      </c>
      <c r="X9" s="9">
        <f>[1]TypeChart!T3</f>
        <v>1</v>
      </c>
      <c r="Y9" s="2"/>
      <c r="Z9" s="5"/>
      <c r="AA9" s="5"/>
      <c r="AB9" s="15"/>
      <c r="AC9" s="16"/>
      <c r="AD9" s="23"/>
      <c r="AE9" s="23"/>
      <c r="AF9" s="5"/>
      <c r="AG9" s="5"/>
      <c r="AH9" s="5"/>
      <c r="AI9" s="5"/>
      <c r="AJ9" s="5"/>
    </row>
    <row r="10" spans="1:36" ht="20.25" customHeight="1" x14ac:dyDescent="0.25">
      <c r="A10" s="5"/>
      <c r="B10" s="2"/>
      <c r="C10" s="10" t="e" vm="22">
        <f>_xlfn.IMAGE(VLOOKUP([1]TypeChart!A4,[1]Types!$A:$C,3,0))</f>
        <v>#VALUE!</v>
      </c>
      <c r="D10" s="10"/>
      <c r="E10" s="8"/>
      <c r="F10" s="9">
        <f>[1]TypeChart!B4</f>
        <v>1</v>
      </c>
      <c r="G10" s="9">
        <f>[1]TypeChart!C4</f>
        <v>2</v>
      </c>
      <c r="H10" s="9">
        <f>[1]TypeChart!D4</f>
        <v>0.5</v>
      </c>
      <c r="I10" s="9">
        <f>[1]TypeChart!E4</f>
        <v>0.5</v>
      </c>
      <c r="J10" s="9">
        <f>[1]TypeChart!F4</f>
        <v>1</v>
      </c>
      <c r="K10" s="9">
        <f>[1]TypeChart!G4</f>
        <v>1</v>
      </c>
      <c r="L10" s="9">
        <f>[1]TypeChart!H4</f>
        <v>1</v>
      </c>
      <c r="M10" s="9">
        <f>[1]TypeChart!I4</f>
        <v>1</v>
      </c>
      <c r="N10" s="9">
        <f>[1]TypeChart!J4</f>
        <v>2</v>
      </c>
      <c r="O10" s="9">
        <f>[1]TypeChart!K4</f>
        <v>1</v>
      </c>
      <c r="P10" s="9">
        <f>[1]TypeChart!L4</f>
        <v>1</v>
      </c>
      <c r="Q10" s="9">
        <f>[1]TypeChart!M4</f>
        <v>1</v>
      </c>
      <c r="R10" s="9">
        <f>[1]TypeChart!N4</f>
        <v>2</v>
      </c>
      <c r="S10" s="9">
        <f>[1]TypeChart!O4</f>
        <v>1</v>
      </c>
      <c r="T10" s="9">
        <f>[1]TypeChart!P4</f>
        <v>0.5</v>
      </c>
      <c r="U10" s="9">
        <f>[1]TypeChart!Q4</f>
        <v>1</v>
      </c>
      <c r="V10" s="9">
        <f>[1]TypeChart!R4</f>
        <v>1</v>
      </c>
      <c r="W10" s="9">
        <f>[1]TypeChart!S4</f>
        <v>1</v>
      </c>
      <c r="X10" s="9">
        <f>[1]TypeChart!T4</f>
        <v>1</v>
      </c>
      <c r="Y10" s="2"/>
      <c r="Z10" s="5"/>
      <c r="AA10" s="5"/>
      <c r="AB10" s="18" t="s">
        <v>7</v>
      </c>
      <c r="AC10" s="20"/>
      <c r="AD10" s="22" t="s">
        <v>9</v>
      </c>
      <c r="AE10" s="22"/>
      <c r="AF10" s="5"/>
      <c r="AG10" s="5"/>
      <c r="AH10" s="5"/>
      <c r="AI10" s="5"/>
      <c r="AJ10" s="5"/>
    </row>
    <row r="11" spans="1:36" ht="20.25" customHeight="1" x14ac:dyDescent="0.25">
      <c r="A11" s="5"/>
      <c r="B11" s="2"/>
      <c r="C11" s="10" t="e" vm="23">
        <f>_xlfn.IMAGE(VLOOKUP([1]TypeChart!A5,[1]Types!$A:$C,3,0))</f>
        <v>#VALUE!</v>
      </c>
      <c r="D11" s="10"/>
      <c r="E11" s="8"/>
      <c r="F11" s="9">
        <f>[1]TypeChart!B5</f>
        <v>1</v>
      </c>
      <c r="G11" s="9">
        <f>[1]TypeChart!C5</f>
        <v>0.5</v>
      </c>
      <c r="H11" s="9">
        <f>[1]TypeChart!D5</f>
        <v>2</v>
      </c>
      <c r="I11" s="9">
        <f>[1]TypeChart!E5</f>
        <v>0.5</v>
      </c>
      <c r="J11" s="9">
        <f>[1]TypeChart!F5</f>
        <v>1</v>
      </c>
      <c r="K11" s="9">
        <f>[1]TypeChart!G5</f>
        <v>1</v>
      </c>
      <c r="L11" s="9">
        <f>[1]TypeChart!H5</f>
        <v>1</v>
      </c>
      <c r="M11" s="9">
        <f>[1]TypeChart!I5</f>
        <v>0.5</v>
      </c>
      <c r="N11" s="9">
        <f>[1]TypeChart!J5</f>
        <v>2</v>
      </c>
      <c r="O11" s="9">
        <f>[1]TypeChart!K5</f>
        <v>0.5</v>
      </c>
      <c r="P11" s="9">
        <f>[1]TypeChart!L5</f>
        <v>1</v>
      </c>
      <c r="Q11" s="9">
        <f>[1]TypeChart!M5</f>
        <v>0.5</v>
      </c>
      <c r="R11" s="9">
        <f>[1]TypeChart!N5</f>
        <v>2</v>
      </c>
      <c r="S11" s="9">
        <f>[1]TypeChart!O5</f>
        <v>1</v>
      </c>
      <c r="T11" s="9">
        <f>[1]TypeChart!P5</f>
        <v>0.5</v>
      </c>
      <c r="U11" s="9">
        <f>[1]TypeChart!Q5</f>
        <v>1</v>
      </c>
      <c r="V11" s="9">
        <f>[1]TypeChart!R5</f>
        <v>0.5</v>
      </c>
      <c r="W11" s="9">
        <f>[1]TypeChart!S5</f>
        <v>1</v>
      </c>
      <c r="X11" s="9">
        <f>[1]TypeChart!T5</f>
        <v>1</v>
      </c>
      <c r="Y11" s="2"/>
      <c r="Z11" s="5"/>
      <c r="AA11" s="5"/>
      <c r="AB11" s="18"/>
      <c r="AC11" s="20"/>
      <c r="AD11" s="23"/>
      <c r="AE11" s="23"/>
      <c r="AF11" s="5"/>
      <c r="AG11" s="5"/>
      <c r="AH11" s="5"/>
      <c r="AI11" s="5"/>
      <c r="AJ11" s="5"/>
    </row>
    <row r="12" spans="1:36" ht="20.25" customHeight="1" x14ac:dyDescent="0.25">
      <c r="A12" s="5"/>
      <c r="B12" s="2"/>
      <c r="C12" s="10" t="e" vm="24">
        <f>_xlfn.IMAGE(VLOOKUP([1]TypeChart!A6,[1]Types!$A:$C,3,0))</f>
        <v>#VALUE!</v>
      </c>
      <c r="D12" s="10"/>
      <c r="E12" s="8"/>
      <c r="F12" s="9">
        <f>[1]TypeChart!B6</f>
        <v>1</v>
      </c>
      <c r="G12" s="9">
        <f>[1]TypeChart!C6</f>
        <v>1</v>
      </c>
      <c r="H12" s="9">
        <f>[1]TypeChart!D6</f>
        <v>2</v>
      </c>
      <c r="I12" s="9">
        <f>[1]TypeChart!E6</f>
        <v>0.5</v>
      </c>
      <c r="J12" s="9">
        <f>[1]TypeChart!F6</f>
        <v>0.5</v>
      </c>
      <c r="K12" s="9">
        <f>[1]TypeChart!G6</f>
        <v>1</v>
      </c>
      <c r="L12" s="9">
        <f>[1]TypeChart!H6</f>
        <v>1</v>
      </c>
      <c r="M12" s="9">
        <f>[1]TypeChart!I6</f>
        <v>1</v>
      </c>
      <c r="N12" s="9">
        <f>[1]TypeChart!J6</f>
        <v>0</v>
      </c>
      <c r="O12" s="9">
        <f>[1]TypeChart!K6</f>
        <v>2</v>
      </c>
      <c r="P12" s="9">
        <f>[1]TypeChart!L6</f>
        <v>1</v>
      </c>
      <c r="Q12" s="9">
        <f>[1]TypeChart!M6</f>
        <v>1</v>
      </c>
      <c r="R12" s="9">
        <f>[1]TypeChart!N6</f>
        <v>1</v>
      </c>
      <c r="S12" s="9">
        <f>[1]TypeChart!O6</f>
        <v>1</v>
      </c>
      <c r="T12" s="9">
        <f>[1]TypeChart!P6</f>
        <v>0.5</v>
      </c>
      <c r="U12" s="9">
        <f>[1]TypeChart!Q6</f>
        <v>1</v>
      </c>
      <c r="V12" s="9">
        <f>[1]TypeChart!R6</f>
        <v>1</v>
      </c>
      <c r="W12" s="9">
        <f>[1]TypeChart!S6</f>
        <v>1</v>
      </c>
      <c r="X12" s="9">
        <f>[1]TypeChart!T6</f>
        <v>1</v>
      </c>
      <c r="Y12" s="2"/>
      <c r="Z12" s="5"/>
      <c r="AA12" s="5"/>
      <c r="AB12" s="17" t="s">
        <v>4</v>
      </c>
      <c r="AC12" s="19"/>
      <c r="AD12" s="22" t="s">
        <v>8</v>
      </c>
      <c r="AE12" s="22"/>
      <c r="AF12" s="5"/>
      <c r="AG12" s="5"/>
      <c r="AH12" s="5"/>
      <c r="AI12" s="5"/>
      <c r="AJ12" s="5"/>
    </row>
    <row r="13" spans="1:36" ht="20.25" customHeight="1" x14ac:dyDescent="0.25">
      <c r="A13" s="5"/>
      <c r="B13" s="2"/>
      <c r="C13" s="10" t="e" vm="25">
        <f>_xlfn.IMAGE(VLOOKUP([1]TypeChart!A7,[1]Types!$A:$C,3,0))</f>
        <v>#VALUE!</v>
      </c>
      <c r="D13" s="10"/>
      <c r="E13" s="8"/>
      <c r="F13" s="9">
        <f>[1]TypeChart!B7</f>
        <v>1</v>
      </c>
      <c r="G13" s="9">
        <f>[1]TypeChart!C7</f>
        <v>0.5</v>
      </c>
      <c r="H13" s="9">
        <f>[1]TypeChart!D7</f>
        <v>0.5</v>
      </c>
      <c r="I13" s="9">
        <f>[1]TypeChart!E7</f>
        <v>2</v>
      </c>
      <c r="J13" s="9">
        <f>[1]TypeChart!F7</f>
        <v>1</v>
      </c>
      <c r="K13" s="9">
        <f>[1]TypeChart!G7</f>
        <v>0.5</v>
      </c>
      <c r="L13" s="9">
        <f>[1]TypeChart!H7</f>
        <v>1</v>
      </c>
      <c r="M13" s="9">
        <f>[1]TypeChart!I7</f>
        <v>1</v>
      </c>
      <c r="N13" s="9">
        <f>[1]TypeChart!J7</f>
        <v>2</v>
      </c>
      <c r="O13" s="9">
        <f>[1]TypeChart!K7</f>
        <v>2</v>
      </c>
      <c r="P13" s="9">
        <f>[1]TypeChart!L7</f>
        <v>1</v>
      </c>
      <c r="Q13" s="9">
        <f>[1]TypeChart!M7</f>
        <v>1</v>
      </c>
      <c r="R13" s="9">
        <f>[1]TypeChart!N7</f>
        <v>1</v>
      </c>
      <c r="S13" s="9">
        <f>[1]TypeChart!O7</f>
        <v>1</v>
      </c>
      <c r="T13" s="9">
        <f>[1]TypeChart!P7</f>
        <v>2</v>
      </c>
      <c r="U13" s="9">
        <f>[1]TypeChart!Q7</f>
        <v>1</v>
      </c>
      <c r="V13" s="9">
        <f>[1]TypeChart!R7</f>
        <v>0.5</v>
      </c>
      <c r="W13" s="9">
        <f>[1]TypeChart!S7</f>
        <v>1</v>
      </c>
      <c r="X13" s="9">
        <f>[1]TypeChart!T7</f>
        <v>1</v>
      </c>
      <c r="Y13" s="2"/>
      <c r="Z13" s="5"/>
      <c r="AA13" s="5"/>
      <c r="AB13" s="15"/>
      <c r="AC13" s="16"/>
      <c r="AD13" s="23"/>
      <c r="AE13" s="23"/>
      <c r="AF13" s="5"/>
      <c r="AG13" s="5"/>
      <c r="AH13" s="5"/>
      <c r="AI13" s="5"/>
      <c r="AJ13" s="5"/>
    </row>
    <row r="14" spans="1:36" ht="20.25" customHeight="1" x14ac:dyDescent="0.25">
      <c r="A14" s="5"/>
      <c r="B14" s="2"/>
      <c r="C14" s="10" t="e" vm="26">
        <f>_xlfn.IMAGE(VLOOKUP([1]TypeChart!A8,[1]Types!$A:$C,3,0))</f>
        <v>#VALUE!</v>
      </c>
      <c r="D14" s="10"/>
      <c r="E14" s="8"/>
      <c r="F14" s="9">
        <f>[1]TypeChart!B8</f>
        <v>2</v>
      </c>
      <c r="G14" s="9">
        <f>[1]TypeChart!C8</f>
        <v>1</v>
      </c>
      <c r="H14" s="9">
        <f>[1]TypeChart!D8</f>
        <v>1</v>
      </c>
      <c r="I14" s="9">
        <f>[1]TypeChart!E8</f>
        <v>1</v>
      </c>
      <c r="J14" s="9">
        <f>[1]TypeChart!F8</f>
        <v>1</v>
      </c>
      <c r="K14" s="9">
        <f>[1]TypeChart!G8</f>
        <v>2</v>
      </c>
      <c r="L14" s="9">
        <f>[1]TypeChart!H8</f>
        <v>1</v>
      </c>
      <c r="M14" s="9">
        <f>[1]TypeChart!I8</f>
        <v>0.5</v>
      </c>
      <c r="N14" s="9">
        <f>[1]TypeChart!J8</f>
        <v>1</v>
      </c>
      <c r="O14" s="9">
        <f>[1]TypeChart!K8</f>
        <v>0.5</v>
      </c>
      <c r="P14" s="9">
        <f>[1]TypeChart!L8</f>
        <v>0.5</v>
      </c>
      <c r="Q14" s="9">
        <f>[1]TypeChart!M8</f>
        <v>0.5</v>
      </c>
      <c r="R14" s="9">
        <f>[1]TypeChart!N8</f>
        <v>2</v>
      </c>
      <c r="S14" s="9">
        <f>[1]TypeChart!O8</f>
        <v>0</v>
      </c>
      <c r="T14" s="9">
        <f>[1]TypeChart!P8</f>
        <v>1</v>
      </c>
      <c r="U14" s="9">
        <f>[1]TypeChart!Q8</f>
        <v>2</v>
      </c>
      <c r="V14" s="9">
        <f>[1]TypeChart!R8</f>
        <v>2</v>
      </c>
      <c r="W14" s="9">
        <f>[1]TypeChart!S8</f>
        <v>0.5</v>
      </c>
      <c r="X14" s="9">
        <f>[1]TypeChart!T8</f>
        <v>1</v>
      </c>
      <c r="Y14" s="2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</row>
    <row r="15" spans="1:36" ht="20.25" customHeight="1" x14ac:dyDescent="0.25">
      <c r="A15" s="5"/>
      <c r="B15" s="2"/>
      <c r="C15" s="10" t="e" vm="27">
        <f>_xlfn.IMAGE(VLOOKUP([1]TypeChart!A9,[1]Types!$A:$C,3,0))</f>
        <v>#VALUE!</v>
      </c>
      <c r="D15" s="10"/>
      <c r="E15" s="8"/>
      <c r="F15" s="9">
        <f>[1]TypeChart!B9</f>
        <v>1</v>
      </c>
      <c r="G15" s="9">
        <f>[1]TypeChart!C9</f>
        <v>1</v>
      </c>
      <c r="H15" s="9">
        <f>[1]TypeChart!D9</f>
        <v>1</v>
      </c>
      <c r="I15" s="9">
        <f>[1]TypeChart!E9</f>
        <v>2</v>
      </c>
      <c r="J15" s="9">
        <f>[1]TypeChart!F9</f>
        <v>1</v>
      </c>
      <c r="K15" s="9">
        <f>[1]TypeChart!G9</f>
        <v>1</v>
      </c>
      <c r="L15" s="9">
        <f>[1]TypeChart!H9</f>
        <v>1</v>
      </c>
      <c r="M15" s="9">
        <f>[1]TypeChart!I9</f>
        <v>0.5</v>
      </c>
      <c r="N15" s="9">
        <f>[1]TypeChart!J9</f>
        <v>0.5</v>
      </c>
      <c r="O15" s="9">
        <f>[1]TypeChart!K9</f>
        <v>1</v>
      </c>
      <c r="P15" s="9">
        <f>[1]TypeChart!L9</f>
        <v>1</v>
      </c>
      <c r="Q15" s="9">
        <f>[1]TypeChart!M9</f>
        <v>1</v>
      </c>
      <c r="R15" s="9">
        <f>[1]TypeChart!N9</f>
        <v>0.5</v>
      </c>
      <c r="S15" s="9">
        <f>[1]TypeChart!O9</f>
        <v>0.5</v>
      </c>
      <c r="T15" s="9">
        <f>[1]TypeChart!P9</f>
        <v>1</v>
      </c>
      <c r="U15" s="9">
        <f>[1]TypeChart!Q9</f>
        <v>1</v>
      </c>
      <c r="V15" s="9">
        <f>[1]TypeChart!R9</f>
        <v>0</v>
      </c>
      <c r="W15" s="9">
        <f>[1]TypeChart!S9</f>
        <v>2</v>
      </c>
      <c r="X15" s="9">
        <f>[1]TypeChart!T9</f>
        <v>1</v>
      </c>
      <c r="Y15" s="2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</row>
    <row r="16" spans="1:36" ht="20.25" customHeight="1" x14ac:dyDescent="0.25">
      <c r="A16" s="5"/>
      <c r="B16" s="2"/>
      <c r="C16" s="10" t="e" vm="28">
        <f>_xlfn.IMAGE(VLOOKUP([1]TypeChart!A10,[1]Types!$A:$C,3,0))</f>
        <v>#VALUE!</v>
      </c>
      <c r="D16" s="10"/>
      <c r="E16" s="8"/>
      <c r="F16" s="9">
        <f>[1]TypeChart!B10</f>
        <v>1</v>
      </c>
      <c r="G16" s="9">
        <f>[1]TypeChart!C10</f>
        <v>2</v>
      </c>
      <c r="H16" s="9">
        <f>[1]TypeChart!D10</f>
        <v>1</v>
      </c>
      <c r="I16" s="9">
        <f>[1]TypeChart!E10</f>
        <v>0.5</v>
      </c>
      <c r="J16" s="9">
        <f>[1]TypeChart!F10</f>
        <v>2</v>
      </c>
      <c r="K16" s="9">
        <f>[1]TypeChart!G10</f>
        <v>1</v>
      </c>
      <c r="L16" s="9">
        <f>[1]TypeChart!H10</f>
        <v>1</v>
      </c>
      <c r="M16" s="9">
        <f>[1]TypeChart!I10</f>
        <v>2</v>
      </c>
      <c r="N16" s="9">
        <f>[1]TypeChart!J10</f>
        <v>1</v>
      </c>
      <c r="O16" s="9">
        <f>[1]TypeChart!K10</f>
        <v>0</v>
      </c>
      <c r="P16" s="9">
        <f>[1]TypeChart!L10</f>
        <v>1</v>
      </c>
      <c r="Q16" s="9">
        <f>[1]TypeChart!M10</f>
        <v>0.5</v>
      </c>
      <c r="R16" s="9">
        <f>[1]TypeChart!N10</f>
        <v>2</v>
      </c>
      <c r="S16" s="9">
        <f>[1]TypeChart!O10</f>
        <v>1</v>
      </c>
      <c r="T16" s="9">
        <f>[1]TypeChart!P10</f>
        <v>1</v>
      </c>
      <c r="U16" s="9">
        <f>[1]TypeChart!Q10</f>
        <v>1</v>
      </c>
      <c r="V16" s="9">
        <f>[1]TypeChart!R10</f>
        <v>2</v>
      </c>
      <c r="W16" s="9">
        <f>[1]TypeChart!S10</f>
        <v>1</v>
      </c>
      <c r="X16" s="9">
        <f>[1]TypeChart!T10</f>
        <v>1</v>
      </c>
      <c r="Y16" s="2"/>
      <c r="Z16" s="5"/>
      <c r="AA16" s="5"/>
      <c r="AB16" s="21" t="str">
        <f>IF(OR(AND(AD8="",AD10=""),AD12=""),
"",
IF(AD8="","",AD8)&amp;
IF(AD10="","",IF(AD8="",AD10," + "&amp;AD10))&amp;
" takes "&amp;
(IF(AD8="",
1,
VLOOKUP(AD12,[1]TypeChart!$A$1:$T$20,MATCH(AD8,[1]TypeChart!$A$1:$T$1,0),0))*
IF(AD10="",
1,
VLOOKUP(AD12,[1]TypeChart!$A$1:$T$20,MATCH(AD10,[1]TypeChart!$A$1:$T$1,0),0)))
*100)
&amp;IF(OR(AND(AD8="",AD10=""),AD12=""),"Waiting for input...","% damage from "&amp;AD12&amp;" type attack.")</f>
        <v>Ground + Psychic takes 100% damage from Ground type attack.</v>
      </c>
      <c r="AC16" s="21"/>
      <c r="AD16" s="21"/>
      <c r="AE16" s="21"/>
      <c r="AF16" s="5"/>
      <c r="AG16" s="5"/>
      <c r="AH16" s="5"/>
      <c r="AI16" s="5"/>
      <c r="AJ16" s="5"/>
    </row>
    <row r="17" spans="1:36" ht="20.25" customHeight="1" x14ac:dyDescent="0.25">
      <c r="A17" s="5"/>
      <c r="B17" s="2"/>
      <c r="C17" s="10" t="e" vm="29">
        <f>_xlfn.IMAGE(VLOOKUP([1]TypeChart!A11,[1]Types!$A:$C,3,0))</f>
        <v>#VALUE!</v>
      </c>
      <c r="D17" s="10"/>
      <c r="E17" s="8"/>
      <c r="F17" s="9">
        <f>[1]TypeChart!B11</f>
        <v>1</v>
      </c>
      <c r="G17" s="9">
        <f>[1]TypeChart!C11</f>
        <v>1</v>
      </c>
      <c r="H17" s="9">
        <f>[1]TypeChart!D11</f>
        <v>1</v>
      </c>
      <c r="I17" s="9">
        <f>[1]TypeChart!E11</f>
        <v>2</v>
      </c>
      <c r="J17" s="9">
        <f>[1]TypeChart!F11</f>
        <v>0.5</v>
      </c>
      <c r="K17" s="9">
        <f>[1]TypeChart!G11</f>
        <v>1</v>
      </c>
      <c r="L17" s="9">
        <f>[1]TypeChart!H11</f>
        <v>2</v>
      </c>
      <c r="M17" s="9">
        <f>[1]TypeChart!I11</f>
        <v>1</v>
      </c>
      <c r="N17" s="9">
        <f>[1]TypeChart!J11</f>
        <v>1</v>
      </c>
      <c r="O17" s="9">
        <f>[1]TypeChart!K11</f>
        <v>1</v>
      </c>
      <c r="P17" s="9">
        <f>[1]TypeChart!L11</f>
        <v>1</v>
      </c>
      <c r="Q17" s="9">
        <f>[1]TypeChart!M11</f>
        <v>2</v>
      </c>
      <c r="R17" s="9">
        <f>[1]TypeChart!N11</f>
        <v>0.5</v>
      </c>
      <c r="S17" s="9">
        <f>[1]TypeChart!O11</f>
        <v>1</v>
      </c>
      <c r="T17" s="9">
        <f>[1]TypeChart!P11</f>
        <v>1</v>
      </c>
      <c r="U17" s="9">
        <f>[1]TypeChart!Q11</f>
        <v>1</v>
      </c>
      <c r="V17" s="9">
        <f>[1]TypeChart!R11</f>
        <v>0.5</v>
      </c>
      <c r="W17" s="9">
        <f>[1]TypeChart!S11</f>
        <v>1</v>
      </c>
      <c r="X17" s="9">
        <f>[1]TypeChart!T11</f>
        <v>1</v>
      </c>
      <c r="Y17" s="2"/>
      <c r="Z17" s="5"/>
      <c r="AA17" s="5"/>
      <c r="AB17" s="21"/>
      <c r="AC17" s="21"/>
      <c r="AD17" s="21"/>
      <c r="AE17" s="21"/>
      <c r="AF17" s="5"/>
      <c r="AG17" s="5"/>
      <c r="AH17" s="5"/>
      <c r="AI17" s="5"/>
      <c r="AJ17" s="5"/>
    </row>
    <row r="18" spans="1:36" ht="20.25" customHeight="1" x14ac:dyDescent="0.25">
      <c r="A18" s="5"/>
      <c r="B18" s="2"/>
      <c r="C18" s="10" t="e" vm="30">
        <f>_xlfn.IMAGE(VLOOKUP([1]TypeChart!A12,[1]Types!$A:$C,3,0))</f>
        <v>#VALUE!</v>
      </c>
      <c r="D18" s="10"/>
      <c r="E18" s="8"/>
      <c r="F18" s="9">
        <f>[1]TypeChart!B12</f>
        <v>1</v>
      </c>
      <c r="G18" s="9">
        <f>[1]TypeChart!C12</f>
        <v>1</v>
      </c>
      <c r="H18" s="9">
        <f>[1]TypeChart!D12</f>
        <v>1</v>
      </c>
      <c r="I18" s="9">
        <f>[1]TypeChart!E12</f>
        <v>1</v>
      </c>
      <c r="J18" s="9">
        <f>[1]TypeChart!F12</f>
        <v>1</v>
      </c>
      <c r="K18" s="9">
        <f>[1]TypeChart!G12</f>
        <v>1</v>
      </c>
      <c r="L18" s="9">
        <f>[1]TypeChart!H12</f>
        <v>2</v>
      </c>
      <c r="M18" s="9">
        <f>[1]TypeChart!I12</f>
        <v>2</v>
      </c>
      <c r="N18" s="9">
        <f>[1]TypeChart!J12</f>
        <v>1</v>
      </c>
      <c r="O18" s="9">
        <f>[1]TypeChart!K12</f>
        <v>1</v>
      </c>
      <c r="P18" s="9">
        <f>[1]TypeChart!L12</f>
        <v>0.5</v>
      </c>
      <c r="Q18" s="9">
        <f>[1]TypeChart!M12</f>
        <v>1</v>
      </c>
      <c r="R18" s="9">
        <f>[1]TypeChart!N12</f>
        <v>1</v>
      </c>
      <c r="S18" s="9">
        <f>[1]TypeChart!O12</f>
        <v>1</v>
      </c>
      <c r="T18" s="9">
        <f>[1]TypeChart!P12</f>
        <v>1</v>
      </c>
      <c r="U18" s="9">
        <f>[1]TypeChart!Q12</f>
        <v>0</v>
      </c>
      <c r="V18" s="9">
        <f>[1]TypeChart!R12</f>
        <v>0.5</v>
      </c>
      <c r="W18" s="9">
        <f>[1]TypeChart!S12</f>
        <v>1</v>
      </c>
      <c r="X18" s="9">
        <f>[1]TypeChart!T12</f>
        <v>1</v>
      </c>
      <c r="Y18" s="2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</row>
    <row r="19" spans="1:36" ht="20.25" customHeight="1" x14ac:dyDescent="0.25">
      <c r="A19" s="5"/>
      <c r="B19" s="2"/>
      <c r="C19" s="10" t="e" vm="31">
        <f>_xlfn.IMAGE(VLOOKUP([1]TypeChart!A13,[1]Types!$A:$C,3,0))</f>
        <v>#VALUE!</v>
      </c>
      <c r="D19" s="10"/>
      <c r="E19" s="8"/>
      <c r="F19" s="9">
        <f>[1]TypeChart!B13</f>
        <v>1</v>
      </c>
      <c r="G19" s="9">
        <f>[1]TypeChart!C13</f>
        <v>0.5</v>
      </c>
      <c r="H19" s="9">
        <f>[1]TypeChart!D13</f>
        <v>1</v>
      </c>
      <c r="I19" s="9">
        <f>[1]TypeChart!E13</f>
        <v>2</v>
      </c>
      <c r="J19" s="9">
        <f>[1]TypeChart!F13</f>
        <v>1</v>
      </c>
      <c r="K19" s="9">
        <f>[1]TypeChart!G13</f>
        <v>1</v>
      </c>
      <c r="L19" s="9">
        <f>[1]TypeChart!H13</f>
        <v>0.5</v>
      </c>
      <c r="M19" s="9">
        <f>[1]TypeChart!I13</f>
        <v>0.5</v>
      </c>
      <c r="N19" s="9">
        <f>[1]TypeChart!J13</f>
        <v>1</v>
      </c>
      <c r="O19" s="9">
        <f>[1]TypeChart!K13</f>
        <v>0.5</v>
      </c>
      <c r="P19" s="9">
        <f>[1]TypeChart!L13</f>
        <v>2</v>
      </c>
      <c r="Q19" s="9">
        <f>[1]TypeChart!M13</f>
        <v>1</v>
      </c>
      <c r="R19" s="9">
        <f>[1]TypeChart!N13</f>
        <v>1</v>
      </c>
      <c r="S19" s="9">
        <f>[1]TypeChart!O13</f>
        <v>0.5</v>
      </c>
      <c r="T19" s="9">
        <f>[1]TypeChart!P13</f>
        <v>1</v>
      </c>
      <c r="U19" s="9">
        <f>[1]TypeChart!Q13</f>
        <v>2</v>
      </c>
      <c r="V19" s="9">
        <f>[1]TypeChart!R13</f>
        <v>0.5</v>
      </c>
      <c r="W19" s="9">
        <f>[1]TypeChart!S13</f>
        <v>0.5</v>
      </c>
      <c r="X19" s="9">
        <f>[1]TypeChart!T13</f>
        <v>1</v>
      </c>
      <c r="Y19" s="2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</row>
    <row r="20" spans="1:36" ht="20.25" customHeight="1" x14ac:dyDescent="0.25">
      <c r="A20" s="5"/>
      <c r="B20" s="2"/>
      <c r="C20" s="10" t="e" vm="32">
        <f>_xlfn.IMAGE(VLOOKUP([1]TypeChart!A14,[1]Types!$A:$C,3,0))</f>
        <v>#VALUE!</v>
      </c>
      <c r="D20" s="10"/>
      <c r="E20" s="8"/>
      <c r="F20" s="9">
        <f>[1]TypeChart!B14</f>
        <v>1</v>
      </c>
      <c r="G20" s="9">
        <f>[1]TypeChart!C14</f>
        <v>2</v>
      </c>
      <c r="H20" s="9">
        <f>[1]TypeChart!D14</f>
        <v>1</v>
      </c>
      <c r="I20" s="9">
        <f>[1]TypeChart!E14</f>
        <v>1</v>
      </c>
      <c r="J20" s="9">
        <f>[1]TypeChart!F14</f>
        <v>1</v>
      </c>
      <c r="K20" s="9">
        <f>[1]TypeChart!G14</f>
        <v>2</v>
      </c>
      <c r="L20" s="9">
        <f>[1]TypeChart!H14</f>
        <v>0.5</v>
      </c>
      <c r="M20" s="9">
        <f>[1]TypeChart!I14</f>
        <v>1</v>
      </c>
      <c r="N20" s="9">
        <f>[1]TypeChart!J14</f>
        <v>0.5</v>
      </c>
      <c r="O20" s="9">
        <f>[1]TypeChart!K14</f>
        <v>2</v>
      </c>
      <c r="P20" s="9">
        <f>[1]TypeChart!L14</f>
        <v>1</v>
      </c>
      <c r="Q20" s="9">
        <f>[1]TypeChart!M14</f>
        <v>2</v>
      </c>
      <c r="R20" s="9">
        <f>[1]TypeChart!N14</f>
        <v>1</v>
      </c>
      <c r="S20" s="9">
        <f>[1]TypeChart!O14</f>
        <v>1</v>
      </c>
      <c r="T20" s="9">
        <f>[1]TypeChart!P14</f>
        <v>1</v>
      </c>
      <c r="U20" s="9">
        <f>[1]TypeChart!Q14</f>
        <v>1</v>
      </c>
      <c r="V20" s="9">
        <f>[1]TypeChart!R14</f>
        <v>0.5</v>
      </c>
      <c r="W20" s="9">
        <f>[1]TypeChart!S14</f>
        <v>1</v>
      </c>
      <c r="X20" s="9">
        <f>[1]TypeChart!T14</f>
        <v>1</v>
      </c>
      <c r="Y20" s="2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</row>
    <row r="21" spans="1:36" ht="20.25" customHeight="1" x14ac:dyDescent="0.25">
      <c r="A21" s="5"/>
      <c r="B21" s="2"/>
      <c r="C21" s="10" t="e" vm="33">
        <f>_xlfn.IMAGE(VLOOKUP([1]TypeChart!A15,[1]Types!$A:$C,3,0))</f>
        <v>#VALUE!</v>
      </c>
      <c r="D21" s="10"/>
      <c r="E21" s="8"/>
      <c r="F21" s="9">
        <f>[1]TypeChart!B15</f>
        <v>0</v>
      </c>
      <c r="G21" s="9">
        <f>[1]TypeChart!C15</f>
        <v>1</v>
      </c>
      <c r="H21" s="9">
        <f>[1]TypeChart!D15</f>
        <v>1</v>
      </c>
      <c r="I21" s="9">
        <f>[1]TypeChart!E15</f>
        <v>1</v>
      </c>
      <c r="J21" s="9">
        <f>[1]TypeChart!F15</f>
        <v>1</v>
      </c>
      <c r="K21" s="9">
        <f>[1]TypeChart!G15</f>
        <v>1</v>
      </c>
      <c r="L21" s="9">
        <f>[1]TypeChart!H15</f>
        <v>1</v>
      </c>
      <c r="M21" s="9">
        <f>[1]TypeChart!I15</f>
        <v>1</v>
      </c>
      <c r="N21" s="9">
        <f>[1]TypeChart!J15</f>
        <v>1</v>
      </c>
      <c r="O21" s="9">
        <f>[1]TypeChart!K15</f>
        <v>1</v>
      </c>
      <c r="P21" s="9">
        <f>[1]TypeChart!L15</f>
        <v>2</v>
      </c>
      <c r="Q21" s="9">
        <f>[1]TypeChart!M15</f>
        <v>1</v>
      </c>
      <c r="R21" s="9">
        <f>[1]TypeChart!N15</f>
        <v>1</v>
      </c>
      <c r="S21" s="9">
        <f>[1]TypeChart!O15</f>
        <v>2</v>
      </c>
      <c r="T21" s="9">
        <f>[1]TypeChart!P15</f>
        <v>1</v>
      </c>
      <c r="U21" s="9">
        <f>[1]TypeChart!Q15</f>
        <v>0.5</v>
      </c>
      <c r="V21" s="9">
        <f>[1]TypeChart!R15</f>
        <v>1</v>
      </c>
      <c r="W21" s="9">
        <f>[1]TypeChart!S15</f>
        <v>1</v>
      </c>
      <c r="X21" s="9">
        <f>[1]TypeChart!T15</f>
        <v>1</v>
      </c>
      <c r="Y21" s="2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</row>
    <row r="22" spans="1:36" ht="20.25" customHeight="1" x14ac:dyDescent="0.25">
      <c r="A22" s="5"/>
      <c r="B22" s="2"/>
      <c r="C22" s="10" t="e" vm="34">
        <f>_xlfn.IMAGE(VLOOKUP([1]TypeChart!A16,[1]Types!$A:$C,3,0))</f>
        <v>#VALUE!</v>
      </c>
      <c r="D22" s="10"/>
      <c r="E22" s="8"/>
      <c r="F22" s="9">
        <f>[1]TypeChart!B16</f>
        <v>1</v>
      </c>
      <c r="G22" s="9">
        <f>[1]TypeChart!C16</f>
        <v>1</v>
      </c>
      <c r="H22" s="9">
        <f>[1]TypeChart!D16</f>
        <v>1</v>
      </c>
      <c r="I22" s="9">
        <f>[1]TypeChart!E16</f>
        <v>1</v>
      </c>
      <c r="J22" s="9">
        <f>[1]TypeChart!F16</f>
        <v>1</v>
      </c>
      <c r="K22" s="9">
        <f>[1]TypeChart!G16</f>
        <v>1</v>
      </c>
      <c r="L22" s="9">
        <f>[1]TypeChart!H16</f>
        <v>1</v>
      </c>
      <c r="M22" s="9">
        <f>[1]TypeChart!I16</f>
        <v>1</v>
      </c>
      <c r="N22" s="9">
        <f>[1]TypeChart!J16</f>
        <v>1</v>
      </c>
      <c r="O22" s="9">
        <f>[1]TypeChart!K16</f>
        <v>1</v>
      </c>
      <c r="P22" s="9">
        <f>[1]TypeChart!L16</f>
        <v>1</v>
      </c>
      <c r="Q22" s="9">
        <f>[1]TypeChart!M16</f>
        <v>1</v>
      </c>
      <c r="R22" s="9">
        <f>[1]TypeChart!N16</f>
        <v>1</v>
      </c>
      <c r="S22" s="9">
        <f>[1]TypeChart!O16</f>
        <v>1</v>
      </c>
      <c r="T22" s="9">
        <f>[1]TypeChart!P16</f>
        <v>2</v>
      </c>
      <c r="U22" s="9">
        <f>[1]TypeChart!Q16</f>
        <v>1</v>
      </c>
      <c r="V22" s="9">
        <f>[1]TypeChart!R16</f>
        <v>0.5</v>
      </c>
      <c r="W22" s="9">
        <f>[1]TypeChart!S16</f>
        <v>0</v>
      </c>
      <c r="X22" s="9">
        <f>[1]TypeChart!T16</f>
        <v>1</v>
      </c>
      <c r="Y22" s="2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</row>
    <row r="23" spans="1:36" ht="20.25" customHeight="1" x14ac:dyDescent="0.25">
      <c r="A23" s="5"/>
      <c r="B23" s="2"/>
      <c r="C23" s="10" t="e" vm="35">
        <f>_xlfn.IMAGE(VLOOKUP([1]TypeChart!A17,[1]Types!$A:$C,3,0))</f>
        <v>#VALUE!</v>
      </c>
      <c r="D23" s="10"/>
      <c r="E23" s="8"/>
      <c r="F23" s="9">
        <f>[1]TypeChart!B17</f>
        <v>1</v>
      </c>
      <c r="G23" s="9">
        <f>[1]TypeChart!C17</f>
        <v>1</v>
      </c>
      <c r="H23" s="9">
        <f>[1]TypeChart!D17</f>
        <v>1</v>
      </c>
      <c r="I23" s="9">
        <f>[1]TypeChart!E17</f>
        <v>1</v>
      </c>
      <c r="J23" s="9">
        <f>[1]TypeChart!F17</f>
        <v>1</v>
      </c>
      <c r="K23" s="9">
        <f>[1]TypeChart!G17</f>
        <v>1</v>
      </c>
      <c r="L23" s="9">
        <f>[1]TypeChart!H17</f>
        <v>0.5</v>
      </c>
      <c r="M23" s="9">
        <f>[1]TypeChart!I17</f>
        <v>1</v>
      </c>
      <c r="N23" s="9">
        <f>[1]TypeChart!J17</f>
        <v>1</v>
      </c>
      <c r="O23" s="9">
        <f>[1]TypeChart!K17</f>
        <v>1</v>
      </c>
      <c r="P23" s="9">
        <f>[1]TypeChart!L17</f>
        <v>2</v>
      </c>
      <c r="Q23" s="9">
        <f>[1]TypeChart!M17</f>
        <v>1</v>
      </c>
      <c r="R23" s="9">
        <f>[1]TypeChart!N17</f>
        <v>1</v>
      </c>
      <c r="S23" s="9">
        <f>[1]TypeChart!O17</f>
        <v>2</v>
      </c>
      <c r="T23" s="9">
        <f>[1]TypeChart!P17</f>
        <v>1</v>
      </c>
      <c r="U23" s="9">
        <f>[1]TypeChart!Q17</f>
        <v>0.5</v>
      </c>
      <c r="V23" s="9">
        <f>[1]TypeChart!R17</f>
        <v>1</v>
      </c>
      <c r="W23" s="9">
        <f>[1]TypeChart!S17</f>
        <v>0.5</v>
      </c>
      <c r="X23" s="9">
        <f>[1]TypeChart!T17</f>
        <v>1</v>
      </c>
      <c r="Y23" s="2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</row>
    <row r="24" spans="1:36" ht="20.25" customHeight="1" x14ac:dyDescent="0.25">
      <c r="A24" s="5"/>
      <c r="B24" s="2"/>
      <c r="C24" s="10" t="e" vm="36">
        <f>_xlfn.IMAGE(VLOOKUP([1]TypeChart!A18,[1]Types!$A:$C,3,0))</f>
        <v>#VALUE!</v>
      </c>
      <c r="D24" s="10"/>
      <c r="E24" s="8"/>
      <c r="F24" s="9">
        <f>[1]TypeChart!B18</f>
        <v>1</v>
      </c>
      <c r="G24" s="9">
        <f>[1]TypeChart!C18</f>
        <v>0.5</v>
      </c>
      <c r="H24" s="9">
        <f>[1]TypeChart!D18</f>
        <v>0.5</v>
      </c>
      <c r="I24" s="9">
        <f>[1]TypeChart!E18</f>
        <v>1</v>
      </c>
      <c r="J24" s="9">
        <f>[1]TypeChart!F18</f>
        <v>0.5</v>
      </c>
      <c r="K24" s="9">
        <f>[1]TypeChart!G18</f>
        <v>2</v>
      </c>
      <c r="L24" s="9">
        <f>[1]TypeChart!H18</f>
        <v>1</v>
      </c>
      <c r="M24" s="9">
        <f>[1]TypeChart!I18</f>
        <v>1</v>
      </c>
      <c r="N24" s="9">
        <f>[1]TypeChart!J18</f>
        <v>1</v>
      </c>
      <c r="O24" s="9">
        <f>[1]TypeChart!K18</f>
        <v>1</v>
      </c>
      <c r="P24" s="9">
        <f>[1]TypeChart!L18</f>
        <v>1</v>
      </c>
      <c r="Q24" s="9">
        <f>[1]TypeChart!M18</f>
        <v>1</v>
      </c>
      <c r="R24" s="9">
        <f>[1]TypeChart!N18</f>
        <v>2</v>
      </c>
      <c r="S24" s="9">
        <f>[1]TypeChart!O18</f>
        <v>1</v>
      </c>
      <c r="T24" s="9">
        <f>[1]TypeChart!P18</f>
        <v>1</v>
      </c>
      <c r="U24" s="9">
        <f>[1]TypeChart!Q18</f>
        <v>1</v>
      </c>
      <c r="V24" s="9">
        <f>[1]TypeChart!R18</f>
        <v>0.5</v>
      </c>
      <c r="W24" s="9">
        <f>[1]TypeChart!S18</f>
        <v>2</v>
      </c>
      <c r="X24" s="9">
        <f>[1]TypeChart!T18</f>
        <v>1</v>
      </c>
      <c r="Y24" s="2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</row>
    <row r="25" spans="1:36" ht="20.25" customHeight="1" x14ac:dyDescent="0.25">
      <c r="A25" s="5"/>
      <c r="B25" s="2"/>
      <c r="C25" s="10" t="e" vm="37">
        <f>_xlfn.IMAGE(VLOOKUP([1]TypeChart!A19,[1]Types!$A:$C,3,0))</f>
        <v>#VALUE!</v>
      </c>
      <c r="D25" s="10"/>
      <c r="E25" s="8"/>
      <c r="F25" s="9">
        <f>[1]TypeChart!B19</f>
        <v>1</v>
      </c>
      <c r="G25" s="9">
        <f>[1]TypeChart!C19</f>
        <v>0.5</v>
      </c>
      <c r="H25" s="9">
        <f>[1]TypeChart!D19</f>
        <v>1</v>
      </c>
      <c r="I25" s="9">
        <f>[1]TypeChart!E19</f>
        <v>1</v>
      </c>
      <c r="J25" s="9">
        <f>[1]TypeChart!F19</f>
        <v>1</v>
      </c>
      <c r="K25" s="9">
        <f>[1]TypeChart!G19</f>
        <v>1</v>
      </c>
      <c r="L25" s="9">
        <f>[1]TypeChart!H19</f>
        <v>2</v>
      </c>
      <c r="M25" s="9">
        <f>[1]TypeChart!I19</f>
        <v>0.5</v>
      </c>
      <c r="N25" s="9">
        <f>[1]TypeChart!J19</f>
        <v>1</v>
      </c>
      <c r="O25" s="9">
        <f>[1]TypeChart!K19</f>
        <v>1</v>
      </c>
      <c r="P25" s="9">
        <f>[1]TypeChart!L19</f>
        <v>1</v>
      </c>
      <c r="Q25" s="9">
        <f>[1]TypeChart!M19</f>
        <v>1</v>
      </c>
      <c r="R25" s="9">
        <f>[1]TypeChart!N19</f>
        <v>1</v>
      </c>
      <c r="S25" s="9">
        <f>[1]TypeChart!O19</f>
        <v>1</v>
      </c>
      <c r="T25" s="9">
        <f>[1]TypeChart!P19</f>
        <v>2</v>
      </c>
      <c r="U25" s="9">
        <f>[1]TypeChart!Q19</f>
        <v>2</v>
      </c>
      <c r="V25" s="9">
        <f>[1]TypeChart!R19</f>
        <v>0.5</v>
      </c>
      <c r="W25" s="9">
        <f>[1]TypeChart!S19</f>
        <v>1</v>
      </c>
      <c r="X25" s="9">
        <f>[1]TypeChart!T19</f>
        <v>1</v>
      </c>
      <c r="Y25" s="2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</row>
    <row r="26" spans="1:36" ht="20.25" customHeight="1" x14ac:dyDescent="0.25">
      <c r="A26" s="5"/>
      <c r="B26" s="2"/>
      <c r="C26" s="10" t="e" vm="38">
        <f>_xlfn.IMAGE(VLOOKUP([1]TypeChart!A20,[1]Types!$A:$C,3,0))</f>
        <v>#VALUE!</v>
      </c>
      <c r="D26" s="10"/>
      <c r="E26" s="8"/>
      <c r="F26" s="9">
        <f>[1]TypeChart!B20</f>
        <v>1</v>
      </c>
      <c r="G26" s="9">
        <f>[1]TypeChart!C20</f>
        <v>1</v>
      </c>
      <c r="H26" s="9">
        <f>[1]TypeChart!D20</f>
        <v>1</v>
      </c>
      <c r="I26" s="9">
        <f>[1]TypeChart!E20</f>
        <v>1</v>
      </c>
      <c r="J26" s="9">
        <f>[1]TypeChart!F20</f>
        <v>1</v>
      </c>
      <c r="K26" s="9">
        <f>[1]TypeChart!G20</f>
        <v>1</v>
      </c>
      <c r="L26" s="9">
        <f>[1]TypeChart!H20</f>
        <v>1</v>
      </c>
      <c r="M26" s="9">
        <f>[1]TypeChart!I20</f>
        <v>1</v>
      </c>
      <c r="N26" s="9">
        <f>[1]TypeChart!J20</f>
        <v>1</v>
      </c>
      <c r="O26" s="9">
        <f>[1]TypeChart!K20</f>
        <v>1</v>
      </c>
      <c r="P26" s="9">
        <f>[1]TypeChart!L20</f>
        <v>1</v>
      </c>
      <c r="Q26" s="9">
        <f>[1]TypeChart!M20</f>
        <v>1</v>
      </c>
      <c r="R26" s="9">
        <f>[1]TypeChart!N20</f>
        <v>1</v>
      </c>
      <c r="S26" s="9">
        <f>[1]TypeChart!O20</f>
        <v>1</v>
      </c>
      <c r="T26" s="9">
        <f>[1]TypeChart!P20</f>
        <v>1</v>
      </c>
      <c r="U26" s="9">
        <f>[1]TypeChart!Q20</f>
        <v>1</v>
      </c>
      <c r="V26" s="9">
        <f>[1]TypeChart!R20</f>
        <v>1</v>
      </c>
      <c r="W26" s="9">
        <f>[1]TypeChart!S20</f>
        <v>1</v>
      </c>
      <c r="X26" s="9">
        <f>[1]TypeChart!T20</f>
        <v>2</v>
      </c>
      <c r="Y26" s="2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</row>
    <row r="27" spans="1:36" ht="7.5" customHeight="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</row>
    <row r="28" spans="1:36" ht="7.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</row>
    <row r="29" spans="1:36" ht="30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</row>
    <row r="30" spans="1:36" ht="36.75" hidden="1" customHeight="1" x14ac:dyDescent="0.25"/>
    <row r="31" spans="1:36" ht="36.75" hidden="1" customHeight="1" x14ac:dyDescent="0.25"/>
    <row r="32" spans="1:36" ht="36.75" hidden="1" customHeight="1" x14ac:dyDescent="0.25"/>
    <row r="33" s="6" customFormat="1" ht="36.75" hidden="1" customHeight="1" x14ac:dyDescent="0.25"/>
    <row r="34" s="6" customFormat="1" ht="36.75" hidden="1" customHeight="1" x14ac:dyDescent="0.25"/>
    <row r="35" s="6" customFormat="1" ht="36.75" hidden="1" customHeight="1" x14ac:dyDescent="0.25"/>
    <row r="36" s="6" customFormat="1" ht="36.75" hidden="1" customHeight="1" x14ac:dyDescent="0.25"/>
    <row r="37" s="6" customFormat="1" ht="36.75" hidden="1" customHeight="1" x14ac:dyDescent="0.25"/>
    <row r="38" s="6" customFormat="1" ht="36.75" hidden="1" customHeight="1" x14ac:dyDescent="0.25"/>
    <row r="39" s="6" customFormat="1" ht="36.75" hidden="1" customHeight="1" x14ac:dyDescent="0.25"/>
    <row r="40" s="6" customFormat="1" ht="36.75" hidden="1" customHeight="1" x14ac:dyDescent="0.25"/>
    <row r="41" s="6" customFormat="1" ht="36.75" hidden="1" customHeight="1" x14ac:dyDescent="0.25"/>
    <row r="42" s="6" customFormat="1" ht="36.75" hidden="1" customHeight="1" x14ac:dyDescent="0.25"/>
    <row r="43" s="6" customFormat="1" ht="36.75" hidden="1" customHeight="1" x14ac:dyDescent="0.25"/>
    <row r="44" s="6" customFormat="1" ht="36.75" hidden="1" customHeight="1" x14ac:dyDescent="0.25"/>
    <row r="45" s="6" customFormat="1" ht="36.75" hidden="1" customHeight="1" x14ac:dyDescent="0.25"/>
    <row r="46" s="6" customFormat="1" ht="36.75" hidden="1" customHeight="1" x14ac:dyDescent="0.25"/>
    <row r="47" s="6" customFormat="1" ht="36.75" hidden="1" customHeight="1" x14ac:dyDescent="0.25"/>
    <row r="48" s="6" customFormat="1" ht="36.75" hidden="1" customHeight="1" x14ac:dyDescent="0.25"/>
    <row r="49" s="6" customFormat="1" ht="36.75" hidden="1" customHeight="1" x14ac:dyDescent="0.25"/>
    <row r="50" s="6" customFormat="1" ht="36.75" hidden="1" customHeight="1" x14ac:dyDescent="0.25"/>
    <row r="51" s="6" customFormat="1" ht="36.75" hidden="1" customHeight="1" x14ac:dyDescent="0.25"/>
    <row r="52" s="6" customFormat="1" ht="36.75" hidden="1" customHeight="1" x14ac:dyDescent="0.25"/>
    <row r="53" s="6" customFormat="1" ht="36.75" hidden="1" customHeight="1" x14ac:dyDescent="0.25"/>
    <row r="54" s="6" customFormat="1" ht="36.75" hidden="1" customHeight="1" x14ac:dyDescent="0.25"/>
    <row r="55" s="6" customFormat="1" ht="36.75" hidden="1" customHeight="1" x14ac:dyDescent="0.25"/>
    <row r="56" s="6" customFormat="1" ht="36.75" hidden="1" customHeight="1" x14ac:dyDescent="0.25"/>
    <row r="57" s="6" customFormat="1" ht="36.75" hidden="1" customHeight="1" x14ac:dyDescent="0.25"/>
    <row r="58" s="6" customFormat="1" ht="36.75" hidden="1" customHeight="1" x14ac:dyDescent="0.25"/>
    <row r="59" s="6" customFormat="1" ht="36.75" hidden="1" customHeight="1" x14ac:dyDescent="0.25"/>
    <row r="60" s="6" customFormat="1" ht="36.75" hidden="1" customHeight="1" x14ac:dyDescent="0.25"/>
    <row r="61" s="6" customFormat="1" ht="36.75" hidden="1" customHeight="1" x14ac:dyDescent="0.25"/>
    <row r="62" s="6" customFormat="1" ht="36.75" hidden="1" customHeight="1" x14ac:dyDescent="0.25"/>
    <row r="63" s="6" customFormat="1" ht="36.75" hidden="1" customHeight="1" x14ac:dyDescent="0.25"/>
    <row r="64" s="6" customFormat="1" ht="36.75" hidden="1" customHeight="1" x14ac:dyDescent="0.25"/>
    <row r="65" s="6" customFormat="1" ht="36.75" hidden="1" customHeight="1" x14ac:dyDescent="0.25"/>
    <row r="66" s="6" customFormat="1" ht="36.75" hidden="1" customHeight="1" x14ac:dyDescent="0.25"/>
    <row r="67" s="6" customFormat="1" ht="36.75" hidden="1" customHeight="1" x14ac:dyDescent="0.25"/>
    <row r="68" s="6" customFormat="1" ht="36.75" hidden="1" customHeight="1" x14ac:dyDescent="0.25"/>
    <row r="69" s="6" customFormat="1" ht="36.75" hidden="1" customHeight="1" x14ac:dyDescent="0.25"/>
    <row r="70" s="6" customFormat="1" ht="36.75" hidden="1" customHeight="1" x14ac:dyDescent="0.25"/>
    <row r="71" s="6" customFormat="1" ht="36.75" hidden="1" customHeight="1" x14ac:dyDescent="0.25"/>
    <row r="72" s="6" customFormat="1" ht="36.75" hidden="1" customHeight="1" x14ac:dyDescent="0.25"/>
    <row r="73" s="6" customFormat="1" ht="36.75" hidden="1" customHeight="1" x14ac:dyDescent="0.25"/>
    <row r="74" s="6" customFormat="1" ht="36.75" hidden="1" customHeight="1" x14ac:dyDescent="0.25"/>
    <row r="75" s="6" customFormat="1" ht="36.75" hidden="1" customHeight="1" x14ac:dyDescent="0.25"/>
    <row r="76" s="6" customFormat="1" ht="36.75" hidden="1" customHeight="1" x14ac:dyDescent="0.25"/>
    <row r="77" s="6" customFormat="1" ht="36.75" hidden="1" customHeight="1" x14ac:dyDescent="0.25"/>
    <row r="78" s="6" customFormat="1" ht="36.75" hidden="1" customHeight="1" x14ac:dyDescent="0.25"/>
    <row r="79" s="6" customFormat="1" ht="36.75" hidden="1" customHeight="1" x14ac:dyDescent="0.25"/>
    <row r="80" s="6" customFormat="1" ht="36.75" hidden="1" customHeight="1" x14ac:dyDescent="0.25"/>
    <row r="81" s="6" customFormat="1" ht="36.75" hidden="1" customHeight="1" x14ac:dyDescent="0.25"/>
    <row r="82" s="6" customFormat="1" ht="36.75" hidden="1" customHeight="1" x14ac:dyDescent="0.25"/>
    <row r="83" s="6" customFormat="1" ht="36.75" hidden="1" customHeight="1" x14ac:dyDescent="0.25"/>
    <row r="84" s="6" customFormat="1" ht="36.75" hidden="1" customHeight="1" x14ac:dyDescent="0.25"/>
    <row r="85" s="6" customFormat="1" ht="36.75" hidden="1" customHeight="1" x14ac:dyDescent="0.25"/>
    <row r="86" s="6" customFormat="1" ht="36.75" hidden="1" customHeight="1" x14ac:dyDescent="0.25"/>
    <row r="87" s="6" customFormat="1" ht="36.75" hidden="1" customHeight="1" x14ac:dyDescent="0.25"/>
    <row r="88" s="6" customFormat="1" ht="36.75" hidden="1" customHeight="1" x14ac:dyDescent="0.25"/>
    <row r="89" s="6" customFormat="1" ht="36.75" hidden="1" customHeight="1" x14ac:dyDescent="0.25"/>
    <row r="90" s="6" customFormat="1" ht="36.75" hidden="1" customHeight="1" x14ac:dyDescent="0.25"/>
    <row r="91" s="6" customFormat="1" ht="36.75" hidden="1" customHeight="1" x14ac:dyDescent="0.25"/>
    <row r="92" s="6" customFormat="1" ht="36.75" hidden="1" customHeight="1" x14ac:dyDescent="0.25"/>
    <row r="93" s="6" customFormat="1" ht="36.75" hidden="1" customHeight="1" x14ac:dyDescent="0.25"/>
    <row r="94" s="6" customFormat="1" ht="36.75" hidden="1" customHeight="1" x14ac:dyDescent="0.25"/>
    <row r="95" s="6" customFormat="1" ht="36.75" hidden="1" customHeight="1" x14ac:dyDescent="0.25"/>
    <row r="96" s="6" customFormat="1" ht="36.75" hidden="1" customHeight="1" x14ac:dyDescent="0.25"/>
    <row r="97" s="6" customFormat="1" ht="36.75" hidden="1" customHeight="1" x14ac:dyDescent="0.25"/>
    <row r="98" s="6" customFormat="1" ht="36.75" hidden="1" customHeight="1" x14ac:dyDescent="0.25"/>
    <row r="99" s="6" customFormat="1" ht="36.75" hidden="1" customHeight="1" x14ac:dyDescent="0.25"/>
    <row r="100" s="6" customFormat="1" ht="36.75" hidden="1" customHeight="1" x14ac:dyDescent="0.25"/>
    <row r="101" s="6" customFormat="1" ht="36.75" hidden="1" customHeight="1" x14ac:dyDescent="0.25"/>
    <row r="102" s="6" customFormat="1" ht="36.75" hidden="1" customHeight="1" x14ac:dyDescent="0.25"/>
    <row r="103" s="6" customFormat="1" ht="36.75" hidden="1" customHeight="1" x14ac:dyDescent="0.25"/>
    <row r="104" s="6" customFormat="1" ht="36.75" hidden="1" customHeight="1" x14ac:dyDescent="0.25"/>
    <row r="105" s="6" customFormat="1" ht="36.75" hidden="1" customHeight="1" x14ac:dyDescent="0.25"/>
    <row r="106" s="6" customFormat="1" ht="36.75" hidden="1" customHeight="1" x14ac:dyDescent="0.25"/>
    <row r="107" s="6" customFormat="1" ht="36.75" hidden="1" customHeight="1" x14ac:dyDescent="0.25"/>
    <row r="108" s="6" customFormat="1" ht="36.75" hidden="1" customHeight="1" x14ac:dyDescent="0.25"/>
    <row r="109" s="6" customFormat="1" ht="36.75" hidden="1" customHeight="1" x14ac:dyDescent="0.25"/>
    <row r="110" s="6" customFormat="1" ht="36.75" hidden="1" customHeight="1" x14ac:dyDescent="0.25"/>
    <row r="111" s="6" customFormat="1" ht="36.75" hidden="1" customHeight="1" x14ac:dyDescent="0.25"/>
    <row r="112" s="6" customFormat="1" ht="36.75" hidden="1" customHeight="1" x14ac:dyDescent="0.25"/>
    <row r="113" s="6" customFormat="1" ht="36.75" hidden="1" customHeight="1" x14ac:dyDescent="0.25"/>
    <row r="114" s="6" customFormat="1" ht="36.75" hidden="1" customHeight="1" x14ac:dyDescent="0.25"/>
    <row r="115" s="6" customFormat="1" ht="36.75" hidden="1" customHeight="1" x14ac:dyDescent="0.25"/>
    <row r="116" s="6" customFormat="1" ht="36.75" hidden="1" customHeight="1" x14ac:dyDescent="0.25"/>
    <row r="117" s="6" customFormat="1" ht="36.75" hidden="1" customHeight="1" x14ac:dyDescent="0.25"/>
    <row r="118" s="6" customFormat="1" ht="36.75" hidden="1" customHeight="1" x14ac:dyDescent="0.25"/>
    <row r="119" s="6" customFormat="1" ht="36.75" hidden="1" customHeight="1" x14ac:dyDescent="0.25"/>
    <row r="120" s="6" customFormat="1" ht="36.75" hidden="1" customHeight="1" x14ac:dyDescent="0.25"/>
    <row r="121" s="6" customFormat="1" ht="36.75" hidden="1" customHeight="1" x14ac:dyDescent="0.25"/>
    <row r="122" s="6" customFormat="1" ht="36.75" hidden="1" customHeight="1" x14ac:dyDescent="0.25"/>
    <row r="123" s="6" customFormat="1" ht="36.75" hidden="1" customHeight="1" x14ac:dyDescent="0.25"/>
    <row r="124" s="6" customFormat="1" ht="36.75" hidden="1" customHeight="1" x14ac:dyDescent="0.25"/>
    <row r="125" s="6" customFormat="1" ht="36.75" hidden="1" customHeight="1" x14ac:dyDescent="0.25"/>
    <row r="126" s="6" customFormat="1" ht="36.75" hidden="1" customHeight="1" x14ac:dyDescent="0.25"/>
    <row r="127" s="6" customFormat="1" ht="36.75" hidden="1" customHeight="1" x14ac:dyDescent="0.25"/>
    <row r="128" s="6" customFormat="1" ht="36.75" hidden="1" customHeight="1" x14ac:dyDescent="0.25"/>
    <row r="129" s="6" customFormat="1" ht="36.75" hidden="1" customHeight="1" x14ac:dyDescent="0.25"/>
    <row r="130" s="6" customFormat="1" ht="36.75" hidden="1" customHeight="1" x14ac:dyDescent="0.25"/>
    <row r="131" s="6" customFormat="1" ht="36.75" hidden="1" customHeight="1" x14ac:dyDescent="0.25"/>
    <row r="132" s="6" customFormat="1" ht="36.75" hidden="1" customHeight="1" x14ac:dyDescent="0.25"/>
    <row r="133" s="6" customFormat="1" ht="36.75" hidden="1" customHeight="1" x14ac:dyDescent="0.25"/>
    <row r="134" s="6" customFormat="1" ht="36.75" hidden="1" customHeight="1" x14ac:dyDescent="0.25"/>
    <row r="135" s="6" customFormat="1" ht="36.75" hidden="1" customHeight="1" x14ac:dyDescent="0.25"/>
    <row r="136" s="6" customFormat="1" ht="36.75" hidden="1" customHeight="1" x14ac:dyDescent="0.25"/>
    <row r="137" s="6" customFormat="1" ht="36.75" hidden="1" customHeight="1" x14ac:dyDescent="0.25"/>
    <row r="138" s="6" customFormat="1" ht="36.75" hidden="1" customHeight="1" x14ac:dyDescent="0.25"/>
    <row r="139" s="6" customFormat="1" ht="36.75" hidden="1" customHeight="1" x14ac:dyDescent="0.25"/>
    <row r="140" s="6" customFormat="1" ht="36.75" hidden="1" customHeight="1" x14ac:dyDescent="0.25"/>
    <row r="141" s="6" customFormat="1" ht="36.75" hidden="1" customHeight="1" x14ac:dyDescent="0.25"/>
    <row r="142" s="6" customFormat="1" ht="36.75" hidden="1" customHeight="1" x14ac:dyDescent="0.25"/>
    <row r="143" s="6" customFormat="1" ht="36.75" hidden="1" customHeight="1" x14ac:dyDescent="0.25"/>
    <row r="144" s="6" customFormat="1" ht="36.75" hidden="1" customHeight="1" x14ac:dyDescent="0.25"/>
    <row r="145" s="6" customFormat="1" ht="36.75" hidden="1" customHeight="1" x14ac:dyDescent="0.25"/>
    <row r="146" s="6" customFormat="1" ht="36.75" hidden="1" customHeight="1" x14ac:dyDescent="0.25"/>
    <row r="147" s="6" customFormat="1" ht="36.75" hidden="1" customHeight="1" x14ac:dyDescent="0.25"/>
    <row r="148" s="6" customFormat="1" ht="36.75" hidden="1" customHeight="1" x14ac:dyDescent="0.25"/>
    <row r="149" s="6" customFormat="1" ht="36.75" hidden="1" customHeight="1" x14ac:dyDescent="0.25"/>
    <row r="150" s="6" customFormat="1" ht="36.75" hidden="1" customHeight="1" x14ac:dyDescent="0.25"/>
    <row r="151" s="6" customFormat="1" ht="36.75" hidden="1" customHeight="1" x14ac:dyDescent="0.25"/>
    <row r="152" s="6" customFormat="1" ht="36.75" hidden="1" customHeight="1" x14ac:dyDescent="0.25"/>
    <row r="153" s="6" customFormat="1" ht="36.75" hidden="1" customHeight="1" x14ac:dyDescent="0.25"/>
    <row r="154" s="6" customFormat="1" ht="36.75" hidden="1" customHeight="1" x14ac:dyDescent="0.25"/>
  </sheetData>
  <sheetProtection algorithmName="SHA-512" hashValue="P29jYofejKcE4JYmQ4vRh9TiJvi4wBhkAXI2vUu+ca1k2QEIw1t75HcBgVN7gn59v2wE+X8sqz1mmiYjs1u50g==" saltValue="rOuoKw6mPa0SXwpW2jUeUQ==" spinCount="100000" sheet="1" objects="1" scenarios="1"/>
  <mergeCells count="49">
    <mergeCell ref="AD12:AE13"/>
    <mergeCell ref="C26:D26"/>
    <mergeCell ref="C20:D20"/>
    <mergeCell ref="C21:D21"/>
    <mergeCell ref="C22:D22"/>
    <mergeCell ref="C23:D23"/>
    <mergeCell ref="C24:D24"/>
    <mergeCell ref="C25:D25"/>
    <mergeCell ref="C19:D1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AB16:AE17"/>
    <mergeCell ref="AB10:AC11"/>
    <mergeCell ref="AD10:AE11"/>
    <mergeCell ref="AB12:AC13"/>
    <mergeCell ref="U5:U6"/>
    <mergeCell ref="V5:V6"/>
    <mergeCell ref="W5:W6"/>
    <mergeCell ref="X5:X6"/>
    <mergeCell ref="M5:M6"/>
    <mergeCell ref="N5:N6"/>
    <mergeCell ref="O5:O6"/>
    <mergeCell ref="C8:D8"/>
    <mergeCell ref="C9:D9"/>
    <mergeCell ref="AB8:AC9"/>
    <mergeCell ref="AD8:AE9"/>
    <mergeCell ref="P5:P6"/>
    <mergeCell ref="Q5:Q6"/>
    <mergeCell ref="R5:R6"/>
    <mergeCell ref="B1:N1"/>
    <mergeCell ref="B2:X2"/>
    <mergeCell ref="C5:D5"/>
    <mergeCell ref="F5:F6"/>
    <mergeCell ref="G5:G6"/>
    <mergeCell ref="H5:H6"/>
    <mergeCell ref="I5:I6"/>
    <mergeCell ref="J5:J6"/>
    <mergeCell ref="K5:K6"/>
    <mergeCell ref="L5:L6"/>
    <mergeCell ref="C6:D6"/>
    <mergeCell ref="S5:S6"/>
    <mergeCell ref="T5:T6"/>
  </mergeCells>
  <conditionalFormatting sqref="F8:X2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0.5</formula>
    </cfRule>
    <cfRule type="cellIs" dxfId="6" priority="10" operator="equal">
      <formula>1</formula>
    </cfRule>
  </conditionalFormatting>
  <conditionalFormatting sqref="AB16:AE17">
    <cfRule type="containsText" dxfId="0" priority="5" operator="containsText" text="400%">
      <formula>NOT(ISERROR(SEARCH("400%",AB16)))</formula>
    </cfRule>
    <cfRule type="containsText" dxfId="1" priority="4" operator="containsText" text="200%">
      <formula>NOT(ISERROR(SEARCH("200%",AB16)))</formula>
    </cfRule>
    <cfRule type="containsText" dxfId="2" priority="3" operator="containsText" text="25%">
      <formula>NOT(ISERROR(SEARCH("25%",AB16)))</formula>
    </cfRule>
    <cfRule type="containsText" dxfId="3" priority="2" operator="containsText" text="50%">
      <formula>NOT(ISERROR(SEARCH("50%",AB16)))</formula>
    </cfRule>
    <cfRule type="containsText" dxfId="4" priority="6" operator="containsText" text="0%">
      <formula>NOT(ISERROR(SEARCH("0%",AB16)))</formula>
    </cfRule>
    <cfRule type="containsText" dxfId="5" priority="1" operator="containsText" text="100%">
      <formula>NOT(ISERROR(SEARCH("100%",AB16)))</formula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05635E-F531-462E-962B-C0E2A3A7EE6A}">
          <x14:formula1>
            <xm:f>LISTS!$A$2:$A$25</xm:f>
          </x14:formula1>
          <xm:sqref>AD12 AD8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7490D-EC94-49FF-A20F-AA24AB2477F4}">
  <sheetPr>
    <tabColor theme="1"/>
  </sheetPr>
  <dimension ref="A1:A20"/>
  <sheetViews>
    <sheetView workbookViewId="0">
      <selection activeCell="A20" sqref="A20"/>
    </sheetView>
  </sheetViews>
  <sheetFormatPr defaultRowHeight="15" x14ac:dyDescent="0.25"/>
  <sheetData>
    <row r="1" spans="1:1" x14ac:dyDescent="0.25">
      <c r="A1" t="s">
        <v>5</v>
      </c>
    </row>
    <row r="2" spans="1:1" x14ac:dyDescent="0.25">
      <c r="A2" t="str">
        <f>[1]TypeChart!A2</f>
        <v>Normal</v>
      </c>
    </row>
    <row r="3" spans="1:1" x14ac:dyDescent="0.25">
      <c r="A3" t="str">
        <f>[1]TypeChart!A3</f>
        <v>Fire</v>
      </c>
    </row>
    <row r="4" spans="1:1" x14ac:dyDescent="0.25">
      <c r="A4" t="str">
        <f>[1]TypeChart!A4</f>
        <v>Water</v>
      </c>
    </row>
    <row r="5" spans="1:1" x14ac:dyDescent="0.25">
      <c r="A5" t="str">
        <f>[1]TypeChart!A5</f>
        <v>Grass</v>
      </c>
    </row>
    <row r="6" spans="1:1" x14ac:dyDescent="0.25">
      <c r="A6" t="str">
        <f>[1]TypeChart!A6</f>
        <v>Electric</v>
      </c>
    </row>
    <row r="7" spans="1:1" x14ac:dyDescent="0.25">
      <c r="A7" t="str">
        <f>[1]TypeChart!A7</f>
        <v>Ice</v>
      </c>
    </row>
    <row r="8" spans="1:1" x14ac:dyDescent="0.25">
      <c r="A8" t="str">
        <f>[1]TypeChart!A8</f>
        <v>Fighting</v>
      </c>
    </row>
    <row r="9" spans="1:1" x14ac:dyDescent="0.25">
      <c r="A9" t="str">
        <f>[1]TypeChart!A9</f>
        <v>Poison</v>
      </c>
    </row>
    <row r="10" spans="1:1" x14ac:dyDescent="0.25">
      <c r="A10" t="str">
        <f>[1]TypeChart!A10</f>
        <v>Ground</v>
      </c>
    </row>
    <row r="11" spans="1:1" x14ac:dyDescent="0.25">
      <c r="A11" t="str">
        <f>[1]TypeChart!A11</f>
        <v>Flying</v>
      </c>
    </row>
    <row r="12" spans="1:1" x14ac:dyDescent="0.25">
      <c r="A12" t="str">
        <f>[1]TypeChart!A12</f>
        <v>Psychic</v>
      </c>
    </row>
    <row r="13" spans="1:1" x14ac:dyDescent="0.25">
      <c r="A13" t="str">
        <f>[1]TypeChart!A13</f>
        <v>Bug</v>
      </c>
    </row>
    <row r="14" spans="1:1" x14ac:dyDescent="0.25">
      <c r="A14" t="str">
        <f>[1]TypeChart!A14</f>
        <v>Rock</v>
      </c>
    </row>
    <row r="15" spans="1:1" x14ac:dyDescent="0.25">
      <c r="A15" t="str">
        <f>[1]TypeChart!A15</f>
        <v>Ghost</v>
      </c>
    </row>
    <row r="16" spans="1:1" x14ac:dyDescent="0.25">
      <c r="A16" t="str">
        <f>[1]TypeChart!A16</f>
        <v>Dragon</v>
      </c>
    </row>
    <row r="17" spans="1:1" x14ac:dyDescent="0.25">
      <c r="A17" t="str">
        <f>[1]TypeChart!A17</f>
        <v>Dark</v>
      </c>
    </row>
    <row r="18" spans="1:1" x14ac:dyDescent="0.25">
      <c r="A18" t="str">
        <f>[1]TypeChart!A18</f>
        <v>Steel</v>
      </c>
    </row>
    <row r="19" spans="1:1" x14ac:dyDescent="0.25">
      <c r="A19" t="str">
        <f>[1]TypeChart!A19</f>
        <v>Fairy</v>
      </c>
    </row>
    <row r="20" spans="1:1" x14ac:dyDescent="0.25">
      <c r="A20" t="str">
        <f>[1]TypeChart!A20</f>
        <v>Stellar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4</vt:i4>
      </vt:variant>
    </vt:vector>
  </HeadingPairs>
  <TitlesOfParts>
    <vt:vector size="7" baseType="lpstr">
      <vt:lpstr>Pokédex</vt:lpstr>
      <vt:lpstr>TypeChart</vt:lpstr>
      <vt:lpstr>LISTS</vt:lpstr>
      <vt:lpstr>ATTACK_TYPE</vt:lpstr>
      <vt:lpstr>PKMN_TYPE_1</vt:lpstr>
      <vt:lpstr>PKMN_TYPE_2</vt:lpstr>
      <vt:lpstr>PKMN_TYPE1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Klatovský</dc:creator>
  <cp:lastModifiedBy>Jiří Klatovský</cp:lastModifiedBy>
  <dcterms:created xsi:type="dcterms:W3CDTF">2026-01-03T16:41:38Z</dcterms:created>
  <dcterms:modified xsi:type="dcterms:W3CDTF">2026-01-03T19:06:07Z</dcterms:modified>
</cp:coreProperties>
</file>